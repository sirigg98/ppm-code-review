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help-survey" sheetId="4" r:id="rId8"/>
    <sheet state="visible" name="help-choices" sheetId="5" r:id="rId9"/>
    <sheet state="visible" name="help-settings" sheetId="6" r:id="rId10"/>
    <sheet state="visible" name="Q numbers" sheetId="7" r:id="rId11"/>
  </sheets>
  <definedNames>
    <definedName hidden="1" localSheetId="0" name="_xlnm._FilterDatabase">survey!$A$1:$A$585</definedName>
    <definedName hidden="1" localSheetId="6" name="_xlnm._FilterDatabase">'Q numbers'!$A$1:$A$3008</definedName>
  </definedNames>
  <calcPr/>
</workbook>
</file>

<file path=xl/sharedStrings.xml><?xml version="1.0" encoding="utf-8"?>
<sst xmlns="http://schemas.openxmlformats.org/spreadsheetml/2006/main" count="11877" uniqueCount="7339">
  <si>
    <t>form_title</t>
  </si>
  <si>
    <t>The survey worksheet</t>
  </si>
  <si>
    <t>form_id</t>
  </si>
  <si>
    <t>type</t>
  </si>
  <si>
    <t>list_name</t>
  </si>
  <si>
    <t>name</t>
  </si>
  <si>
    <t>label</t>
  </si>
  <si>
    <t>version</t>
  </si>
  <si>
    <t>value</t>
  </si>
  <si>
    <t>public_key</t>
  </si>
  <si>
    <t>submission_url</t>
  </si>
  <si>
    <t>default_language</t>
  </si>
  <si>
    <t>label:french</t>
  </si>
  <si>
    <t>label:hausa</t>
  </si>
  <si>
    <t>image</t>
  </si>
  <si>
    <t>filter</t>
  </si>
  <si>
    <t>filter2</t>
  </si>
  <si>
    <t>filter3</t>
  </si>
  <si>
    <t>filter4</t>
  </si>
  <si>
    <t>Follow-Up Round 5 2024 Prospective Migrant</t>
  </si>
  <si>
    <t>hint</t>
  </si>
  <si>
    <t>hint:french</t>
  </si>
  <si>
    <t>fu5_pm_2024_short</t>
  </si>
  <si>
    <t>hint:hausa</t>
  </si>
  <si>
    <t>default</t>
  </si>
  <si>
    <t>appearance</t>
  </si>
  <si>
    <t>constraint</t>
  </si>
  <si>
    <t>constraint message</t>
  </si>
  <si>
    <t>constraint message:french</t>
  </si>
  <si>
    <t>constraint message:hausa</t>
  </si>
  <si>
    <t>relevance</t>
  </si>
  <si>
    <t>disabled</t>
  </si>
  <si>
    <t>required</t>
  </si>
  <si>
    <t>required message</t>
  </si>
  <si>
    <t>read only</t>
  </si>
  <si>
    <t>calculation</t>
  </si>
  <si>
    <t>repeat_count</t>
  </si>
  <si>
    <t>media:image</t>
  </si>
  <si>
    <t>media:audio</t>
  </si>
  <si>
    <t>media:video</t>
  </si>
  <si>
    <t>choice_filter</t>
  </si>
  <si>
    <t>note</t>
  </si>
  <si>
    <t>response_note</t>
  </si>
  <si>
    <t>publishable</t>
  </si>
  <si>
    <t>yesno</t>
  </si>
  <si>
    <t>minimum_seconds</t>
  </si>
  <si>
    <t>Yes</t>
  </si>
  <si>
    <t>Oui</t>
  </si>
  <si>
    <t>ii</t>
  </si>
  <si>
    <t>start</t>
  </si>
  <si>
    <t>This worksheet specifies all of the groups, questions, and other fields in your survey form, each in its own row. Aside from overall settings and lists of multiple-choice options, everything about your survey form is specified in this worksheet.</t>
  </si>
  <si>
    <t>starttime</t>
  </si>
  <si>
    <t/>
  </si>
  <si>
    <t>english</t>
  </si>
  <si>
    <t>Learn more about form definitions and field types</t>
  </si>
  <si>
    <t>No</t>
  </si>
  <si>
    <t>end</t>
  </si>
  <si>
    <t>endtime</t>
  </si>
  <si>
    <t>Non</t>
  </si>
  <si>
    <t>a'a</t>
  </si>
  <si>
    <t>deviceid</t>
  </si>
  <si>
    <t>phonenumber</t>
  </si>
  <si>
    <t>devicephonenum</t>
  </si>
  <si>
    <t>round</t>
  </si>
  <si>
    <t>username</t>
  </si>
  <si>
    <t>Round 3</t>
  </si>
  <si>
    <t>Tour 3</t>
  </si>
  <si>
    <t>zagaye 3</t>
  </si>
  <si>
    <t>calculate</t>
  </si>
  <si>
    <t>device_info</t>
  </si>
  <si>
    <t>label:languagename</t>
  </si>
  <si>
    <t>hint:languagename</t>
  </si>
  <si>
    <t>device-info()</t>
  </si>
  <si>
    <t>constraint message:languagename</t>
  </si>
  <si>
    <t>duration</t>
  </si>
  <si>
    <t>required message:languagename</t>
  </si>
  <si>
    <t>Round 5</t>
  </si>
  <si>
    <t>duration()</t>
  </si>
  <si>
    <t>Tour 5</t>
  </si>
  <si>
    <t>media:image:languagename</t>
  </si>
  <si>
    <t>zagaye 5</t>
  </si>
  <si>
    <t>media:audio:languagename</t>
  </si>
  <si>
    <t>media:video:languagename</t>
  </si>
  <si>
    <t>text audit</t>
  </si>
  <si>
    <t>text_audit</t>
  </si>
  <si>
    <t>Question Durations</t>
  </si>
  <si>
    <r>
      <rPr>
        <rFont val="Calibri"/>
        <color rgb="FF000000"/>
        <sz val="12.0"/>
      </rPr>
      <t xml:space="preserve">This column specifies the type of the field or group. It has to follow a pre-specified format, and Excel's conditional formatting has been used to auto-highlight rows that appear to have a valid </t>
    </r>
    <r>
      <rPr>
        <rFont val="Calibri"/>
        <i/>
        <color rgb="FF000000"/>
        <sz val="12.0"/>
      </rPr>
      <t>type</t>
    </r>
    <r>
      <rPr>
        <rFont val="Calibri"/>
        <color rgb="FF000000"/>
        <sz val="12.0"/>
      </rPr>
      <t xml:space="preserve"> column -- so, if you are using Excel and your row is </t>
    </r>
    <r>
      <rPr>
        <rFont val="Calibri"/>
        <i/>
        <color rgb="FF000000"/>
        <sz val="12.0"/>
      </rPr>
      <t>not</t>
    </r>
    <r>
      <rPr>
        <rFont val="Calibri"/>
        <color rgb="FF000000"/>
        <sz val="12.0"/>
      </rPr>
      <t xml:space="preserve"> automatically highlighted, re-check that you have entered the type properly. 
See below for an exhaustive list of brief examples.</t>
    </r>
  </si>
  <si>
    <r>
      <rPr>
        <rFont val="Calibri"/>
        <color rgb="FF000000"/>
        <sz val="12.0"/>
      </rPr>
      <t xml:space="preserve">This column specifies the name of the field or group. Field names must be unique, and they cannot include any spaces or punctuation. 
Example: </t>
    </r>
    <r>
      <rPr>
        <rFont val="Calibri"/>
        <b/>
        <color rgb="FF000000"/>
        <sz val="12.0"/>
      </rPr>
      <t>age</t>
    </r>
  </si>
  <si>
    <t>intronote</t>
  </si>
  <si>
    <t>1. Follow-up Round 5</t>
  </si>
  <si>
    <t>1. Suivi du cinquième tour</t>
  </si>
  <si>
    <r>
      <rPr>
        <rFont val="Calibri"/>
        <color rgb="FF000000"/>
        <sz val="12.0"/>
      </rPr>
      <t xml:space="preserve">For those field types that present a user interface, this column is where you put the primary text for the question or field. You can include line-breaks in your label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</si>
  <si>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t>1. Bibiyar Zagaye na 5</t>
  </si>
  <si>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
View the help topic below for more details.</t>
    </r>
  </si>
  <si>
    <t>intro</t>
  </si>
  <si>
    <r>
      <rPr>
        <rFont val="Calibri"/>
        <color rgb="FF000000"/>
        <sz val="12.0"/>
      </rPr>
      <t xml:space="preserve">Text in this column, if any, will appear italicized beneath the field's label. You can include line-breaks in your hint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</si>
  <si>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r>
      <rPr>
        <rFont val="Calibri"/>
        <color rgb="FF000000"/>
        <sz val="12.0"/>
      </rPr>
      <t xml:space="preserve">Any </t>
    </r>
    <r>
      <rPr>
        <rFont val="Calibri"/>
        <i/>
        <color rgb="FF000000"/>
        <sz val="12.0"/>
      </rPr>
      <t>hint:languagename</t>
    </r>
    <r>
      <rPr>
        <rFont val="Calibri"/>
        <color rgb="FF000000"/>
        <sz val="12.0"/>
      </rPr>
      <t xml:space="preserve"> column (e.g., </t>
    </r>
    <r>
      <rPr>
        <rFont val="Calibri"/>
        <i/>
        <color rgb="FF000000"/>
        <sz val="12.0"/>
      </rPr>
      <t>hint:tamil</t>
    </r>
    <r>
      <rPr>
        <rFont val="Calibri"/>
        <color rgb="FF000000"/>
        <sz val="12.0"/>
      </rPr>
      <t>) may be added in order to provide hints in an alternative language.
View the help topic below for more details.</t>
    </r>
  </si>
  <si>
    <t>If you want to default the user's entry or selection for a given field, you can specify a number or some text in this column. 
Alternatively, you can specify an expression for dynamically calculating the field's default entry or selection, in the "calculation" column. View the help topic below for more details.
View the help topic below for more details.</t>
  </si>
  <si>
    <r>
      <rPr>
        <rFont val="Calibri"/>
        <color rgb="FF000000"/>
        <sz val="12.0"/>
      </rPr>
      <t xml:space="preserve">For field types that allow multiple appearances, you can specify the appearance style in this column (e.g., </t>
    </r>
    <r>
      <rPr>
        <rFont val="Calibri"/>
        <i/>
        <color rgb="FF000000"/>
        <sz val="12.0"/>
      </rPr>
      <t>quick</t>
    </r>
    <r>
      <rPr>
        <rFont val="Calibri"/>
        <color rgb="FF000000"/>
        <sz val="12.0"/>
      </rPr>
      <t xml:space="preserve"> or </t>
    </r>
    <r>
      <rPr>
        <rFont val="Calibri"/>
        <i/>
        <color rgb="FF000000"/>
        <sz val="12.0"/>
      </rPr>
      <t>minimal</t>
    </r>
    <r>
      <rPr>
        <rFont val="Calibri"/>
        <color rgb="FF000000"/>
        <sz val="12.0"/>
      </rPr>
      <t xml:space="preserve"> for </t>
    </r>
    <r>
      <rPr>
        <rFont val="Calibri"/>
        <i/>
        <color rgb="FF000000"/>
        <sz val="12.0"/>
      </rPr>
      <t>select_one</t>
    </r>
    <r>
      <rPr>
        <rFont val="Calibri"/>
        <color rgb="FF000000"/>
        <sz val="12.0"/>
      </rPr>
      <t xml:space="preserve"> fields). 
See the individual examples below.</t>
    </r>
  </si>
  <si>
    <r>
      <rPr>
        <rFont val="Calibri"/>
        <color rgb="FF000000"/>
        <sz val="12.0"/>
      </rPr>
      <t xml:space="preserve">Enter an expression into this column to validate entered or selected values. The user will only be allowed to proceed to the next question when the expression evaluates to true. Use the </t>
    </r>
    <r>
      <rPr>
        <rFont val="Calibri"/>
        <i/>
        <color rgb="FF000000"/>
        <sz val="12.0"/>
      </rPr>
      <t xml:space="preserve">constraint builder </t>
    </r>
    <r>
      <rPr>
        <rFont val="Calibri"/>
        <color rgb="FF000000"/>
        <sz val="12.0"/>
      </rPr>
      <t xml:space="preserve">to build new constraint expressions. (Also see the expression quick-reference following the examples below.) 
Example: </t>
    </r>
    <r>
      <rPr>
        <rFont val="Calibri"/>
        <b/>
        <color rgb="FF000000"/>
        <sz val="12.0"/>
      </rPr>
      <t>. &lt; 130</t>
    </r>
    <r>
      <rPr>
        <rFont val="Calibri"/>
        <b/>
        <color rgb="FF000000"/>
        <sz val="12.0"/>
      </rPr>
      <t xml:space="preserve">
</t>
    </r>
    <r>
      <rPr>
        <rFont val="Calibri"/>
        <color rgb="FF000000"/>
        <sz val="12.0"/>
      </rPr>
      <t>View the help topic below for more details.</t>
    </r>
  </si>
  <si>
    <t>If the user tries to move forward but the constraint expression is false, a generic "That entry is invalid" message will appear; to override this message on a field-by-field basis, enter another message into this column.
View the help topic below for more details.</t>
  </si>
  <si>
    <r>
      <rPr>
        <rFont val="Calibri"/>
        <color rgb="FF000000"/>
        <sz val="12.0"/>
      </rPr>
      <t xml:space="preserve">Any </t>
    </r>
    <r>
      <rPr>
        <rFont val="Calibri"/>
        <i/>
        <color rgb="FF000000"/>
        <sz val="12.0"/>
      </rPr>
      <t>constraint message:languagename</t>
    </r>
    <r>
      <rPr>
        <rFont val="Calibri"/>
        <color rgb="FF000000"/>
        <sz val="12.0"/>
      </rPr>
      <t xml:space="preserve"> column (e.g., </t>
    </r>
    <r>
      <rPr>
        <rFont val="Calibri"/>
        <i/>
        <color rgb="FF000000"/>
        <sz val="12.0"/>
      </rPr>
      <t>constraint message:tamil</t>
    </r>
    <r>
      <rPr>
        <rFont val="Calibri"/>
        <color rgb="FF000000"/>
        <sz val="12.0"/>
      </rPr>
      <t>) may be added in order to provide constraint messages in an alternative language.</t>
    </r>
  </si>
  <si>
    <r>
      <rPr>
        <rFont val="Calibri"/>
        <color rgb="FF000000"/>
        <sz val="12.0"/>
      </rPr>
      <t xml:space="preserve">Enter an expression into this column to control when a field or group displays to the user (i.e., to control when it is "relevant"). The field or group will only show up to users when the expression in this column evaluates to true; otherwise, it will remain hidden. Use the </t>
    </r>
    <r>
      <rPr>
        <rFont val="Calibri"/>
        <i/>
        <color rgb="FF000000"/>
        <sz val="12.0"/>
      </rPr>
      <t xml:space="preserve">relevance builder </t>
    </r>
    <r>
      <rPr>
        <rFont val="Calibri"/>
        <color rgb="FF000000"/>
        <sz val="12.0"/>
      </rPr>
      <t xml:space="preserve">to build new relevance expressions. (Also see the expression quick-reference following the examples below.) 
Example: </t>
    </r>
    <r>
      <rPr>
        <rFont val="Calibri"/>
        <b/>
        <color rgb="FF000000"/>
        <sz val="12.0"/>
      </rPr>
      <t xml:space="preserve">${age} &lt; 18
</t>
    </r>
    <r>
      <rPr>
        <rFont val="Calibri"/>
        <color rgb="FF000000"/>
        <sz val="12.0"/>
      </rPr>
      <t xml:space="preserve">
View the help topic below for more details.</t>
    </r>
  </si>
  <si>
    <t>yesnodk</t>
  </si>
  <si>
    <r>
      <rPr>
        <rFont val="Calibri"/>
        <color rgb="FF000000"/>
        <sz val="12.0"/>
      </rPr>
      <t xml:space="preserve">Enter </t>
    </r>
    <r>
      <rPr>
        <rFont val="Calibri"/>
        <b/>
        <color rgb="FF000000"/>
        <sz val="12.0"/>
      </rPr>
      <t>yes</t>
    </r>
    <r>
      <rPr>
        <rFont val="Calibri"/>
        <color rgb="FF000000"/>
        <sz val="12.0"/>
      </rPr>
      <t xml:space="preserve"> into this column to temporarily disable a field. (Rarely used.)
View the help topic below for more details.</t>
    </r>
  </si>
  <si>
    <r>
      <rPr>
        <rFont val="Calibri"/>
        <color rgb="FF000000"/>
        <sz val="12.0"/>
      </rPr>
      <t xml:space="preserve">Enter </t>
    </r>
    <r>
      <rPr>
        <rFont val="Calibri"/>
        <b/>
        <color rgb="FF000000"/>
        <sz val="12.0"/>
      </rPr>
      <t>yes</t>
    </r>
    <r>
      <rPr>
        <rFont val="Calibri"/>
        <color rgb="FF000000"/>
        <sz val="12.0"/>
      </rPr>
      <t xml:space="preserve"> into this column to require that users enter or select a value before continuing.
View the help topic below for more details.</t>
    </r>
  </si>
  <si>
    <t>If the user tries to move forward without entering or selecting a value for a required field, a generic "Sorry, this response is required" message will appear; to override this message on a field-by-field basis, enter another message into this column.
View the help topic below for more details.</t>
  </si>
  <si>
    <t>begin group</t>
  </si>
  <si>
    <t>enum_questions</t>
  </si>
  <si>
    <r>
      <rPr>
        <rFont val="Calibri"/>
        <color rgb="FF000000"/>
        <sz val="12.0"/>
      </rPr>
      <t xml:space="preserve">Any </t>
    </r>
    <r>
      <rPr>
        <rFont val="Calibri"/>
        <i/>
        <color rgb="FF000000"/>
        <sz val="12.0"/>
      </rPr>
      <t>required message:languagename</t>
    </r>
    <r>
      <rPr>
        <rFont val="Calibri"/>
        <color rgb="FF000000"/>
        <sz val="12.0"/>
      </rPr>
      <t xml:space="preserve"> column (e.g., </t>
    </r>
    <r>
      <rPr>
        <rFont val="Calibri"/>
        <i/>
        <color rgb="FF000000"/>
        <sz val="12.0"/>
      </rPr>
      <t>required message:tamil</t>
    </r>
    <r>
      <rPr>
        <rFont val="Calibri"/>
        <color rgb="FF000000"/>
        <sz val="12.0"/>
      </rPr>
      <t>) may be added in order to provide required messages in an alternative language.</t>
    </r>
  </si>
  <si>
    <t>Enumerator Questions</t>
  </si>
  <si>
    <r>
      <rPr>
        <rFont val="Calibri"/>
        <color rgb="FF000000"/>
        <sz val="12.0"/>
      </rPr>
      <t xml:space="preserve">Enter </t>
    </r>
    <r>
      <rPr>
        <rFont val="Calibri"/>
        <b/>
        <color rgb="FF000000"/>
        <sz val="12.0"/>
      </rPr>
      <t>yes</t>
    </r>
    <r>
      <rPr>
        <rFont val="Calibri"/>
        <color rgb="FF000000"/>
        <sz val="12.0"/>
      </rPr>
      <t xml:space="preserve"> into this column to make it read-only (a user can see the field, but cannot enter or select a value). (Rarely used, because </t>
    </r>
    <r>
      <rPr>
        <rFont val="Calibri"/>
        <i/>
        <color rgb="FF000000"/>
        <sz val="12.0"/>
      </rPr>
      <t>note</t>
    </r>
    <r>
      <rPr>
        <rFont val="Calibri"/>
        <color rgb="FF000000"/>
        <sz val="12.0"/>
      </rPr>
      <t xml:space="preserve"> fields, which are by nature read-only, are automatically read-only regardless of what is specified here.)</t>
    </r>
  </si>
  <si>
    <r>
      <rPr>
        <rFont val="Calibri"/>
        <color rgb="FF000000"/>
        <sz val="12.0"/>
      </rPr>
      <t xml:space="preserve">This column specifies the expression to use for a </t>
    </r>
    <r>
      <rPr>
        <rFont val="Calibri"/>
        <i/>
        <color rgb="FF000000"/>
        <sz val="12.0"/>
      </rPr>
      <t>calculate</t>
    </r>
    <r>
      <rPr>
        <rFont val="Calibri"/>
        <color rgb="FF000000"/>
        <sz val="12.0"/>
      </rPr>
      <t xml:space="preserve"> field, or the expression to use for calculating the default entry or selection for a visible form field. Use the </t>
    </r>
    <r>
      <rPr>
        <rFont val="Calibri"/>
        <i/>
        <color rgb="FF000000"/>
        <sz val="12.0"/>
      </rPr>
      <t xml:space="preserve">calculation builder </t>
    </r>
    <r>
      <rPr>
        <rFont val="Calibri"/>
        <color rgb="FF000000"/>
        <sz val="12.0"/>
      </rPr>
      <t>to build new calculation expressions. (Also see the expression quick-reference following the examples below.)
View the help topic below for more details.</t>
    </r>
  </si>
  <si>
    <r>
      <rPr>
        <rFont val="Calibri"/>
        <color rgb="FF000000"/>
        <sz val="12.0"/>
      </rPr>
      <t xml:space="preserve">For a </t>
    </r>
    <r>
      <rPr>
        <rFont val="Calibri"/>
        <i/>
        <color rgb="FF000000"/>
        <sz val="12.0"/>
      </rPr>
      <t>begin repeat</t>
    </r>
    <r>
      <rPr>
        <rFont val="Calibri"/>
        <color rgb="FF000000"/>
        <sz val="12.0"/>
      </rPr>
      <t xml:space="preserve"> row, this column can specify the number of times to repeat the group of questions. (Can be a fixed count like </t>
    </r>
    <r>
      <rPr>
        <rFont val="Calibri"/>
        <b/>
        <color rgb="FF000000"/>
        <sz val="12.0"/>
      </rPr>
      <t>3</t>
    </r>
    <r>
      <rPr>
        <rFont val="Calibri"/>
        <color rgb="FF000000"/>
        <sz val="12.0"/>
      </rPr>
      <t xml:space="preserve"> or a reference to an earlier field like </t>
    </r>
    <r>
      <rPr>
        <rFont val="Calibri"/>
        <b/>
        <color rgb="FF000000"/>
        <sz val="12.0"/>
      </rPr>
      <t>${numhh_members}</t>
    </r>
    <r>
      <rPr>
        <rFont val="Calibri"/>
        <color rgb="FF000000"/>
        <sz val="12.0"/>
      </rPr>
      <t>.)
View the help topic below for more details.</t>
    </r>
  </si>
  <si>
    <r>
      <rPr>
        <rFont val="Calibri"/>
        <color rgb="FF000000"/>
        <sz val="12.0"/>
      </rPr>
      <t xml:space="preserve">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paddy.png</t>
    </r>
    <r>
      <rPr>
        <rFont val="Calibri"/>
        <color rgb="FF000000"/>
        <sz val="12.0"/>
      </rPr>
      <t xml:space="preserve">
View the help topic below for more details.</t>
    </r>
  </si>
  <si>
    <r>
      <rPr>
        <rFont val="Calibri"/>
        <color rgb="FF000000"/>
        <sz val="12.0"/>
      </rPr>
      <t xml:space="preserve">To include a sound clip that can be played at a field, its filename should be specified here (and the file should be uploaded with this form defintion). Which media file formats are supported will depend on your Android device. 
Example: </t>
    </r>
    <r>
      <rPr>
        <rFont val="Calibri"/>
        <b/>
        <color rgb="FF000000"/>
        <sz val="12.0"/>
      </rPr>
      <t xml:space="preserve">explanation.3gpp
</t>
    </r>
    <r>
      <rPr>
        <rFont val="Calibri"/>
        <color rgb="FF000000"/>
        <sz val="12.0"/>
      </rPr>
      <t xml:space="preserve">
View the help topic below for more details.</t>
    </r>
  </si>
  <si>
    <r>
      <rPr>
        <rFont val="Calibri"/>
        <color rgb="FF000000"/>
        <sz val="12.0"/>
      </rPr>
      <t xml:space="preserve">To include a video clip that can be played at a field, its filename should be specified here (and the file should be uploaded with this form defintion). Which media file formats are supported will depend on your Android device. 
Example: </t>
    </r>
    <r>
      <rPr>
        <rFont val="Calibri"/>
        <b/>
        <color rgb="FF000000"/>
        <sz val="12.0"/>
      </rPr>
      <t xml:space="preserve">demonstration.mp4
</t>
    </r>
    <r>
      <rPr>
        <rFont val="Calibri"/>
        <color rgb="FF000000"/>
        <sz val="12.0"/>
      </rPr>
      <t xml:space="preserve">
View the help topic below for more details.</t>
    </r>
  </si>
  <si>
    <r>
      <rPr>
        <rFont val="Calibri"/>
        <color rgb="FF000000"/>
        <sz val="12.0"/>
      </rPr>
      <t xml:space="preserve">Any </t>
    </r>
    <r>
      <rPr>
        <rFont val="Calibri"/>
        <i/>
        <color rgb="FF000000"/>
        <sz val="12.0"/>
      </rPr>
      <t>media:image:languagename</t>
    </r>
    <r>
      <rPr>
        <rFont val="Calibri"/>
        <color rgb="FF000000"/>
        <sz val="12.0"/>
      </rPr>
      <t xml:space="preserve"> column (e.g., </t>
    </r>
    <r>
      <rPr>
        <rFont val="Calibri"/>
        <i/>
        <color rgb="FF000000"/>
        <sz val="12.0"/>
      </rPr>
      <t>media:image:tamil</t>
    </r>
    <r>
      <rPr>
        <rFont val="Calibri"/>
        <color rgb="FF000000"/>
        <sz val="12.0"/>
      </rPr>
      <t>) may be added in order to provide images for an alternative language.
View the help topic below for more details.</t>
    </r>
  </si>
  <si>
    <t>calculate_here</t>
  </si>
  <si>
    <r>
      <rPr>
        <rFont val="Calibri"/>
        <color rgb="FF000000"/>
        <sz val="12.0"/>
      </rPr>
      <t xml:space="preserve">Any </t>
    </r>
    <r>
      <rPr>
        <rFont val="Calibri"/>
        <i/>
        <color rgb="FF000000"/>
        <sz val="12.0"/>
      </rPr>
      <t>media:audio:languagename</t>
    </r>
    <r>
      <rPr>
        <rFont val="Calibri"/>
        <color rgb="FF000000"/>
        <sz val="12.0"/>
      </rPr>
      <t xml:space="preserve"> column (e.g., </t>
    </r>
    <r>
      <rPr>
        <rFont val="Calibri"/>
        <i/>
        <color rgb="FF000000"/>
        <sz val="12.0"/>
      </rPr>
      <t>media:audio:tamil</t>
    </r>
    <r>
      <rPr>
        <rFont val="Calibri"/>
        <color rgb="FF000000"/>
        <sz val="12.0"/>
      </rPr>
      <t>) may be added in order to provide audio clips for an alternative language.
View the help topic below for more details.</t>
    </r>
  </si>
  <si>
    <t>speedcheck_intro_start</t>
  </si>
  <si>
    <r>
      <rPr>
        <rFont val="Calibri"/>
        <color rgb="FF000000"/>
        <sz val="12.0"/>
      </rPr>
      <t xml:space="preserve">Any </t>
    </r>
    <r>
      <rPr>
        <rFont val="Calibri"/>
        <i/>
        <color rgb="FF000000"/>
        <sz val="12.0"/>
      </rPr>
      <t>media:video:languagename</t>
    </r>
    <r>
      <rPr>
        <rFont val="Calibri"/>
        <color rgb="FF000000"/>
        <sz val="12.0"/>
      </rPr>
      <t xml:space="preserve"> column (e.g., </t>
    </r>
    <r>
      <rPr>
        <rFont val="Calibri"/>
        <i/>
        <color rgb="FF000000"/>
        <sz val="12.0"/>
      </rPr>
      <t>media:video:tamil</t>
    </r>
    <r>
      <rPr>
        <rFont val="Calibri"/>
        <color rgb="FF000000"/>
        <sz val="12.0"/>
      </rPr>
      <t>) may be added in order to provide video clips for an alternative language.
View the help topic below for more details.</t>
    </r>
  </si>
  <si>
    <r>
      <rPr>
        <rFont val="Calibri"/>
        <color rgb="FF000000"/>
        <sz val="12.0"/>
      </rPr>
      <t xml:space="preserve">When filtering lists of multiple-choice options, this column specifies, for each field, which prior field should be used when filtering the list of options. 
Example: </t>
    </r>
    <r>
      <rPr>
        <rFont val="Calibri"/>
        <b/>
        <color rgb="FF000000"/>
        <sz val="12.0"/>
      </rPr>
      <t>filter=${survey_region}</t>
    </r>
    <r>
      <rPr>
        <rFont val="Calibri"/>
        <color rgb="FF000000"/>
        <sz val="12.0"/>
      </rPr>
      <t xml:space="preserve">
View the help topic below for more details.</t>
    </r>
  </si>
  <si>
    <t>This column can specify an optional note to appear with the field in printable versions of the survey form, in order to explain when groups or fields will appear (i.e., when they are relevant), what restrictions there are on user entries (i.e., what constraints apply), etc.</t>
  </si>
  <si>
    <t>aa</t>
  </si>
  <si>
    <t>once(duration())</t>
  </si>
  <si>
    <r>
      <rPr>
        <rFont val="Calibri"/>
        <color rgb="FF000000"/>
        <sz val="12.0"/>
      </rPr>
      <t xml:space="preserve">This column can specify optional text or symbols to appear in the response area to the right of questions in printable versions of the survey form. For a text field, for example, you might put something like </t>
    </r>
    <r>
      <rPr>
        <rFont val="Calibri"/>
        <b/>
        <color rgb="FF000000"/>
        <sz val="12.0"/>
      </rPr>
      <t>|___|___|</t>
    </r>
    <r>
      <rPr>
        <rFont val="Calibri"/>
        <color rgb="FF000000"/>
        <sz val="12.0"/>
      </rPr>
      <t xml:space="preserve"> if you are looking for two letters or numbers; or, for a checkbox, you might put a hollow square like </t>
    </r>
    <r>
      <rPr>
        <rFont val="Calibri"/>
        <b/>
        <color rgb="FF000000"/>
        <sz val="12.0"/>
      </rPr>
      <t>□</t>
    </r>
    <r>
      <rPr>
        <rFont val="Calibri"/>
        <color rgb="FF000000"/>
        <sz val="12.0"/>
      </rPr>
      <t xml:space="preserve"> (this is a special HTML character: enter "</t>
    </r>
    <r>
      <rPr>
        <rFont val="Calibri"/>
        <b/>
        <color rgb="FF000000"/>
        <sz val="12.0"/>
      </rPr>
      <t>&amp;#9633;</t>
    </r>
    <r>
      <rPr>
        <rFont val="Calibri"/>
        <color rgb="FF000000"/>
        <sz val="12.0"/>
      </rPr>
      <t xml:space="preserve">", without quotes, into this column); finally, for a radio button, you might simply enter a capital </t>
    </r>
    <r>
      <rPr>
        <rFont val="Calibri"/>
        <b/>
        <color rgb="FF000000"/>
        <sz val="12.0"/>
      </rPr>
      <t>O</t>
    </r>
    <r>
      <rPr>
        <rFont val="Calibri"/>
        <color rgb="FF000000"/>
        <sz val="12.0"/>
      </rPr>
      <t>.</t>
    </r>
  </si>
  <si>
    <r>
      <rPr>
        <rFont val="Calibri"/>
        <color rgb="FF000000"/>
        <sz val="12.0"/>
      </rPr>
      <t xml:space="preserve">Enter </t>
    </r>
    <r>
      <rPr>
        <rFont val="Calibri"/>
        <b/>
        <color rgb="FF000000"/>
        <sz val="12.0"/>
      </rPr>
      <t>yes</t>
    </r>
    <r>
      <rPr>
        <rFont val="Calibri"/>
        <color rgb="FF000000"/>
        <sz val="12.0"/>
      </rPr>
      <t xml:space="preserve">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
View the help topic below for more details.</t>
    </r>
  </si>
  <si>
    <r>
      <rPr>
        <rFont val="Calibri"/>
        <color rgb="FF000000"/>
        <sz val="12.0"/>
      </rPr>
      <t xml:space="preserve">Enter a number of seconds that represents the minimum time enumerators should spend the first time they view the field. This represents a "speed limit" that can be enforced by SurveyCTO Collect for Android (with the </t>
    </r>
    <r>
      <rPr>
        <rFont val="Calibri"/>
        <i/>
        <color rgb="FF000000"/>
        <sz val="12.0"/>
      </rPr>
      <t>Enforce minimum times for fields</t>
    </r>
    <r>
      <rPr>
        <rFont val="Calibri"/>
        <color rgb="FF000000"/>
        <sz val="12.0"/>
      </rPr>
      <t xml:space="preserve"> option within Collect's </t>
    </r>
    <r>
      <rPr>
        <rFont val="Calibri"/>
        <i/>
        <color rgb="FF000000"/>
        <sz val="12.0"/>
      </rPr>
      <t>Admin Settings</t>
    </r>
    <r>
      <rPr>
        <rFont val="Calibri"/>
        <color rgb="FF000000"/>
        <sz val="12.0"/>
      </rPr>
      <t xml:space="preserve">); alternatively, you can track violations with the following field types: "speed violations count", "speed violations list", and "speed violations audit" (see examples for these field types below).
View the help topic below for more details. </t>
    </r>
  </si>
  <si>
    <t>select_one round</t>
  </si>
  <si>
    <t>2. What round is this?</t>
  </si>
  <si>
    <t>2. quel tour est-ce ?</t>
  </si>
  <si>
    <t>Help topic: Form languages</t>
  </si>
  <si>
    <t>2. Wane zagaye ne wannan ?</t>
  </si>
  <si>
    <t>Don't know</t>
  </si>
  <si>
    <t>Je ne sais pas</t>
  </si>
  <si>
    <t>Ban sani ba</t>
  </si>
  <si>
    <t>selected(., '5')</t>
  </si>
  <si>
    <t>We are currently in round 5!</t>
  </si>
  <si>
    <t>yes</t>
  </si>
  <si>
    <t>filter=5</t>
  </si>
  <si>
    <t>select_one team</t>
  </si>
  <si>
    <t>team_leader</t>
  </si>
  <si>
    <t>3. Who is your team leader?</t>
  </si>
  <si>
    <t>3. Qui est votre chef d'équipe?</t>
  </si>
  <si>
    <t>3. Wanene shugaban tahiyar ku ?</t>
  </si>
  <si>
    <t>search('teams_fu5')</t>
  </si>
  <si>
    <t>Help topic: Pre-loading data into a form</t>
  </si>
  <si>
    <t>select_one enum</t>
  </si>
  <si>
    <t>enumerator</t>
  </si>
  <si>
    <t>4. What is your name?</t>
  </si>
  <si>
    <t>4. Quel est votre nom?</t>
  </si>
  <si>
    <t>4. Menene sunanka?</t>
  </si>
  <si>
    <t>search('teams_fu5', 'matches', 'team_id', ${team_leader})</t>
  </si>
  <si>
    <t>team</t>
  </si>
  <si>
    <t>Help topic: Using constraints to validate responses</t>
  </si>
  <si>
    <t>team_id</t>
  </si>
  <si>
    <t>enumerator_name</t>
  </si>
  <si>
    <t>CALC: Pull enumerator name</t>
  </si>
  <si>
    <t>pulldata('teams_fu5', 'enum_name', 'enum_id', ${enumerator})</t>
  </si>
  <si>
    <t>Help topic: Implementing skip patterns with "relevance"</t>
  </si>
  <si>
    <t>Help topic: Other field properties</t>
  </si>
  <si>
    <t>enumerator_partner</t>
  </si>
  <si>
    <t>5. What is your partner's name?</t>
  </si>
  <si>
    <t>5. Quel est le nom de votre binôme?</t>
  </si>
  <si>
    <t>5. Menene sunan abokin aikinka</t>
  </si>
  <si>
    <t>The choices worksheet</t>
  </si>
  <si>
    <t>Help topic: Field type: calculate</t>
  </si>
  <si>
    <t>enumerator_partner_name</t>
  </si>
  <si>
    <t>Help topic: Grouping and repeating questions</t>
  </si>
  <si>
    <t>enum</t>
  </si>
  <si>
    <t>enum_id</t>
  </si>
  <si>
    <t>enum_name</t>
  </si>
  <si>
    <t>pulldata('teams_fu5', 'enum_name', 'enum_id', ${enumerator_partner})</t>
  </si>
  <si>
    <t>Help topic: Images: Adding pictures and other graphics</t>
  </si>
  <si>
    <r>
      <rPr>
        <rFont val="Calibri"/>
        <color rgb="FF000000"/>
        <sz val="12.0"/>
      </rPr>
      <t xml:space="preserve">This worksheet is for the configuration of multiple-choice response options. These are stored in choice lists which are used with </t>
    </r>
    <r>
      <rPr>
        <rFont val="Calibri"/>
        <i/>
        <color rgb="FF000000"/>
        <sz val="12.0"/>
      </rPr>
      <t>select_one</t>
    </r>
    <r>
      <rPr>
        <rFont val="Calibri"/>
        <color rgb="FF000000"/>
        <sz val="12.0"/>
      </rPr>
      <t xml:space="preserve"> and </t>
    </r>
    <r>
      <rPr>
        <rFont val="Calibri"/>
        <i/>
        <color rgb="FF000000"/>
        <sz val="12.0"/>
      </rPr>
      <t>select_multiple</t>
    </r>
    <r>
      <rPr>
        <rFont val="Calibri"/>
        <color rgb="FF000000"/>
        <sz val="12.0"/>
      </rPr>
      <t xml:space="preserve"> type fields.</t>
    </r>
  </si>
  <si>
    <t>Help topic: Dynamically filtering lists of multiple-choice options</t>
  </si>
  <si>
    <t>Read about the select_one field type for more information</t>
  </si>
  <si>
    <t>Help topic: Downloading printable copies of your forms</t>
  </si>
  <si>
    <t>select_one commune</t>
  </si>
  <si>
    <t>commune</t>
  </si>
  <si>
    <t>6. What commune are you surveying in?</t>
  </si>
  <si>
    <t>6. Quelle est votre commune de travail ?</t>
  </si>
  <si>
    <t>Help topic: Encrypting form data (end-to-end encryption)</t>
  </si>
  <si>
    <t>Read about the select_multiple field type for more information</t>
  </si>
  <si>
    <t>commune_id</t>
  </si>
  <si>
    <t>commune_name</t>
  </si>
  <si>
    <t>Help topic: Collecting high-quality data</t>
  </si>
  <si>
    <t>Read about dynamically loading choice lists from external pre-loaded data</t>
  </si>
  <si>
    <r>
      <rPr>
        <rFont val="Calibri"/>
        <color rgb="FF000000"/>
        <sz val="12.0"/>
        <u/>
      </rPr>
      <t>Examples</t>
    </r>
    <r>
      <rPr>
        <rFont val="Calibri"/>
        <color rgb="FF000000"/>
        <sz val="12.0"/>
        <u/>
      </rPr>
      <t xml:space="preserve"> (scroll right for appearance styles)</t>
    </r>
  </si>
  <si>
    <t>locality</t>
  </si>
  <si>
    <t>vn</t>
  </si>
  <si>
    <t>locality_name</t>
  </si>
  <si>
    <t>image:languagename</t>
  </si>
  <si>
    <r>
      <rPr>
        <rFont val="Calibri"/>
        <color rgb="FF000000"/>
        <sz val="12.0"/>
      </rPr>
      <t xml:space="preserve">This column specifies the name of a multiple-choice question type (without any spaces or punctuation). A given list of options will involve multiple rows, each with the same </t>
    </r>
    <r>
      <rPr>
        <rFont val="Calibri"/>
        <i/>
        <color rgb="FF000000"/>
        <sz val="12.0"/>
      </rPr>
      <t>list_name</t>
    </r>
    <r>
      <rPr>
        <rFont val="Calibri"/>
        <color rgb="FF000000"/>
        <sz val="12.0"/>
      </rPr>
      <t xml:space="preserve">. Example: </t>
    </r>
    <r>
      <rPr>
        <rFont val="Calibri"/>
        <b/>
        <color rgb="FF000000"/>
        <sz val="12.0"/>
      </rPr>
      <t>yesno</t>
    </r>
  </si>
  <si>
    <r>
      <rPr>
        <rFont val="Calibri"/>
        <color rgb="FF000000"/>
        <sz val="12.0"/>
      </rPr>
      <t xml:space="preserve">This column specifies the internal value stored for a given choice. (It should really be called "value" rather than "name".) Example: </t>
    </r>
    <r>
      <rPr>
        <rFont val="Calibri"/>
        <b/>
        <color rgb="FF000000"/>
        <sz val="12.0"/>
      </rPr>
      <t xml:space="preserve">1
</t>
    </r>
    <r>
      <rPr>
        <rFont val="Calibri"/>
        <color rgb="FF000000"/>
        <sz val="12.0"/>
      </rPr>
      <t>If dynamically loading from a pre-loaded .csv file, this should instead be the .csv column name from which to load option values.</t>
    </r>
  </si>
  <si>
    <r>
      <rPr>
        <rFont val="Calibri"/>
        <color rgb="FF000000"/>
        <sz val="12.0"/>
      </rPr>
      <t xml:space="preserve">This column specifies the label to use for a given choice, in the form's default language. Example: </t>
    </r>
    <r>
      <rPr>
        <rFont val="Calibri"/>
        <b/>
        <color rgb="FF000000"/>
        <sz val="12.0"/>
      </rPr>
      <t xml:space="preserve">Yes
</t>
    </r>
    <r>
      <rPr>
        <rFont val="Calibri"/>
        <color rgb="FF000000"/>
        <sz val="12.0"/>
      </rPr>
      <t>If dynamically loading from a pre-loaded .csv file, this should instead be the .csv column name -- or comma-separated list of column names -- from which to load option labels for the default language.</t>
    </r>
  </si>
  <si>
    <t>fieldname</t>
  </si>
  <si>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
View the help topic below for more details.</t>
    </r>
  </si>
  <si>
    <t>Enumerator selection field (require a special code in order to reveal the full enumerator list):</t>
  </si>
  <si>
    <r>
      <rPr>
        <rFont val="Calibri"/>
        <color rgb="FF000000"/>
        <sz val="12.0"/>
      </rPr>
      <t xml:space="preserve">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 xml:space="preserve">paddy.png
</t>
    </r>
    <r>
      <rPr>
        <rFont val="Calibri"/>
        <color rgb="FF000000"/>
        <sz val="12.0"/>
      </rPr>
      <t>If dynamically loading from a pre-loaded .csv file, this should instead be the .csv column name from which to load image filenames.
View the help topic below for more details.</t>
    </r>
  </si>
  <si>
    <t>other-user-code(xyz)</t>
  </si>
  <si>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images in an alternative language.</t>
    </r>
  </si>
  <si>
    <t>respondent</t>
  </si>
  <si>
    <r>
      <rPr>
        <rFont val="Calibri"/>
        <color rgb="FF000000"/>
        <sz val="12.0"/>
      </rPr>
      <t xml:space="preserve">To filter the list of options displayed, a filter value can be specified here, along with a filter expression in the </t>
    </r>
    <r>
      <rPr>
        <rFont val="Calibri"/>
        <i/>
        <color rgb="FF000000"/>
        <sz val="12.0"/>
      </rPr>
      <t>choice_filter</t>
    </r>
    <r>
      <rPr>
        <rFont val="Calibri"/>
        <color rgb="FF000000"/>
        <sz val="12.0"/>
      </rPr>
      <t xml:space="preserve"> column of the </t>
    </r>
    <r>
      <rPr>
        <rFont val="Calibri"/>
        <i/>
        <color rgb="FF000000"/>
        <sz val="12.0"/>
      </rPr>
      <t>survey</t>
    </r>
    <r>
      <rPr>
        <rFont val="Calibri"/>
        <color rgb="FF000000"/>
        <sz val="12.0"/>
      </rPr>
      <t xml:space="preserve"> worksheet. For example, you might have </t>
    </r>
    <r>
      <rPr>
        <rFont val="Calibri"/>
        <i/>
        <color rgb="FF000000"/>
        <sz val="12.0"/>
      </rPr>
      <t>filter</t>
    </r>
    <r>
      <rPr>
        <rFont val="Calibri"/>
        <color rgb="FF000000"/>
        <sz val="12.0"/>
      </rPr>
      <t xml:space="preserve"> values like </t>
    </r>
    <r>
      <rPr>
        <rFont val="Calibri"/>
        <b/>
        <color rgb="FF000000"/>
        <sz val="12.0"/>
      </rPr>
      <t>LAC</t>
    </r>
    <r>
      <rPr>
        <rFont val="Calibri"/>
        <color rgb="FF000000"/>
        <sz val="12.0"/>
      </rPr>
      <t xml:space="preserve"> and a </t>
    </r>
    <r>
      <rPr>
        <rFont val="Calibri"/>
        <i/>
        <color rgb="FF000000"/>
        <sz val="12.0"/>
      </rPr>
      <t>choice_filter</t>
    </r>
    <r>
      <rPr>
        <rFont val="Calibri"/>
        <color rgb="FF000000"/>
        <sz val="12.0"/>
      </rPr>
      <t xml:space="preserve"> like </t>
    </r>
    <r>
      <rPr>
        <rFont val="Calibri"/>
        <b/>
        <color rgb="FF000000"/>
        <sz val="12.0"/>
      </rPr>
      <t>filter=${survey_region}</t>
    </r>
    <r>
      <rPr>
        <rFont val="Calibri"/>
        <color rgb="FF000000"/>
        <sz val="12.0"/>
      </rPr>
      <t xml:space="preserve">. For more details, see the following help topic: </t>
    </r>
    <r>
      <rPr>
        <rFont val="Calibri"/>
        <i/>
        <color rgb="FF000000"/>
        <sz val="12.0"/>
      </rPr>
      <t>How can I filter the list of multiple-choice options presented to users?</t>
    </r>
  </si>
  <si>
    <t>6. Cikin wane komin kake aiki?</t>
  </si>
  <si>
    <t>search('locations_short')</t>
  </si>
  <si>
    <t>PM - ${pm_name} (age: ${pm_age})</t>
  </si>
  <si>
    <t>PM - ${pm_name}</t>
  </si>
  <si>
    <t>Enumerator selection field (require a special code in order to enter a new enumerator):</t>
  </si>
  <si>
    <t>add-new-code(xyz)</t>
  </si>
  <si>
    <t>CALC: Pull commune name</t>
  </si>
  <si>
    <t>pulldata('locations_short', 'commune_name', 'commune_id', ${commune})</t>
  </si>
  <si>
    <t>SHM - ${shm_name} (age: ${shm_age})</t>
  </si>
  <si>
    <t>SHM - ${shm_name}</t>
  </si>
  <si>
    <t>pm_home_location</t>
  </si>
  <si>
    <t>Enumerator selection field:</t>
  </si>
  <si>
    <t>${commune_name}</t>
  </si>
  <si>
    <t>default-to-entry</t>
  </si>
  <si>
    <t>Woman - ${w_name} (age: ${w_age})</t>
  </si>
  <si>
    <t>if(${commune_name} = 'Badaguichiri', "1", "3")</t>
  </si>
  <si>
    <t>default-to-scan</t>
  </si>
  <si>
    <t>select_one locality</t>
  </si>
  <si>
    <t>7. What village/neighborhood are you surveying in?</t>
  </si>
  <si>
    <t>7. Dans quelle ville/village faites-vous votre enquête ?</t>
  </si>
  <si>
    <t>7. Cikin wane gari kake binciken?</t>
  </si>
  <si>
    <t>search('locations_short', 'matches', 'commune_id', ${commune})</t>
  </si>
  <si>
    <t>CALC: Pull locality name</t>
  </si>
  <si>
    <t>None</t>
  </si>
  <si>
    <t>pulldata('locations_short', 'locality_name', 'vn', ${locality})</t>
  </si>
  <si>
    <t>Aucun</t>
  </si>
  <si>
    <t>text</t>
  </si>
  <si>
    <t>Babu</t>
  </si>
  <si>
    <t>Standard text field:</t>
  </si>
  <si>
    <t>village_id</t>
  </si>
  <si>
    <t>if(${locality_name} = "Adingirou", "001",
if(${locality_name} = "Ambaroura", "002",
if(${locality_name} = "Badaguichiri 2", "003",
if(${locality_name} = "kaoura Abdou", "004",
if(${locality_name} = "Kirékafada", "005",
if(${locality_name} = "Kobkoli", "006",
if(${locality_name} = "Koutoutourou", "007",
if(${locality_name} = "Roumbouki", "009",
if(${locality_name} = "Tchigili", "011",
if(${locality_name} = "Zangon-Kachéfawa", "014",
if(${locality_name} = "Gidan Illa", "044",
if(${locality_name} = "Guidan Daouda", "045",
if(${locality_name} = "Guidan Karo I", "046",
if(${locality_name} = "Guidan Karo II", "047", "057"))))))))))))))</t>
  </si>
  <si>
    <t>id_startswith</t>
  </si>
  <si>
    <t>concat(${commune_id}, '-', ${village_id})</t>
  </si>
  <si>
    <t>end group</t>
  </si>
  <si>
    <t>Text field which uses the numeric keypad:</t>
  </si>
  <si>
    <t>numbers</t>
  </si>
  <si>
    <t>resp</t>
  </si>
  <si>
    <t>${shm_name} (age: ${shm_age})</t>
  </si>
  <si>
    <t>${w_name} (age: ${w_age})</t>
  </si>
  <si>
    <t>period</t>
  </si>
  <si>
    <t>"From our most recent phone survey (September 2024) to now"</t>
  </si>
  <si>
    <t>integer</t>
  </si>
  <si>
    <t>period_french</t>
  </si>
  <si>
    <t>Standard integer field:</t>
  </si>
  <si>
    <t>"De la fin de saison des pluies (septembre 2024) à maintenant"</t>
  </si>
  <si>
    <t>id</t>
  </si>
  <si>
    <t>id_key</t>
  </si>
  <si>
    <t>hh_id</t>
  </si>
  <si>
    <t>period_hausa</t>
  </si>
  <si>
    <t>"Daga karshen lokacin damana (Satumba 2024) zuwa yanzu"</t>
  </si>
  <si>
    <t>select_one id</t>
  </si>
  <si>
    <t>8. Select the Household ID number:</t>
  </si>
  <si>
    <t>8. Sélectionnez le numéro d'identification du ménage :</t>
  </si>
  <si>
    <t>8. Zaɓi lambar ID na Gida:</t>
  </si>
  <si>
    <t>Enumerator: if you can't find the Household ID in the given list, please double check your entries for the commune and village name in the previous page.</t>
  </si>
  <si>
    <t>Agent enquêteur : si vous ne trouvez pas l'identifiant du ménage sur la liste donnée, veuillez vérifier vos entrées pour le nom de la commune et du village sur la page précédente.</t>
  </si>
  <si>
    <t>Mai bincike: idan ba ka samu ID na Gidan a cikin jerin sunayen da aka bayar ba, to ka sake duba sunan komin da sunan garin a cikin shafin da ya gabata.</t>
  </si>
  <si>
    <t>search('baseline_ids_fu5_short', 'startswith', 'hh_id', ${id_startswith})</t>
  </si>
  <si>
    <t>sex</t>
  </si>
  <si>
    <t>decimal</t>
  </si>
  <si>
    <t>Standard decimal field:</t>
  </si>
  <si>
    <t>Male</t>
  </si>
  <si>
    <t>Homme</t>
  </si>
  <si>
    <t>Namiji</t>
  </si>
  <si>
    <t>if(${id}!= null, pulldata('baseline_ids_fu5_short', 'hh_id', 'id_key', ${id}), null)</t>
  </si>
  <si>
    <t>phase</t>
  </si>
  <si>
    <t>Female</t>
  </si>
  <si>
    <t>pulldata('baseline_ids_fu5_short', 'phase', 'hh_id', ${hh_id})</t>
  </si>
  <si>
    <t>Femme</t>
  </si>
  <si>
    <t>Mace</t>
  </si>
  <si>
    <t>pm_name</t>
  </si>
  <si>
    <t>pulldata('baseline_ids_fu5_short', 'pm_name', 'hh_id', ${hh_id})</t>
  </si>
  <si>
    <t>shm_name</t>
  </si>
  <si>
    <t>pulldata('baseline_ids_fu5_short', 'shm_name', 'hh_id', ${hh_id})</t>
  </si>
  <si>
    <t>relation</t>
  </si>
  <si>
    <t>Household head</t>
  </si>
  <si>
    <t>Chef de menage</t>
  </si>
  <si>
    <t>Mai gida</t>
  </si>
  <si>
    <t>select_one listname</t>
  </si>
  <si>
    <t>w_name</t>
  </si>
  <si>
    <t>Standard multiple-choice field (allows one selection, shown as series of radio buttons):</t>
  </si>
  <si>
    <t>pulldata('baseline_ids_fu5_short', 'w_name', 'hh_id', ${hh_id})</t>
  </si>
  <si>
    <t>pm_age</t>
  </si>
  <si>
    <t>Spouse</t>
  </si>
  <si>
    <t>Conjoint</t>
  </si>
  <si>
    <t>Uwar gida/ Mata</t>
  </si>
  <si>
    <t>pulldata('baseline_ids_fu5_short', 'pm_age', 'hh_id', ${hh_id})</t>
  </si>
  <si>
    <t>Son/daughter</t>
  </si>
  <si>
    <t>Fils/fille</t>
  </si>
  <si>
    <t>shm_age</t>
  </si>
  <si>
    <t>Ɗa/ɗiya</t>
  </si>
  <si>
    <t>pulldata('baseline_ids_fu5_short', 'shm_age', 'hh_id', ${hh_id})</t>
  </si>
  <si>
    <t>w_age</t>
  </si>
  <si>
    <t>Father/mother</t>
  </si>
  <si>
    <t>Père/mère</t>
  </si>
  <si>
    <t>Uwa/uba</t>
  </si>
  <si>
    <t>Multiple-choice field (allows one selection, shown horizontally along likert-type scale):</t>
  </si>
  <si>
    <t>pulldata('baseline_ids_fu5_short', 'w_age', 'hh_id', ${hh_id})</t>
  </si>
  <si>
    <t>likert</t>
  </si>
  <si>
    <t>Brother/sister</t>
  </si>
  <si>
    <t>Frère/sœur</t>
  </si>
  <si>
    <t>Wa/ƙane/Ya/ƙanwa</t>
  </si>
  <si>
    <t>pm_hoh</t>
  </si>
  <si>
    <t>pulldata('baseline_ids_fu5_short', 'pm_hoh', 'hh_id', ${hh_id})</t>
  </si>
  <si>
    <t>Nephew/niece</t>
  </si>
  <si>
    <t>Neveu/nièce</t>
  </si>
  <si>
    <t>Ɗan ƙane ko wa/Ɗiyar ƙane ko wa</t>
  </si>
  <si>
    <t>shm_hoh</t>
  </si>
  <si>
    <t>pulldata('baseline_ids_fu5_short', 'shm_hoh', 'hh_id', ${hh_id})</t>
  </si>
  <si>
    <t>Grand-parent</t>
  </si>
  <si>
    <t>Kaka</t>
  </si>
  <si>
    <t>Multiple-choice field (allows one selection, shown horizontally along likert-type scale, labels only at ends of the scale):</t>
  </si>
  <si>
    <t>w_hoh</t>
  </si>
  <si>
    <t>likert-min</t>
  </si>
  <si>
    <t>Father/mother-in-law</t>
  </si>
  <si>
    <t>Beau-père/ belle-mère</t>
  </si>
  <si>
    <t>The settings worksheet</t>
  </si>
  <si>
    <t>pulldata('baseline_ids_fu5_short', 'w_hoh', 'hh_id', ${hh_id})</t>
  </si>
  <si>
    <t>Siriki/sarakuwa</t>
  </si>
  <si>
    <t>w_shm</t>
  </si>
  <si>
    <t>Brother in law/Sister in law</t>
  </si>
  <si>
    <t>pulldata('baseline_ids_fu5_short', 'w_shm', 'hh_id', ${hh_id})</t>
  </si>
  <si>
    <t>Beau-frère/belle-sœur</t>
  </si>
  <si>
    <t>ƙane ko wan mata/ƙanwa ko yar mata</t>
  </si>
  <si>
    <t>Multiple-choice field (allows one selection, shown horizontally along likert-type scale, labels only at ends and middle of scale):</t>
  </si>
  <si>
    <t>missed_previous_fu</t>
  </si>
  <si>
    <t>likert-mid</t>
  </si>
  <si>
    <t>if(${round} = 3, pulldata('baseline_ids_fu5', 'missed_pm_fu_2', 'hh_id', ${hh_id}), pulldata('baseline_ids_fu5_short', 'missed_pm_fu_4', 'hh_id', ${hh_id}))</t>
  </si>
  <si>
    <t>Son/daughter-in-law</t>
  </si>
  <si>
    <t>Beau fils / belle-fille</t>
  </si>
  <si>
    <t>Mijin ɗiya/matar ɗa</t>
  </si>
  <si>
    <t>treatment</t>
  </si>
  <si>
    <t>This worksheet contains overall settings for your form, all specified in the second row of the worksheet. When you download a form template from your SurveyCTO server, these settings will be pre-filled for you.</t>
  </si>
  <si>
    <t>pulldata('baseline_ids_fu5_short', 'treatment_group', 'hh_id', ${hh_id})</t>
  </si>
  <si>
    <t>Grandchildren</t>
  </si>
  <si>
    <t>Petits-enfants</t>
  </si>
  <si>
    <t>Jikoki</t>
  </si>
  <si>
    <t>treatment_cfa</t>
  </si>
  <si>
    <t>Multiple-choice field (allows one selection, auto-advances to next question as soon as an option is selected):</t>
  </si>
  <si>
    <t>quick</t>
  </si>
  <si>
    <t>"1000"</t>
  </si>
  <si>
    <t>Cousin</t>
  </si>
  <si>
    <t>Cousin/Cousine</t>
  </si>
  <si>
    <t>Dan/ Wa/Kanen uba</t>
  </si>
  <si>
    <t>surv_not_done</t>
  </si>
  <si>
    <t>Co-spouse</t>
  </si>
  <si>
    <t>Co-épouse</t>
  </si>
  <si>
    <t>Kishiya</t>
  </si>
  <si>
    <t>select_one yesno</t>
  </si>
  <si>
    <t>resp_confirm</t>
  </si>
  <si>
    <t>Multiple-choice field (allows one selection, shown as a drop-down selector):</t>
  </si>
  <si>
    <t>10. You indicated that you are attempting to interview ${pm_name} (age: ${pm_age}). Is that correct?</t>
  </si>
  <si>
    <t>10. Vous avez indiqué que vous tentez d'interroger ${pm_name} (âge : ${pm_age}). Est-ce exact ?</t>
  </si>
  <si>
    <t>10. Kun nuna cewa kuna ƙoƙarin yin hira da ${pm_name} (shekaru: ${pm_age}). Ko hakan daidai ne?</t>
  </si>
  <si>
    <t>minimal</t>
  </si>
  <si>
    <t>select_one resp</t>
  </si>
  <si>
    <t>No family relation</t>
  </si>
  <si>
    <t>resp_interview</t>
  </si>
  <si>
    <t>11. Who are you trying to interview? Here are the other respondents in this household:</t>
  </si>
  <si>
    <t>Aucun lien de parenté</t>
  </si>
  <si>
    <t>11. Qui essayez-vous d’interroger ? Voici les autres répondants de ce ménage :</t>
  </si>
  <si>
    <t>11. Wanene kuke ƙoƙarin yin hira da shi ? Ga sauran masu bada amsa a wannan gidan:</t>
  </si>
  <si>
    <t>Babu dangantaka</t>
  </si>
  <si>
    <t>${resp_confirm} = 0</t>
  </si>
  <si>
    <t>filter!=${w_shm}</t>
  </si>
  <si>
    <t>This is the title of your form. Enumerators will use the title to tell different forms apart. You will be able to revise the title of the form through subsequent form updates.
If you begin this title with TEST - (as in "TEST - Household listing survey"), it will not appear by default to users. View the help topic below for more details.</t>
  </si>
  <si>
    <t>resp_shm</t>
  </si>
  <si>
    <t>12. End of survey. Please return and fill out the SHM survey to collect survey responses.</t>
  </si>
  <si>
    <t>12. Fin de l'enquête. Veuillez revenir et remplir l'enquête du SHM pour collecter les réponses aux questions.</t>
  </si>
  <si>
    <t>12. Ƙarshen binciken kenan. Da fatan za a dawo baya a cika binciken SHM don tattara amsoshin binciken.</t>
  </si>
  <si>
    <r>
      <rPr>
        <rFont val="Calibri"/>
        <color rgb="FF000000"/>
        <sz val="12.0"/>
      </rPr>
      <t xml:space="preserve">This is the unique ID that will identify the form. The form ID must not contain spaces and must remain fixed for the life of the form. The form ID must also begin with a letter, and it can only include letters, numbers, underscores, and hyphens (no other punctuation or special characters).
Example: </t>
    </r>
    <r>
      <rPr>
        <rFont val="Calibri"/>
        <b/>
        <color rgb="FF000000"/>
        <sz val="12.0"/>
      </rPr>
      <t>hhlisting_round1</t>
    </r>
  </si>
  <si>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
View the help topic below for more details.</t>
  </si>
  <si>
    <t>${resp_interview} = 1</t>
  </si>
  <si>
    <t>This is the public key with which to encrypt all form submissions.
View the help topic below for more details.</t>
  </si>
  <si>
    <t>This is the submission URL to use when submitting encrypted forms.
View the help topic below for more details.</t>
  </si>
  <si>
    <t>This is the name of the language associated with labels, images, and other content when no other language is specified. For example, the label:french column is clearly in French, but the label column, which will display by default, is in an unknown language. Put the name of that default language here. 
View the help topic below for more details.</t>
  </si>
  <si>
    <t>Multiple-choice field (allows one selection, shown as a compact table of options):</t>
  </si>
  <si>
    <t>resp_w</t>
  </si>
  <si>
    <t>compact</t>
  </si>
  <si>
    <t>13. End of survey. Please return and fill out the Woman survey to collect survey responses.</t>
  </si>
  <si>
    <t>13. Fin de l'enquête. Veuillez revenir et remplir l'enquête de la Femme pour collecter les réponses aux questions.</t>
  </si>
  <si>
    <t>13. Ƙarshen binciken. Da fatan za a dawo baya a cika binciken Mace don tattara amsoshin binciken.</t>
  </si>
  <si>
    <t>call</t>
  </si>
  <si>
    <t>${resp_interview} = 2</t>
  </si>
  <si>
    <t>Phone did not ring</t>
  </si>
  <si>
    <t>Le téléphone n'a pas sonné</t>
  </si>
  <si>
    <t>Waya ba ta yi ƙara ba</t>
  </si>
  <si>
    <t>resp_available</t>
  </si>
  <si>
    <t>14. Is ${pm_name} available to be interviewed?</t>
  </si>
  <si>
    <t>Help topic: Hiding forms during testing</t>
  </si>
  <si>
    <t>14. Est-ce que ${pm_name} est disponible pour être interviewé ?</t>
  </si>
  <si>
    <t>14. Ko ${pm_name} yana da damar yin hira mu?</t>
  </si>
  <si>
    <t>${resp_confirm} = 1</t>
  </si>
  <si>
    <t>Phone rang but no one picked up</t>
  </si>
  <si>
    <t>select_one unavail_why</t>
  </si>
  <si>
    <t>resp_available_why</t>
  </si>
  <si>
    <t>Le téléphone a sonné mais personne n'a décroché</t>
  </si>
  <si>
    <t>15. Enumerator: Please specify why ${pm_name} is not available right now:</t>
  </si>
  <si>
    <t>15. Enqueteur: veuillez specifier pourquoi ${pm_name} n'est pas disponible maintenant</t>
  </si>
  <si>
    <t>Waya tayi ƙara amma babu wanda ya dauka</t>
  </si>
  <si>
    <t>15. Dan binkike: dan mine ${pm_name} bai nan a yanzu</t>
  </si>
  <si>
    <t>${resp_available} = 0</t>
  </si>
  <si>
    <t>Help topic: Updating an existing form</t>
  </si>
  <si>
    <t>resp_available_why_o</t>
  </si>
  <si>
    <t>16. Other, specify:</t>
  </si>
  <si>
    <t>16. Autre précisez:</t>
  </si>
  <si>
    <t>16. Sauran, bayar da cikakkun bayanai:</t>
  </si>
  <si>
    <t>Phone rang and was answered</t>
  </si>
  <si>
    <t>${resp_available_why} = -777</t>
  </si>
  <si>
    <t>Le téléphone a sonné et on a répondu</t>
  </si>
  <si>
    <t>Waya tayi kara kuma an amsa</t>
  </si>
  <si>
    <t>Multiple-choice field (allows one selection, shown as a compact table of options with exactly three columns):</t>
  </si>
  <si>
    <t>compact-3</t>
  </si>
  <si>
    <t>consent</t>
  </si>
  <si>
    <t>18. &lt;p&gt;&lt;span style="color: #ff0000;"&gt;&lt;b&gt;ENUMERATOR: Starting now, you will read the questions out loud.&lt;/b&gt;&lt;/span&gt;
 &lt;br&gt; &lt;br&gt; 
 Great, we visited you a couple of days ago but need to ask some questions related to you location at the beginning of ${period}. This survey will not take more than 5 minutes. &lt;br&gt; &lt;br&gt; 
 &lt;b&gt;Can I ask you these questions now?&lt;/b&gt;</t>
  </si>
  <si>
    <t>18. &lt;p&gt;&lt;span style="color: #ff0000;"&gt;&lt;b&gt;ENQUETEUR : À partir de maintenant, vous lirez les questions à haute voix.&lt;/b&gt;&lt;/span&gt;
 &lt;br&gt; &lt;br&gt; 
Super, nous vous avons rendu visite il y a quelques jours mais nous devons vous poser quelques questions concernant votre localisation au début de ${period_french}. Cette enquête ne vous prendra pas plus de 5 minutes.&lt;br&gt; &lt;br&gt; 
 &lt;b&gt;Puis-je vous poser ces questions maintenant?&lt;/b&gt;</t>
  </si>
  <si>
    <t>18. &lt;p&gt;&lt;span style="color: #ff0000;"&gt;&lt;b&gt;Mai bincike: Daga yanzu, za ka karanta tambayoyin da babbar murya.&lt;/b&gt;&lt;/span&gt;
 &lt;br&gt; &lt;br&gt; 
Madalla, mun ziyarce ku kwanaki biyu da suka gabata amma muna buƙatar yin wasu tambayoyi masu alaƙa da wurin ku a farkon ${period_hausa}. Wannan binciken ba zai ɗauki fiye da mintuna 5 ba.&lt;br&gt;&lt;br&gt;
 &lt;b&gt;Zan iya yi muku wadannan tambayoyin yanzu?&lt;/b&gt;</t>
  </si>
  <si>
    <t>${resp_available} = 1</t>
  </si>
  <si>
    <t>speedcheck_intro_end</t>
  </si>
  <si>
    <t>contact_relation</t>
  </si>
  <si>
    <t>Spouse/partner</t>
  </si>
  <si>
    <t>Conjoint/partenaire</t>
  </si>
  <si>
    <t>Miji/mace/</t>
  </si>
  <si>
    <t>Multiple-choice field (allows one selection, shown as a compact table of options, auto-advances to next question as soon as an option is selected):</t>
  </si>
  <si>
    <t>quickcompact</t>
  </si>
  <si>
    <t>dur_intro</t>
  </si>
  <si>
    <t>${speedcheck_intro_end} - ${speedcheck_intro_start}</t>
  </si>
  <si>
    <t>Child</t>
  </si>
  <si>
    <t>Enfant</t>
  </si>
  <si>
    <t>Yaro</t>
  </si>
  <si>
    <t>consented</t>
  </si>
  <si>
    <t>Consent: Yes</t>
  </si>
  <si>
    <t>${consent} = 1</t>
  </si>
  <si>
    <t>Parent</t>
  </si>
  <si>
    <t>Uwa</t>
  </si>
  <si>
    <t>form_questions</t>
  </si>
  <si>
    <t>Multiple-choice field (allows one selection, shown as a compact table of options with exactly three columns, auto-advances to next question as soon as an option is selected):</t>
  </si>
  <si>
    <t>quickcompact-3</t>
  </si>
  <si>
    <t>Sibling</t>
  </si>
  <si>
    <t>Frère et sœur</t>
  </si>
  <si>
    <t>Ɗan uwa/ƴar uwa</t>
  </si>
  <si>
    <t>speedcheck_pm_start</t>
  </si>
  <si>
    <t>Member of spouse's family</t>
  </si>
  <si>
    <t>Membre de la famille du conjoint</t>
  </si>
  <si>
    <t>Dan gidan aure</t>
  </si>
  <si>
    <t>Multiple-choice field (allows one selection, loads options from pre-loaded .csv file, includes options based on a "contains" comparison):</t>
  </si>
  <si>
    <t>pm_questions</t>
  </si>
  <si>
    <t>PM Questionnaire</t>
  </si>
  <si>
    <t>search('hhplotdata', 'contains', 'respondentname', ${nametofind})</t>
  </si>
  <si>
    <t>Other family member</t>
  </si>
  <si>
    <t>Autre membre de la famille</t>
  </si>
  <si>
    <t>Wani dan uwa</t>
  </si>
  <si>
    <t>pm_note</t>
  </si>
  <si>
    <t>19. PM Questions</t>
  </si>
  <si>
    <t>19. Questions du Migrant potentiel</t>
  </si>
  <si>
    <t>19. Tambayoyin mai zuwa biɗa</t>
  </si>
  <si>
    <t>Friend</t>
  </si>
  <si>
    <t>Ami</t>
  </si>
  <si>
    <t>Aboki</t>
  </si>
  <si>
    <t>pm_home</t>
  </si>
  <si>
    <t>67. Think back to the beginning of ${period}, were you living at home in ${pm_home_location}?</t>
  </si>
  <si>
    <t>67. Repensez au début de ${period_french}, étiez-vous chez vous à ${pm_home_location} ?</t>
  </si>
  <si>
    <t>67. Ku tunada watanni a farkon ${period_hausa}, ko kana nan gida a garin ${pm_home_location}?</t>
  </si>
  <si>
    <t>Multiple-choice field (allows one selection, loads options from pre-loaded .csv file, includes options based on a "starts with" comparison):</t>
  </si>
  <si>
    <t>Neighbor</t>
  </si>
  <si>
    <t>Voisin</t>
  </si>
  <si>
    <t>Makwabci</t>
  </si>
  <si>
    <t>search('hhplotdata', 'startswith', 'respondentname', ${nameprefix})</t>
  </si>
  <si>
    <t>pm_past_in_niger</t>
  </si>
  <si>
    <t>68. Where were you living at this time?
 Enumerator: Is location in Niger?</t>
  </si>
  <si>
    <t>68. Où étiez-vous à cette époque ?
 Enquêteur : La localité est-elle au Niger ?</t>
  </si>
  <si>
    <t>68. A ina kake a wannan lokacin?
 Ɗan bincike : Ko wurin a cikin Nijar ne?</t>
  </si>
  <si>
    <t>${pm_home} = 0</t>
  </si>
  <si>
    <t>Other</t>
  </si>
  <si>
    <t>Autre</t>
  </si>
  <si>
    <t>Wani daban</t>
  </si>
  <si>
    <t>select_one region</t>
  </si>
  <si>
    <t>pm_past_region</t>
  </si>
  <si>
    <t>69. Enumerator: Select region in Niger</t>
  </si>
  <si>
    <t>69. Enquêteur : Sélectionnez une région au Niger</t>
  </si>
  <si>
    <t>69. Ɗan bincike: Zaɓi Jaha ɗaya a Nijar</t>
  </si>
  <si>
    <t>${pm_past_in_niger} = 1</t>
  </si>
  <si>
    <t>Multiple-choice field (allows one selection, loads options from pre-loaded .csv file, includes options based on an "ends with" comparison):</t>
  </si>
  <si>
    <t>search('hhplotdata', 'endswith', 'respondentname', ${namesuffix})</t>
  </si>
  <si>
    <t>select_one mig_countries</t>
  </si>
  <si>
    <t>pm_past_country</t>
  </si>
  <si>
    <t>70. Enumerator: Select country</t>
  </si>
  <si>
    <t>70. Enquêteur : sélectionnez le pays</t>
  </si>
  <si>
    <t>70. Ɗan bincike: Zaɓi ƙasa</t>
  </si>
  <si>
    <t>${pm_past_in_niger} = 0</t>
  </si>
  <si>
    <t>interest</t>
  </si>
  <si>
    <t>Not very interested</t>
  </si>
  <si>
    <t>Pas très intéressé</t>
  </si>
  <si>
    <t>Ba sha'awa sosai</t>
  </si>
  <si>
    <t>pm_past_country_o</t>
  </si>
  <si>
    <t>71. Enumerator: Enter other country</t>
  </si>
  <si>
    <t>71. Enquêteur : Entrez un autre pays</t>
  </si>
  <si>
    <t>71. Ɗan bincike: Shigar da wata ƙasa</t>
  </si>
  <si>
    <t>${pm_past_country} = -777</t>
  </si>
  <si>
    <t>Multiple-choice field (allows one selection, loads options from pre-loaded .csv file, includes options based on an "exact match" comparison):</t>
  </si>
  <si>
    <t>Somewhat interested</t>
  </si>
  <si>
    <t>search('hhplotdata', 'matches', 'respondentname', ${nametofind})</t>
  </si>
  <si>
    <t>Un peu intéressé</t>
  </si>
  <si>
    <t>select_one towns</t>
  </si>
  <si>
    <t>pm_past_town</t>
  </si>
  <si>
    <t>Da ɗan sha'awa</t>
  </si>
  <si>
    <t>72. Enumerator: Select town</t>
  </si>
  <si>
    <t>72. Enquêteur : Sélectionnez la ville</t>
  </si>
  <si>
    <t>72. Ɗan bincike: Zaɓi gari</t>
  </si>
  <si>
    <t>search('towns', 'matches', 'country_id', ${pm_past_country})</t>
  </si>
  <si>
    <t>${pm_past_in_niger} = 0 and ${pm_past_country} != -999</t>
  </si>
  <si>
    <t>Very interested</t>
  </si>
  <si>
    <t>Très intéressé</t>
  </si>
  <si>
    <t>pm_past_town_o</t>
  </si>
  <si>
    <t>Da Sha'awa sosai</t>
  </si>
  <si>
    <t>73. Other, specify:</t>
  </si>
  <si>
    <t>73. Autre précisez:</t>
  </si>
  <si>
    <t>73. Wani daban baiyana:</t>
  </si>
  <si>
    <t>selected(${pm_past_town}, '-777')</t>
  </si>
  <si>
    <t>Multiple-choice field (allows one selection, loads options from pre-loaded .csv file, includes options based on both a "contains" comparison and an "exact match" filter):</t>
  </si>
  <si>
    <t>pm_past_town_id</t>
  </si>
  <si>
    <t>search('hhplotdata', 'contains', 'respondentname', ${nametofind}, 'villageid', ${villageid})</t>
  </si>
  <si>
    <t>concat(${pm_past_country}, '-', ${pm_past_town})</t>
  </si>
  <si>
    <t>patient</t>
  </si>
  <si>
    <t>pm_past_town_name</t>
  </si>
  <si>
    <t>Impatient</t>
  </si>
  <si>
    <t>Babu haƙuri</t>
  </si>
  <si>
    <t>if(${pm_past_in_niger} = 1, choice-label(${pm_past_region}, ${pm_past_region}), pulldata('towns', 'town_name', 'combined_id', ${pm_past_town_id}))</t>
  </si>
  <si>
    <t>select_multiple listname</t>
  </si>
  <si>
    <t>Standard multiple-choice field (allows multiple selections, shown as series of radio buttons):</t>
  </si>
  <si>
    <t>pm_beginning_location</t>
  </si>
  <si>
    <t>Somewhat patient</t>
  </si>
  <si>
    <t>Un peu patient</t>
  </si>
  <si>
    <t>Da ɗan haƙuri</t>
  </si>
  <si>
    <t>if(${pm_home} = 1, ${pm_home_location}, 
if(selected(${pm_past_town}, '-777'), ${pm_past_town_o}, ${pm_past_town_name}))</t>
  </si>
  <si>
    <t>pm_beginning_country</t>
  </si>
  <si>
    <t>Very patient</t>
  </si>
  <si>
    <t>Très patient</t>
  </si>
  <si>
    <t>if(${pm_home} = 1 or ${pm_past_in_niger} = 1, 1, 
if(selected(${pm_past_country}, '-777'), ${pm_past_country_o}, ${pm_past_country}))</t>
  </si>
  <si>
    <t>Da Hakuri sosai</t>
  </si>
  <si>
    <t>1. What round is this?</t>
  </si>
  <si>
    <t>Multiple-choice field (allows multiple selections, shown as a pop-up selector):</t>
  </si>
  <si>
    <t>1. quel tour est-ce ?</t>
  </si>
  <si>
    <t>1. Wane kewaye ne?</t>
  </si>
  <si>
    <t>pm_past_in_ecowas</t>
  </si>
  <si>
    <t>if(${pm_past_in_niger} = 0 and 
(${pm_past_country} = 3 or
${pm_past_country} = 6 or
${pm_past_country} = 7 or
${pm_past_country} = 9 or
${pm_past_country} = 10 or
${pm_past_country} = 13 or
${pm_past_country} = 14 or
${pm_past_country} = 15 or
${pm_past_country} = 16 or
${pm_past_country} = 17 or
${pm_past_country} = 18 or
${pm_past_country} = 19), 1, 0)</t>
  </si>
  <si>
    <t>2. Who is your team leader?</t>
  </si>
  <si>
    <t>2. Qui est votre chef d'équipe?</t>
  </si>
  <si>
    <t xml:space="preserve">2. </t>
  </si>
  <si>
    <t>pm_current_location_same</t>
  </si>
  <si>
    <t>74. Are you living in the same location now?</t>
  </si>
  <si>
    <t>74. Vivez-vous au même endroit maintenant?</t>
  </si>
  <si>
    <t>74. Ko kana zaune a wurin na da a yanzu?</t>
  </si>
  <si>
    <t>3. What is your name?</t>
  </si>
  <si>
    <t>3. Quel est votre nom?</t>
  </si>
  <si>
    <t>3. Menene sunanka?</t>
  </si>
  <si>
    <t>comprehension</t>
  </si>
  <si>
    <t>Did not understand</t>
  </si>
  <si>
    <t>N'a pas compris</t>
  </si>
  <si>
    <t>Multiple-choice field (allows multiple selections, shown as a compact table of options):</t>
  </si>
  <si>
    <t>Bai gane ba</t>
  </si>
  <si>
    <t>pm_current_in_niger</t>
  </si>
  <si>
    <t>75. Where are you living?
 Enumerator: Is location in Niger?</t>
  </si>
  <si>
    <t>75. Où habites-tu?
 Énquêteur: le lieu est-il au Niger?</t>
  </si>
  <si>
    <t>75. Ina kake zaune?
 Dan bincike: Ko wurin a Nijar ne?</t>
  </si>
  <si>
    <t>${pm_current_location_same} = 0</t>
  </si>
  <si>
    <t xml:space="preserve">1. </t>
  </si>
  <si>
    <t>4. Quel est le nom de votre binôme?</t>
  </si>
  <si>
    <t>4. Menene sunan abokin aikinka</t>
  </si>
  <si>
    <t>Understood somewhat</t>
  </si>
  <si>
    <t>Un peu compris</t>
  </si>
  <si>
    <t>Ya gane ɗan kadan</t>
  </si>
  <si>
    <t>pm_current_region</t>
  </si>
  <si>
    <t>76. Enumerator: Select region in Niger</t>
  </si>
  <si>
    <t>76. Enquêteur : Sélectionnez une région au Niger</t>
  </si>
  <si>
    <t>76. Ɗan bincike: Zaɓi Jaha ɗaya a Nijar</t>
  </si>
  <si>
    <t>5. What commune are you surveying in?</t>
  </si>
  <si>
    <t>${pm_current_in_niger} = 1</t>
  </si>
  <si>
    <t>5. Quelle est votre commune de travail ?</t>
  </si>
  <si>
    <t>5. Cikin wane komin kake aiki?</t>
  </si>
  <si>
    <t>Multiple-choice field (allows multiple selections, shown as a compact table of options with exactly three columns):</t>
  </si>
  <si>
    <t>Understood well</t>
  </si>
  <si>
    <t>Bien compris</t>
  </si>
  <si>
    <t>Ya gane sosai</t>
  </si>
  <si>
    <t>pm_current_country</t>
  </si>
  <si>
    <t>77. Enumerator: Select country</t>
  </si>
  <si>
    <t>77. Enquêteur : sélectionnez le pays</t>
  </si>
  <si>
    <t>77. Ɗan bincike: Zaɓi ƙasa</t>
  </si>
  <si>
    <t>${pm_current_in_niger} = 0</t>
  </si>
  <si>
    <t>filter!=0</t>
  </si>
  <si>
    <t>6. What village/neighborhood are you surveying in?</t>
  </si>
  <si>
    <t>6. Dans quelle ville/village faites-vous votre enquête ?</t>
  </si>
  <si>
    <t>6. Cikin wane gari kake binciken?</t>
  </si>
  <si>
    <t>pm_current_country_o</t>
  </si>
  <si>
    <t>78. Enumerator: Enter other country</t>
  </si>
  <si>
    <t>78. Enquêteur : Entrez un autre pays</t>
  </si>
  <si>
    <t>78. Ɗan bincike: Shigar da wata ƙasa</t>
  </si>
  <si>
    <t>${pm_current_country} = -777</t>
  </si>
  <si>
    <t>7. Select the Household ID number:</t>
  </si>
  <si>
    <t xml:space="preserve">7. </t>
  </si>
  <si>
    <t>Multiple-choice field (allows multiple selections, loads options from pre-loaded .csv file, includes options based on a "contains" comparison):</t>
  </si>
  <si>
    <t>pm_current_town</t>
  </si>
  <si>
    <t>79. Enumerator: Select town</t>
  </si>
  <si>
    <t>79. Enquêteur : Sélectionnez la ville</t>
  </si>
  <si>
    <t>79. Ɗan bincike: Zaɓi gari</t>
  </si>
  <si>
    <t>present</t>
  </si>
  <si>
    <t>search('towns', 'matches', 'country_id', ${pm_current_country})</t>
  </si>
  <si>
    <t>Alone</t>
  </si>
  <si>
    <t>Seul</t>
  </si>
  <si>
    <t>${pm_current_in_niger} = 0 and ${pm_current_country} != -999</t>
  </si>
  <si>
    <t>Shi kaɗai</t>
  </si>
  <si>
    <t>8. You indicated that you are attempting to interview ${shm_name} (age: ${shm_age}). Is that correct?</t>
  </si>
  <si>
    <t xml:space="preserve">8. </t>
  </si>
  <si>
    <t>pm_current_town_o</t>
  </si>
  <si>
    <t>80. Other, specify:</t>
  </si>
  <si>
    <t>80. Autre précisez:</t>
  </si>
  <si>
    <t>80. Wani daba baiyana:</t>
  </si>
  <si>
    <t>With spouse only</t>
  </si>
  <si>
    <t>Avec conjoint seulement</t>
  </si>
  <si>
    <t>selected(${pm_current_town}, '-777')</t>
  </si>
  <si>
    <t>Tare da mata kawai</t>
  </si>
  <si>
    <t>1. Follow-up Round 3</t>
  </si>
  <si>
    <t>1. Suivi du troisième tour</t>
  </si>
  <si>
    <t>1. Bibiyar Zagaye na 3</t>
  </si>
  <si>
    <t>Multiple-choice field (allows multiple selections, loads options from pre-loaded .csv file, includes options based on a "starts with" comparison):</t>
  </si>
  <si>
    <t>pm_current_town_id</t>
  </si>
  <si>
    <t>With household members</t>
  </si>
  <si>
    <t>Avec les membres du ménage</t>
  </si>
  <si>
    <t>Tare da yan gida</t>
  </si>
  <si>
    <t>concat(${pm_current_country}, '-', ${pm_current_town})</t>
  </si>
  <si>
    <t>10. &lt;p&gt;&lt;span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If you complete each in-person survey, we will send you ${treatment_cfa} in phone credit each time. You are free to skip any questions you do not wish to answer or to end the survey at any time. &lt;br&gt;&lt;br&gt;
&lt;b&gt;Can I ask you these questions now?&lt;/b&gt;</t>
  </si>
  <si>
    <t xml:space="preserve">10. </t>
  </si>
  <si>
    <t>pm_current_town_name</t>
  </si>
  <si>
    <t>With non-household members</t>
  </si>
  <si>
    <t>Avec des non-membres du ménage</t>
  </si>
  <si>
    <t>Tare da wadanda ba ƴan gida ba</t>
  </si>
  <si>
    <t>if(${pm_current_in_niger} = 1, choice-label(${pm_current_region}, ${pm_current_region}), 
if(selected(${pm_current_town}, '-777'), ${pm_current_town_o}, pulldata('towns', 'town_name', 'combined_id', ${pm_current_town_id})))</t>
  </si>
  <si>
    <t>11. Is ${pm_name} currently living in your household?</t>
  </si>
  <si>
    <t>11. ${pm_name} vit-il actuellement dans votre ménage?</t>
  </si>
  <si>
    <t>11. Ko ${pm_name} yana zaune a gidan ku a hali yanzu?</t>
  </si>
  <si>
    <t>Multiple-choice field (allows multiple selections, loads options from pre-loaded .csv file, includes options based on an "ends with" comparison):</t>
  </si>
  <si>
    <t>pm_current_location</t>
  </si>
  <si>
    <t>Calculate current location</t>
  </si>
  <si>
    <t>if(${pm_current_location_same} = 1, ${pm_beginning_location}, ${pm_current_town_name})</t>
  </si>
  <si>
    <t>2. Wane kewaye ne?</t>
  </si>
  <si>
    <t>pm_current_country_lbl</t>
  </si>
  <si>
    <t>savings</t>
  </si>
  <si>
    <t>if(${pm_current_location_same} = 1, ${pm_beginning_country}, 
if(${pm_current_in_niger} = 1, 1, 
if(selected(${pm_current_country}, '-777'), ${pm_current_country_o}, ${pm_current_country})))</t>
  </si>
  <si>
    <t>Multiple-choice field (allows multiple selections, loads options from pre-loaded .csv file, includes options based on an "exact match" comparison):</t>
  </si>
  <si>
    <t>In cash</t>
  </si>
  <si>
    <t>En argent liquide</t>
  </si>
  <si>
    <t>A Tsabar kudi</t>
  </si>
  <si>
    <t>pm_current_in_ecowas</t>
  </si>
  <si>
    <t>if(${pm_current_in_niger} = 0 and
(${pm_current_country} = 3 or
${pm_current_country} = 6 or
${pm_current_country} = 7 or
${pm_current_country} = 9 or
${pm_current_country} = 10 or
${pm_current_country} = 13 or
${pm_current_country} = 14 or
${pm_current_country} = 15 or
${pm_current_country} = 16 or
${pm_current_country} = 17 or
${pm_current_country} = 18 or
${pm_current_country} = 19), 1, 0)</t>
  </si>
  <si>
    <t>In a bank account</t>
  </si>
  <si>
    <t>Dans un compte bancaire</t>
  </si>
  <si>
    <t>A cikin asusun banki</t>
  </si>
  <si>
    <t>pm_loc_beg_initial</t>
  </si>
  <si>
    <t>Multiple-choice field (allows multiple selections, loads options from pre-loaded .csv file, includes options based on both a "contains" comparison and an "exact match" filter):</t>
  </si>
  <si>
    <t>if(${pm_current_location_same} = 1, ${pm_beginning_location}, concat(${pm_beginning_location}, ' or ', ${pm_current_location}))</t>
  </si>
  <si>
    <t>pm_loc_beg_initial_fr</t>
  </si>
  <si>
    <t>In a mobile money account</t>
  </si>
  <si>
    <t>Dans un compte mobile money</t>
  </si>
  <si>
    <t>A cikin asusun wayar hannu</t>
  </si>
  <si>
    <t>if(${pm_current_location_same} = 1, ${pm_beginning_location}, concat(${pm_beginning_location}, ' ou ', ${pm_current_location}))</t>
  </si>
  <si>
    <t>In Jewelery or other valuables</t>
  </si>
  <si>
    <t>pm_loc_beg_initial_hausa</t>
  </si>
  <si>
    <t>geopoint</t>
  </si>
  <si>
    <t>Dans les bijoux ou autres objets de valeur</t>
  </si>
  <si>
    <t>A cikin kayan ado ko wasu abubuwa masu mahimmanci</t>
  </si>
  <si>
    <t>if(${pm_current_location_same} = 1, ${pm_beginning_location}, concat(${pm_beginning_location}, ' ko ', ${pm_current_location}))</t>
  </si>
  <si>
    <t>With a 'big man' in the area</t>
  </si>
  <si>
    <t>Avec un "grand homme" dans la région</t>
  </si>
  <si>
    <t>Tare da wani 'babban mutum' a jahar</t>
  </si>
  <si>
    <t>Standard GPS location-capture field:</t>
  </si>
  <si>
    <t>speedcheck_pm_end</t>
  </si>
  <si>
    <t>20. Enumerator: Select region in Niger</t>
  </si>
  <si>
    <t>20. Enquêteur : Sélectionnez une région au Niger</t>
  </si>
  <si>
    <t>By buying stocks of cereals</t>
  </si>
  <si>
    <t>20. Ɗan bincike: Zaɓi Jaha ɗaya a Nijar</t>
  </si>
  <si>
    <t xml:space="preserve">Achat du céréale </t>
  </si>
  <si>
    <t>dur_pm</t>
  </si>
  <si>
    <t>21. Enumerator: Select country</t>
  </si>
  <si>
    <t>21. Enquêteur : sélectionnez le pays</t>
  </si>
  <si>
    <t>21. Ɗan bincike: Zaɓi ƙasa</t>
  </si>
  <si>
    <t>${speedcheck_pm_end} - ${speedcheck_pm_start}</t>
  </si>
  <si>
    <t>geoshape</t>
  </si>
  <si>
    <t>Boundary-capture field (GPS polygon):</t>
  </si>
  <si>
    <t>enum_end</t>
  </si>
  <si>
    <t>Final Enumerator questions</t>
  </si>
  <si>
    <t>24. Other, specify:</t>
  </si>
  <si>
    <t>24. Autre précisez:</t>
  </si>
  <si>
    <t>freq</t>
  </si>
  <si>
    <t>Questions finales de l'enquêteur</t>
  </si>
  <si>
    <t>24. Sauran, bayar da cikakkun bayanai:</t>
  </si>
  <si>
    <t>Tambayoyin ƙarshe na ɗan bincike</t>
  </si>
  <si>
    <t>Never</t>
  </si>
  <si>
    <t>Jamais</t>
  </si>
  <si>
    <t>Har abada</t>
  </si>
  <si>
    <t>25. Do you currently have savings of each of the following types that you have put aside for yourself, separate from your household?</t>
  </si>
  <si>
    <t>25. Avez-vous actuellement des économies de chacun des types suivants que vous avez mises de côté pour vous-même, séparément de votre ménage ?</t>
  </si>
  <si>
    <t>25. Ko a halin yanzu kuna da tanadi na kowane nau'in waɗannan nau'ikan da kuka ware wa kanku?</t>
  </si>
  <si>
    <t>comment</t>
  </si>
  <si>
    <t>733. Enumerator: Record any comments on the survey</t>
  </si>
  <si>
    <t>733. Enquêteur : Veuillez noter vos commentaires si vous en avez</t>
  </si>
  <si>
    <t>733. Ɗan bincike: Yi rikodin duk wani sharhi akan binciken</t>
  </si>
  <si>
    <t>geotrace</t>
  </si>
  <si>
    <t>Il n'est pas obligatoire de faire des commentaires! N'ecrivez pas R.A.S.</t>
  </si>
  <si>
    <t>Rarely</t>
  </si>
  <si>
    <t>Rarement</t>
  </si>
  <si>
    <t>Jehi jehi</t>
  </si>
  <si>
    <t>Boundary- or path-capture field (GPS polyline or polygon):</t>
  </si>
  <si>
    <t>26. Specify other:</t>
  </si>
  <si>
    <t>26. Précisez autre :</t>
  </si>
  <si>
    <t>26. Ƙayyade wasu:</t>
  </si>
  <si>
    <t>gps</t>
  </si>
  <si>
    <t>Collect GPS</t>
  </si>
  <si>
    <t>Collecteur de GPS</t>
  </si>
  <si>
    <t>Mai daukan GPS</t>
  </si>
  <si>
    <t>GPS coordinates can only be collected when outside.</t>
  </si>
  <si>
    <t>Les coordonnées GPS ne peuvent être prises qu'à l'extérieur.</t>
  </si>
  <si>
    <t>Sometimes</t>
  </si>
  <si>
    <t>Parfois</t>
  </si>
  <si>
    <t>Lokaci zuwa lokaci</t>
  </si>
  <si>
    <t>27. Please share with us your best estimate of the value in CFA ${w_savings_name}</t>
  </si>
  <si>
    <t>27. Veuillez partager avec nous votre meilleure estimation de la valeur en CFA ${w_savings_name}</t>
  </si>
  <si>
    <t>27. Da fatan zaku faɗa mana ƙimar da kuke ganin yayi daidai a cikin CFA ${w_savings_name}</t>
  </si>
  <si>
    <t>Tambayoyin ɗan bincike na ƙarshe</t>
  </si>
  <si>
    <t>28. Do you earn interest on this money ${w_savings_name}?</t>
  </si>
  <si>
    <t>Often</t>
  </si>
  <si>
    <t>barcode</t>
  </si>
  <si>
    <t>28. Gagnez-vous des intérêts sur cet argent ${w_savings_name} ?</t>
  </si>
  <si>
    <t>Souvent</t>
  </si>
  <si>
    <t>28. Kuna samun riba akan wannan kuɗin ${w_savings_name}?</t>
  </si>
  <si>
    <t>Sau da yawa</t>
  </si>
  <si>
    <t>Standard scan-barcode field:</t>
  </si>
  <si>
    <t>29. Now I would like to ask you questions about some other important aspects of a woman's life. I know that some of these questions are very personal. Let me assure you that your answers are completely confidential and will not be told to anyone.
In the past three months has your husband or another member of your household prevented you from</t>
  </si>
  <si>
    <t>29. Maintenant, j'aimerais vous poser des questions sur d'autres aspects importants de la vie d'une femme. Je sais que certaines de ces questions sont très personnelles. Permettez-moi de vous assurer que vos réponses sont entièrement confidentielles et ne seront divulguées à personne.
Au cours des trois derniers mois, votre mari ou un autre membre de votre ménage vous a-t-il empêché de</t>
  </si>
  <si>
    <t>29. Yanzu zan ina son yi muku tambayoyi game da wasu muhimman al'amura na rayuwar mace. Na san cewa wasu daga cikin waɗannan tambayoyin na sirri ne. Bari in tabbatar muku cewa amsoshin ku na sirri ne gaba ɗaya kuma ba za a faɗa wa kowa ba.
A cikin wata uku da suka wuce mijinku ko wani ɗan gidanku ya hana ku</t>
  </si>
  <si>
    <t>30. visiting your family or friends?</t>
  </si>
  <si>
    <t>30. rendre visite à votre famille ou à vos amis ?</t>
  </si>
  <si>
    <t>30. ziyartar danginku ko abokananku?</t>
  </si>
  <si>
    <t>31. working outside the household?</t>
  </si>
  <si>
    <t>31. travailler en dehors du ménage ?</t>
  </si>
  <si>
    <t>31. aiki a wajen gidanku?</t>
  </si>
  <si>
    <t>Consented</t>
  </si>
  <si>
    <t>date</t>
  </si>
  <si>
    <t>Standard date field:</t>
  </si>
  <si>
    <t>thankyou</t>
  </si>
  <si>
    <t>734. That is the end of the survey. Thank you for your time.</t>
  </si>
  <si>
    <t>734. C'est la fin de l'enquête. Merci pour votre temps.</t>
  </si>
  <si>
    <t>734. Karshen tambayoyin kenan. Na gode da lokacin da kuka bani.</t>
  </si>
  <si>
    <t>Date field (but for smaller screens):</t>
  </si>
  <si>
    <t>${surv_done} = "No"</t>
  </si>
  <si>
    <t>no-calendar</t>
  </si>
  <si>
    <t>34. He is affectionnate with you</t>
  </si>
  <si>
    <t>34. Il est affectueux avec vous</t>
  </si>
  <si>
    <t>34. Yana nuna muku soyayya</t>
  </si>
  <si>
    <t>35. He respects you and your wishes</t>
  </si>
  <si>
    <t>35. Il vous respecte et respecte vos souhaits</t>
  </si>
  <si>
    <t>35. Yana girmama ku kuma ya na girmama buƙatuntu</t>
  </si>
  <si>
    <t>datetime</t>
  </si>
  <si>
    <t>Standard date+time field:</t>
  </si>
  <si>
    <t>36. Now I am going to ask you about some situations which happen to some women. Please tell me if these apply to your relationship with your husband?</t>
  </si>
  <si>
    <t>36. Maintenant, je vais vous poser des questions sur certaines situations qui arrivent à certaines femmes. Veuillez me dire si cela s'applique à votre relation avec votre mari ?</t>
  </si>
  <si>
    <t>36. To, yanzu zan tambaye ku game da wasu al’amura da suke faruwa ga wasu mata. Ko kun gaya mini idan waɗannan sun shafi zamantakewarku da mijinku?</t>
  </si>
  <si>
    <t>Date+time field (but for smaller screens):</t>
  </si>
  <si>
    <t>37. He does not trust your fidelty</t>
  </si>
  <si>
    <t>37. Il est jaloux et vous montre qu'il n’a pas confiance en vous ?</t>
  </si>
  <si>
    <t>37. Yana zargin ku kullum da nuna rashin yarda?</t>
  </si>
  <si>
    <t>38. He (does/did) not permit you to meet your girl friends?</t>
  </si>
  <si>
    <t>38. Il ne vous a pas permis de rencontrer vos copines ?</t>
  </si>
  <si>
    <t>38. Bai baku izinin ganin ƙawayenku ba?</t>
  </si>
  <si>
    <t>time</t>
  </si>
  <si>
    <t>Standard time field:</t>
  </si>
  <si>
    <t>39. He (tries/tried) to limit your contact with your family?</t>
  </si>
  <si>
    <t>39. Il essaie de limiter vos contacts avec votre famille ?</t>
  </si>
  <si>
    <t>39. Ya na ƙoƙarin ya rage hulɗarku da danginku?</t>
  </si>
  <si>
    <t>40. Now if you will permit me, I need to ask some more questions about your relationship with your husband. Does he ever?</t>
  </si>
  <si>
    <t>40. Maintenant, si vous me le permettez, je dois poser quelques questions supplémentaires sur votre relation avec votre mari. Est-ce qu'il a jamais?</t>
  </si>
  <si>
    <t>40. Yanzu idan za ki ba ni izini, Ina bukatar yin wasu tambayoyi game da dangantakarki da mijinki. Ko ya taba?</t>
  </si>
  <si>
    <t>41. Say or do something to humiliate you in front of others</t>
  </si>
  <si>
    <t>41. Dit ou fait quelque chose pour vous humilier devant les autres</t>
  </si>
  <si>
    <t>41. Fadi ko yin wani abu don wulaƙanta ku a gaban wasu</t>
  </si>
  <si>
    <t>Standard image-capture field:</t>
  </si>
  <si>
    <t>42. Threaten you or someone close to you with harm</t>
  </si>
  <si>
    <t>42. Vous menacer vous-même ou quelqu'un proche de vous à vous faire du mal</t>
  </si>
  <si>
    <t>42. Yi muku barazana ko wani na kusa da ku da cutarwa</t>
  </si>
  <si>
    <t>43. Push you shake you or throw something at you</t>
  </si>
  <si>
    <t>43. Vous pousser, vous secouer ou jeter quelque chose sur vous</t>
  </si>
  <si>
    <t>43. Tura ku girgiza ku ko jefar da wani abu bisanku</t>
  </si>
  <si>
    <t>Image-capture field which allows user to annotate image:</t>
  </si>
  <si>
    <t>44. Slap you or twist your arm</t>
  </si>
  <si>
    <t>44. Vous gifler ou vous tordre le bras</t>
  </si>
  <si>
    <t>44. Mari ko murɗa hannunku</t>
  </si>
  <si>
    <t>annotate</t>
  </si>
  <si>
    <t>45. Punch you with his fist or with something that could hurt you</t>
  </si>
  <si>
    <t>45. Vous frapper avec son poing ou avec quelque chose qui pourrait vous blesser</t>
  </si>
  <si>
    <t>45. Yi muku naushi da hannu ko da wani abu da zai iya cutar da ku</t>
  </si>
  <si>
    <t>46. Kick you or drag you</t>
  </si>
  <si>
    <t>46. Vous donner un coup de pied ou vous traîner</t>
  </si>
  <si>
    <t>46. Habre ku ko jan ku</t>
  </si>
  <si>
    <t>Image-capture field which allows user to draw image:</t>
  </si>
  <si>
    <t>draw</t>
  </si>
  <si>
    <t>47. Try to strangle you or burn you</t>
  </si>
  <si>
    <t>47. Essayer de vous étrangler ou de vous brûler</t>
  </si>
  <si>
    <t>47. Yi ƙoƙarin shake ku ko kona ku</t>
  </si>
  <si>
    <t>9. You indicated that you are attempting to interview ${pm_name} (age: ${pm_age}). Is that correct?</t>
  </si>
  <si>
    <t xml:space="preserve">9. </t>
  </si>
  <si>
    <t>Image-capture field which collects a signature as the image:</t>
  </si>
  <si>
    <t>9. Vous avez indiqué que vous tentez d'interroger ${pm_name} (âge : ${pm_age}). Est-ce exact ?</t>
  </si>
  <si>
    <t>9. Kun nuna cewa kuna ƙoƙarin yin hira da ${pm_name} (shekaru: ${pm_age}). Shin hakan daidai ne?</t>
  </si>
  <si>
    <t>signature</t>
  </si>
  <si>
    <t>education</t>
  </si>
  <si>
    <t>Bai taɓa yin makaranta ba</t>
  </si>
  <si>
    <t>audio</t>
  </si>
  <si>
    <t>Standard audio-capture field:</t>
  </si>
  <si>
    <t>10. Who are you trying to interview? Here are the other respondents in this household:</t>
  </si>
  <si>
    <t>10. Qui essayez-vous d’interroger ? Voici les autres répondants de ce foyer :</t>
  </si>
  <si>
    <t>10. Wanene kuke ƙoƙarin yin hira da shi ? Ga sauran masu bada amsa a wannan gidan:</t>
  </si>
  <si>
    <t>Preschool</t>
  </si>
  <si>
    <t>Préscolaire</t>
  </si>
  <si>
    <t>Makarantar yara ƙanana</t>
  </si>
  <si>
    <t>video</t>
  </si>
  <si>
    <t>11. End of survey. Please return and fill out the SHM survey to collect survey responses.</t>
  </si>
  <si>
    <t>11. Fin de l'enquête. Veuillez revenir et remplir l'enquête du SHM pour recueillir les réponses aux questions.</t>
  </si>
  <si>
    <t>11. Ƙarshen binciken kenan. Da fatan za a dawo baya a cika binciken SHM don tattara amsoshin binciken.</t>
  </si>
  <si>
    <t>Standard video-capture field:</t>
  </si>
  <si>
    <t>Primary school</t>
  </si>
  <si>
    <t>École primaire</t>
  </si>
  <si>
    <t>Makarantar firamere</t>
  </si>
  <si>
    <t>Middle school</t>
  </si>
  <si>
    <t>College</t>
  </si>
  <si>
    <t>Koleji/SEJ</t>
  </si>
  <si>
    <t>file</t>
  </si>
  <si>
    <t>Attach text, image, video, audio, PDF, ZIP, or MS Office file (Excel or Word):</t>
  </si>
  <si>
    <t>Koranic school</t>
  </si>
  <si>
    <t>Ecole coranique</t>
  </si>
  <si>
    <t>Karatun kur'ani</t>
  </si>
  <si>
    <t>14. &lt;p&gt;&lt;span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If you complete each in-person survey, we will send you ${treatment_cfa} in phone credit each time. You are free to skip any questions you do not wish to answer or to end the survey at any time. &lt;br&gt;&lt;br&gt;
&lt;b&gt;Can I ask you these questions now?&lt;/b&gt;</t>
  </si>
  <si>
    <t xml:space="preserve">14. </t>
  </si>
  <si>
    <t>High school</t>
  </si>
  <si>
    <t>Lycee</t>
  </si>
  <si>
    <t>Babbar makaranta/lise</t>
  </si>
  <si>
    <t>More than high school</t>
  </si>
  <si>
    <t>Standard note field (read-only).</t>
  </si>
  <si>
    <t>Plus qu'une école secondaire</t>
  </si>
  <si>
    <t>Jami'a</t>
  </si>
  <si>
    <t>56. What is ${hoh_new_mem_name}'s sex?</t>
  </si>
  <si>
    <t>56. Quel est le sexe de ${hoh_new_mem_name} ?</t>
  </si>
  <si>
    <t>56. Menene jinsin ${hoh_new_mem_name}?</t>
  </si>
  <si>
    <t>57. What is ${hoh_new_mem_name}'s age?</t>
  </si>
  <si>
    <t>57. Quel âge a ${hoh_new_mem_name} ?</t>
  </si>
  <si>
    <t>57. ${hoh_new_mem_name} Shekarun shi/ta nawa?</t>
  </si>
  <si>
    <t>12. PM Questions</t>
  </si>
  <si>
    <t xml:space="preserve">12. </t>
  </si>
  <si>
    <t>region</t>
  </si>
  <si>
    <t>Agadez</t>
  </si>
  <si>
    <t>59. Is ${hoh_roster_name} still a member of this household?</t>
  </si>
  <si>
    <t>59. ${hoh_roster_name} est-il toujours membre de ce ménage ?</t>
  </si>
  <si>
    <t>59. Ko suna yana cikin ƴan gidan nan?</t>
  </si>
  <si>
    <t>60. Why are they not a member of this household?</t>
  </si>
  <si>
    <t>60. Pourquoi ne font-ils pas partie de ce ménage ?</t>
  </si>
  <si>
    <t>60. Me ya sa ba su cikin ƴan gidan nan ?</t>
  </si>
  <si>
    <t>Diffa</t>
  </si>
  <si>
    <t>15. PM Questions</t>
  </si>
  <si>
    <t xml:space="preserve">15. </t>
  </si>
  <si>
    <t>Dosso</t>
  </si>
  <si>
    <t>15. Questions du Migrant potentiel</t>
  </si>
  <si>
    <t>15. PM Tambayoyi</t>
  </si>
  <si>
    <t>63. Is ${hoh_roster_name} currently living in your household?</t>
  </si>
  <si>
    <t>63. Est-ce que ${hoh_roster_name} vit actuellement dans votre ménage ?</t>
  </si>
  <si>
    <t>63. Ko ${hoh_roster_name} yana zaune a gidanku a halin yanzu ?</t>
  </si>
  <si>
    <t>Maradi</t>
  </si>
  <si>
    <t>13. We were not able to contact you during ${pm_missed_period} and want to ask you a few questions about your life during this time.</t>
  </si>
  <si>
    <t>13. Nous n'avons pas pu vous contacter pendant ${pm_missed_period_french} et nous voulons vous poser quelques questions sur votre vie pendant cette période.</t>
  </si>
  <si>
    <t>13. Ba mu samu tuntuɓar ku yayin ${pm_missed_period_hausa} kuma muna son mu yi muku wasu tambayoyi game da rayuwar ku a wannan lokacin.</t>
  </si>
  <si>
    <t>Niamey</t>
  </si>
  <si>
    <t>14. Think about ${pm_missed_period}, during this time were you living at home in ${pm_home_location}?</t>
  </si>
  <si>
    <t>14. Pensez à ${pm_missed_period_french}, pendant ce temps, vous viviez à la maison dans ${pm_home_location}?</t>
  </si>
  <si>
    <t>14. Tuna da ${pm_missed_period_hausa}, a wannan lokacin kuna zaune a gida a ${pm_home_location}?</t>
  </si>
  <si>
    <t>15. Please list all of the places you spent more than one week during ${pm_missed_period} other than ${pm_home_location}. How many places?</t>
  </si>
  <si>
    <t>15. Veuillez énumérer tous les lieux où vous avez passé plus d'une semaine entre ${pm_missed_period_french} autre que ${pm_home_location}. Combien de lieux ?</t>
  </si>
  <si>
    <t>15. Ko za ku gaya mini duk wuraren da kuka zauna sama da sati guda a lokacin ${pm_missed_period_hausa} da ba ${pm_home_location}. Wurare nawa?</t>
  </si>
  <si>
    <t>Tahoua</t>
  </si>
  <si>
    <t>16. We were not able to contact you during ${pm_missed_period} and want to ask you a few questions about your life during this time.</t>
  </si>
  <si>
    <t>16. Nous n'avons pas pu vous contacter pendant ${pm_missed_period_french} et nous voulons vous poser quelques questions sur votre vie pendant cette période.</t>
  </si>
  <si>
    <t>16. Ba mu samu tuntuɓar ku yayin ${pm_missed_period_hausa} kuma muna son mu yi muku wasu tambayoyi game da rayuwar ku a wannan lokacin.</t>
  </si>
  <si>
    <t>17. Think about ${pm_missed_period}, during this time were you living at home in ${pm_home_location}?</t>
  </si>
  <si>
    <t>17. Pensez à ${pm_missed_period_french}, pendant ce temps, vous viviez à la maison dans ${pm_home_location}?</t>
  </si>
  <si>
    <t>17. Tuna da ${pm_missed_period_hausa}, a wannan lokacin kuna zaune a gida a ${pm_home_location}?</t>
  </si>
  <si>
    <t>Tillaberi</t>
  </si>
  <si>
    <t>subscriberid</t>
  </si>
  <si>
    <t>Zinder</t>
  </si>
  <si>
    <t>simserial</t>
  </si>
  <si>
    <t>towns</t>
  </si>
  <si>
    <t>town_id</t>
  </si>
  <si>
    <t>town_name</t>
  </si>
  <si>
    <t>18. Enumerator: Select country</t>
  </si>
  <si>
    <t>18. Enquêteur : sélectionnez le pays</t>
  </si>
  <si>
    <t>18. Ɗan bincike: Zaɓi ƙasa</t>
  </si>
  <si>
    <t>19. Where were you ${pm_miss_previous_answer}?
 Enumerator: Is location in Niger?</t>
  </si>
  <si>
    <t>19. Où étiez-vous ${pm_miss_previous_answer} ?
 Enquêteur : La localité est-elle au Niger ?</t>
  </si>
  <si>
    <t>19. A ina kuka ${pm_miss_previous_answer}?
 Ɗan bincike : Ko wurin a Nijar ne?</t>
  </si>
  <si>
    <t>Wni daban</t>
  </si>
  <si>
    <t>countries</t>
  </si>
  <si>
    <t>Niger</t>
  </si>
  <si>
    <t>Nijar</t>
  </si>
  <si>
    <t>Algeria</t>
  </si>
  <si>
    <t>Algérie</t>
  </si>
  <si>
    <t>Aljeriya</t>
  </si>
  <si>
    <t>24. Enumerator: Select town</t>
  </si>
  <si>
    <t>comments</t>
  </si>
  <si>
    <t>24. Enquêteur : Sélectionnez la ville</t>
  </si>
  <si>
    <t>24. Ɗan bincike: Zaɓi gari</t>
  </si>
  <si>
    <t>Benin</t>
  </si>
  <si>
    <t>Bénin</t>
  </si>
  <si>
    <t>23. Enumerator: Select town</t>
  </si>
  <si>
    <t>23. Enquêteur : Sélectionnez la ville</t>
  </si>
  <si>
    <t>23. Ɗan bincike: Zaɓi gari</t>
  </si>
  <si>
    <t>Burkina Faso</t>
  </si>
  <si>
    <t>24. Thinking about income from all the jobs you worked, in ${pm_missed_location} during ${pm_missed_period}, approximately how much did you earn each week?</t>
  </si>
  <si>
    <t>24. En pensant aux revenus de tous les emplois que vous avez occupés, dans ${pm_missed_location} pendant ${pm_missed_period_french}, combien avez-vous gagné chaque semaine?</t>
  </si>
  <si>
    <t>24. Idan kuka tuna da samun kudi daga dukkan ayyukan da kuka yi, a ${pm_missed_location} a lokacin ${pm_missed_period_hausa}, misalin nawa kuke samu a kowane sati?</t>
  </si>
  <si>
    <t>Cameroon</t>
  </si>
  <si>
    <t>Cameroun</t>
  </si>
  <si>
    <t>Kamaru</t>
  </si>
  <si>
    <t>25. How many weeks did you spend in ${pm_missed_location} during ${pm_missed_period}?</t>
  </si>
  <si>
    <t>25. Combien de semaines avez-vous passées à ${pm_missed_location} entre ${pm_missed_period_french} ?</t>
  </si>
  <si>
    <t>25. Sati nawa ne kuka zauna a ${pm_missed_period_hausa} lokacin ${pm_missed_period}?</t>
  </si>
  <si>
    <t>26. Did you work for pay in ${pm_missed_location} during ${pm_missed_period}?</t>
  </si>
  <si>
    <t>26. Avez-vous travaillé contre Paiement dans ${pm_missed_location} pendant ${pm_missed_period_french}?</t>
  </si>
  <si>
    <t>26. Ko kun yi aikin biya a ${pm_missed_location} lokacin ${pm_missed_period}?</t>
  </si>
  <si>
    <t>(${age1}+${age2}+${age3}) div 3</t>
  </si>
  <si>
    <t>Cote d'Ivoire</t>
  </si>
  <si>
    <t>Côte d'Ivoire</t>
  </si>
  <si>
    <t>Cote d'Ivoire/Abija</t>
  </si>
  <si>
    <t>Gambia</t>
  </si>
  <si>
    <t>Gambie</t>
  </si>
  <si>
    <t>once(format-date-time(now(), '%Y-%b-%e %H:%M:%S'))</t>
  </si>
  <si>
    <t>Gabon</t>
  </si>
  <si>
    <t>27. Thinking about income from all the jobs you worked, in ${pm_missed_location} during ${pm_missed_period}, approximately how much did you earn each week?</t>
  </si>
  <si>
    <t>27. En pensant aux revenus de tous les emplois que vous avez occupés, dans ${pm_missed_location} pendant ${pm_missed_period_french}, combien avez-vous gagné chaque semaine?</t>
  </si>
  <si>
    <t>27. Idan kuka tuna da samun kudi daga dukkan ayyukan da kuka yi, a ${pm_missed_location} a lokacin ${pm_missed_period_hausa}, misalin nawa kuke samu a kowane sati?</t>
  </si>
  <si>
    <t>Ghana</t>
  </si>
  <si>
    <t>28. How many total weeks did you work for pay?</t>
  </si>
  <si>
    <t>28. Combien de semaines au total avez-vous travaillé pour le salaire?</t>
  </si>
  <si>
    <t>28. Gaba ɗaya tsawon sati nawa kuka yi aikin albashi?</t>
  </si>
  <si>
    <t>p = 50</t>
  </si>
  <si>
    <t>30. How many days?</t>
  </si>
  <si>
    <t>30. Combien de jours?</t>
  </si>
  <si>
    <t>30. Kwanaki nawa?</t>
  </si>
  <si>
    <t>Guinea</t>
  </si>
  <si>
    <t>period_bl</t>
  </si>
  <si>
    <t>Guinée</t>
  </si>
  <si>
    <t>Gini</t>
  </si>
  <si>
    <t>29. In a typical week did you cut the size of meals or skipped meals?</t>
  </si>
  <si>
    <t>29. Au cours d'une semaine typique, avez-vous réduit la taille des repas ou sauté des repas ?</t>
  </si>
  <si>
    <t>29. A cikin mako guda ko kun rage yawan abincin da kuka saba ci ko kun tsallake abincin?</t>
  </si>
  <si>
    <t>period_french_bl</t>
  </si>
  <si>
    <t>Libya</t>
  </si>
  <si>
    <t>Libye</t>
  </si>
  <si>
    <t>p = 50; eventlog; choices</t>
  </si>
  <si>
    <t>period_hausa_bl</t>
  </si>
  <si>
    <t>31. Now I will ask about some things that may have happened to you during ${pm_missed_period}. Think about all the time you spent in ${pm_missed_location} during ${pm_missed_period} when answering these questions</t>
  </si>
  <si>
    <t>31. Maintenant, je vais vous poser des questions sur certaines choses qui pourraient vous être arrivées à ${pm_missed_location} de ${pm_missed_period_french}.
 Pensez à tout le temps que vous avez passé à ${pm_missed_location} de ${pm_missed_period_french} lorsque vous répondez à ces questions</t>
  </si>
  <si>
    <t>31. Yanzu zan yi tambaya game da wasu abubuwa da wataƙila sun faru da ku a cikin ${pm_missed_location} lokacin ${pm_missed_period_hausa}.
 Ku yi tunani game da duk lokacin da kuka zauna a ${pm_missed_location} lokacin ${pm_missed_period_hausa} lokacin amsa waɗannan tambayoyin</t>
  </si>
  <si>
    <t>Mali</t>
  </si>
  <si>
    <t>period_bl_fu4</t>
  </si>
  <si>
    <t>32. During ${pm_missed_period}, did you ever plan to migrate but then have to cancel your plans?</t>
  </si>
  <si>
    <t>32. Pendant ${pm_missed_period_french}, avez-vous déjà prévu de migrer, mais vous avez dû ensuite annuler votre projet ?</t>
  </si>
  <si>
    <t>32. A lokacin ${pm_missed_period_hausa}, ko kun taɓa tsara zuwa biɗa amma daga baya sai kuka soke niyartaku?</t>
  </si>
  <si>
    <t>audio audit</t>
  </si>
  <si>
    <t>Senegal</t>
  </si>
  <si>
    <t>Sénégal</t>
  </si>
  <si>
    <t>34. Physical attack</t>
  </si>
  <si>
    <t>34. Attaque physique</t>
  </si>
  <si>
    <t>34. harin jiki</t>
  </si>
  <si>
    <t>p = 50; s = 0; d = 60</t>
  </si>
  <si>
    <t>period_french_bl_fu4</t>
  </si>
  <si>
    <t>33. Have you experienced any of the following in ${pm_missed_location} during ${pm_missed_period}?</t>
  </si>
  <si>
    <t>33. Avez-vous vécu l'une des situations suivantes à cet endroit entre ${pm_missed_period_french} ?</t>
  </si>
  <si>
    <t>33. Ko kun taɓa fuskantar ɗayan waɗannan abubuwan a wannan wurin, lokacin ${pm_missed_period_hausa}?</t>
  </si>
  <si>
    <t>Togo</t>
  </si>
  <si>
    <t>period_hausa_bl_fu4</t>
  </si>
  <si>
    <t>35. Threat of physical violence/attack</t>
  </si>
  <si>
    <t>35. Menace de violence physique/agression</t>
  </si>
  <si>
    <t>35. Barazanar ​​harin jiki</t>
  </si>
  <si>
    <t>p = 50; s = 0-600; d = 60</t>
  </si>
  <si>
    <t>36. Theft of either money or property?</t>
  </si>
  <si>
    <t>36. Vol d'argent ou de biens ?</t>
  </si>
  <si>
    <t>36. Satar kudi ko dukiya?</t>
  </si>
  <si>
    <t>Cape Verde</t>
  </si>
  <si>
    <t>Cap-Vert</t>
  </si>
  <si>
    <t>37. Detention or arrest by state security forces?</t>
  </si>
  <si>
    <t>37. Détention ou arrestation par les forces de sécurité de l'État ?</t>
  </si>
  <si>
    <t>37. Kaso ko kamu daga jami'an tsaron gwamnati?</t>
  </si>
  <si>
    <t>pm_missed_period</t>
  </si>
  <si>
    <t>p = 50; s = firstfield; d = lastfield</t>
  </si>
  <si>
    <t>Guinea-Bissau</t>
  </si>
  <si>
    <t>Guinée-Bissau</t>
  </si>
  <si>
    <t>38. Illness or injury that disrupted your daily life?</t>
  </si>
  <si>
    <t>38. Une maladie ou une blessure qui a perturbé votre quotidien ?</t>
  </si>
  <si>
    <t>38. Rashin lafiya ko rauni wanda ya kawo cikas ga rayuwarku ta yau da kullun?</t>
  </si>
  <si>
    <t>39. What was the main reason you spent time in ${pm_missed_location} during ${pm_missed_period}?</t>
  </si>
  <si>
    <t>39. Quelle est la principale raison pour laquelle vous avez passé du temps à ${pm_missed_location} pendant ${pm_missed_period_french} ?</t>
  </si>
  <si>
    <t>39. Menene babban dalilin da kuka zauna wani lokaci a ${pm_missed_location} lokacin ${pm_missed_period_hausa}?</t>
  </si>
  <si>
    <t>Liberia</t>
  </si>
  <si>
    <t>Libéria</t>
  </si>
  <si>
    <t>Laberiya</t>
  </si>
  <si>
    <t>groupname</t>
  </si>
  <si>
    <t>40. In ${pm_missed_location} during ${pm_missed_period} did you share money with your household in ${pm_home_location}?</t>
  </si>
  <si>
    <t>40. À ${pm_missed_location} pendant ${pm_missed_period_french} avez-vous envoyé de l'argent a votre ménage à ${pm_home_location} ?</t>
  </si>
  <si>
    <t>Standard group</t>
  </si>
  <si>
    <t>40. A cikin ${pm_missed_location} lokacin ${pm_missed_period_hausa} kun aika kuɗi zuwa gidanku a ${pm_home_location}?</t>
  </si>
  <si>
    <t>pm_missed_period_french</t>
  </si>
  <si>
    <t>Nigeria</t>
  </si>
  <si>
    <t>Najeriya</t>
  </si>
  <si>
    <t>pm_missed_period_hausa</t>
  </si>
  <si>
    <t>Sierra Leone</t>
  </si>
  <si>
    <t>Saliyo</t>
  </si>
  <si>
    <t>…</t>
  </si>
  <si>
    <t>Central African Republic</t>
  </si>
  <si>
    <t>République centrafricaine</t>
  </si>
  <si>
    <t>Jamhuriyar Afirka ta Tsakiya</t>
  </si>
  <si>
    <t>42. Had passport or other papers taken away</t>
  </si>
  <si>
    <t>42. confisquer votre Passeport ou autres papiers</t>
  </si>
  <si>
    <t>42. Karɓar fasfo ko wasu takardu</t>
  </si>
  <si>
    <t>Chad</t>
  </si>
  <si>
    <t>Tchad</t>
  </si>
  <si>
    <t>Cadi</t>
  </si>
  <si>
    <t>43. Been prevented from contacting friends or family</t>
  </si>
  <si>
    <t>43. Vous avez été empêché de contacter vos amis ou votre famille</t>
  </si>
  <si>
    <t>43. Hana tuntuɓar abokai ko dangi</t>
  </si>
  <si>
    <t>44. Been paid less than promised or not paid when promised</t>
  </si>
  <si>
    <t>44. A été payé moins que promis ou n'a pas été payé lorsque promis</t>
  </si>
  <si>
    <t>44. Biya kasa da abin da aka yi alkawari ko kuma ba a biya ba lokacin da aka yi alkawari</t>
  </si>
  <si>
    <t>begin repeat</t>
  </si>
  <si>
    <t>repeatname</t>
  </si>
  <si>
    <t>45. Been forced to pay off a debt to my employer before I could leave</t>
  </si>
  <si>
    <t>Standard repeated group</t>
  </si>
  <si>
    <t>45. A été obligé de payer une dette à mon employeur avant de pouvoir partir</t>
  </si>
  <si>
    <t>45. Tilasta biyan bashi ga mai gida kafin tafiya</t>
  </si>
  <si>
    <t>46. Experienced violence or physical restraint</t>
  </si>
  <si>
    <t>46. Victime de violence ou de contrainte physique</t>
  </si>
  <si>
    <t>46. Zalunci ko wata kallafawa na jiki</t>
  </si>
  <si>
    <t>47. Forced to engage in actions against my will</t>
  </si>
  <si>
    <t>47. Forcé de s'engager dans des actions contre ma volonté</t>
  </si>
  <si>
    <t>47. Tilastawa da aikata ayyukan da ba a so ba</t>
  </si>
  <si>
    <t>48. I've asked you a lot of questions about your life in the ${pm_missed_period} in order to better understand your experiences. Is there anything else that has happened during this time that has changed your life in an important way?
Enumerator: do not read options, code based on response</t>
  </si>
  <si>
    <t>48. Je vous ai posé beaucoup de questions sur votre vie au cours de ${pm_missed_period_french} afin de mieux comprendre vos expériences. Y a-t-il autre chose qui vous est arrivé récemment qui a changé votre vie de manière importante ?</t>
  </si>
  <si>
    <t>48. Na yi muku tambayoyi da dama game da rayuwar ku ${pm_missed_period_hausa} don ƙarin fahimtar yadda ku ka kware da tafiyar da raywar ku . Shin akwai wani abu da ya faru da ku kwanan nan wanda ya kawo muhimmin canji ga rayuwarku?</t>
  </si>
  <si>
    <t>whyno_in</t>
  </si>
  <si>
    <t>Permanently moved away from household</t>
  </si>
  <si>
    <t>Définitivement parti du ménage</t>
  </si>
  <si>
    <t>Ya yi ƙaura daga gidan nan na dindindin</t>
  </si>
  <si>
    <t>49. Enumerator: Briefly summarize the changes described by the respondent</t>
  </si>
  <si>
    <t>49. Enquêteur : Résumez brièvement les changements décrits par le répondant</t>
  </si>
  <si>
    <t>49. Ɗan bincike A taƙaita canje-canjen da mai bada amsa ya baiyana</t>
  </si>
  <si>
    <t>end repeat</t>
  </si>
  <si>
    <t>Married out of family</t>
  </si>
  <si>
    <t>Marié hors famille</t>
  </si>
  <si>
    <t>Ya yi aure a wani gidan daban.</t>
  </si>
  <si>
    <t>Divorced</t>
  </si>
  <si>
    <t>Divorcé</t>
  </si>
  <si>
    <t>An rabu</t>
  </si>
  <si>
    <t>116. Can you estimate how many days ${hoh_paid_name} worked as a day laborer in the fields for someone else?</t>
  </si>
  <si>
    <t>116. Pouvez-vous estimer combien de jours ${hoh_paid_name} a travaillé comme journalier dans les champs d'autres personnes ?</t>
  </si>
  <si>
    <t>116. Za ku iya misalta ko wuni nawa ${hoh_paid_name} yayi aiki a matsayin ma'aikacin barema a gonar wasu mutane?</t>
  </si>
  <si>
    <t>Group repeated exactly three times</t>
  </si>
  <si>
    <t>Deceased</t>
  </si>
  <si>
    <t>48. Think back to the beginning of ${period}, were you living at home in ${pm_home_location}?</t>
  </si>
  <si>
    <t>48. Repensez au début de ${period_french}, étiez-vous chez vous à ${pm_home_location} ?</t>
  </si>
  <si>
    <t>Décédé</t>
  </si>
  <si>
    <t>48. Ku tunada watanni a farkon ${period_hausa}, ko kana nan gida a garin ${pm_home_location}?</t>
  </si>
  <si>
    <t>Ya Mutu</t>
  </si>
  <si>
    <t>50. We would like to ask you some questions about your life and activities during the period from ${period}. Think about the period from ${period} when answering the following questions.</t>
  </si>
  <si>
    <t>50. Nous aimerions vous poser quelques questions sur votre vie et vos activités pendant la période du ${period_french}. Pensez à la période à partir de ${period_french} lorsque vous répondez aux questions suivantes.</t>
  </si>
  <si>
    <t>50. Muna son mu yi muku wasu tambayoyi bisa rayuwarku da ayyukanku a cikin lokacin ${period_hausa}. Ku yi tunani da lokacin daga ${period_hausa} in zaku basa amsar tambayoyin nan masu zuwa.</t>
  </si>
  <si>
    <t>119. What was the expense?</t>
  </si>
  <si>
    <t>119. Quelle était la dépense ?</t>
  </si>
  <si>
    <t>119. wane kashe kuɗi ne ?</t>
  </si>
  <si>
    <t>51. Think back to the beginning of ${period}, were you living at home in ${pm_home_location}?</t>
  </si>
  <si>
    <t>51. Repensez au début de ${period_french}, étiez-vous chez vous à ${pm_home_location} ?</t>
  </si>
  <si>
    <t>51. Ku tunada watanni a farkon ${period_hausa}, ko kana nan gida a garin ${pm_home_location}?</t>
  </si>
  <si>
    <t>52. Are you married?</t>
  </si>
  <si>
    <t xml:space="preserve">52. </t>
  </si>
  <si>
    <t>illness</t>
  </si>
  <si>
    <t>51. Enumerator: Select country</t>
  </si>
  <si>
    <t>51. Enquêteur : sélectionnez le pays</t>
  </si>
  <si>
    <t>malaria</t>
  </si>
  <si>
    <t>51. Ɗan bincike: Zaɓi ƙasa</t>
  </si>
  <si>
    <t>Paludisme</t>
  </si>
  <si>
    <t>Masassarar cizon sauro</t>
  </si>
  <si>
    <t>tuberculosis</t>
  </si>
  <si>
    <t>Tuberculose</t>
  </si>
  <si>
    <t>Babban Tari</t>
  </si>
  <si>
    <t>speed violations count</t>
  </si>
  <si>
    <t>54. Enumerator: Select region in Niger</t>
  </si>
  <si>
    <t>54. Enquêteur : Sélectionnez une région au Niger</t>
  </si>
  <si>
    <t>54. Ɗan bincike: Zaɓi Jaha ɗaya a Nijar</t>
  </si>
  <si>
    <t>yellow fever</t>
  </si>
  <si>
    <t>Fièvre jaune</t>
  </si>
  <si>
    <t>Farar masassara</t>
  </si>
  <si>
    <t>speed violations list</t>
  </si>
  <si>
    <t>typhoid</t>
  </si>
  <si>
    <t>Typhoïde</t>
  </si>
  <si>
    <t>Masassarar kayan ɗanye</t>
  </si>
  <si>
    <t>57. Enumerator: Select town</t>
  </si>
  <si>
    <t>57. Enquêteur : Sélectionnez la ville</t>
  </si>
  <si>
    <t>57. Ɗan bincike: Zaɓi gari</t>
  </si>
  <si>
    <t>cholera</t>
  </si>
  <si>
    <t>Choléra</t>
  </si>
  <si>
    <t>53. Where were you living at this time?
 Enumerator: Is location in Niger?</t>
  </si>
  <si>
    <t>kwalara</t>
  </si>
  <si>
    <t>53. Où étiez-vous à cette époque ?
 Enquêteur : La localité est-elle au Niger ?</t>
  </si>
  <si>
    <t>53. A ina kuke a wannan lokacin?
 Ɗan bincike : Ko wurin a cikin Nijar ne?</t>
  </si>
  <si>
    <t>speed violations audit</t>
  </si>
  <si>
    <t>diarrhea</t>
  </si>
  <si>
    <t>v = 5; d = 120</t>
  </si>
  <si>
    <t>Diarrhée</t>
  </si>
  <si>
    <t>zawo</t>
  </si>
  <si>
    <t>55. Enumerator: Select country</t>
  </si>
  <si>
    <t>55. Enquêteur : sélectionnez le pays</t>
  </si>
  <si>
    <t>55. Ɗan bincike: Zaɓi ƙasa</t>
  </si>
  <si>
    <t>meningitis</t>
  </si>
  <si>
    <t>Méningite</t>
  </si>
  <si>
    <t>Sanƙarau</t>
  </si>
  <si>
    <t>56. Enumerator: Enter other country</t>
  </si>
  <si>
    <t>56. Enquêteur : Entrez un autre pays</t>
  </si>
  <si>
    <t>56. Ɗan bincike: Shigar da wata ƙasa</t>
  </si>
  <si>
    <t>sensor_stream movement</t>
  </si>
  <si>
    <t>surv_done</t>
  </si>
  <si>
    <t>chicken pox</t>
  </si>
  <si>
    <t>Varicelle</t>
  </si>
  <si>
    <t>Kashin kaji/Farankama</t>
  </si>
  <si>
    <t>surv_done_note</t>
  </si>
  <si>
    <t>${pm_name} has already been surveyed. Please return and attempt to survey a different household.</t>
  </si>
  <si>
    <t>period = 1</t>
  </si>
  <si>
    <t>pneumonia</t>
  </si>
  <si>
    <t>Pneumonie</t>
  </si>
  <si>
    <t>ciwon huhu</t>
  </si>
  <si>
    <t>58. Enumerator: Select country</t>
  </si>
  <si>
    <t>58. Enquêteur : sélectionnez le pays</t>
  </si>
  <si>
    <t>58. Ɗan bincike: Zaɓi ƙasa</t>
  </si>
  <si>
    <t>sensor_statistic pct_movement_between</t>
  </si>
  <si>
    <t>60. Where are you living?
Enumerator: Is location in Niger?</t>
  </si>
  <si>
    <t>60. Où habites-tu?
 Énquêteur: le lieu est-il au Niger?</t>
  </si>
  <si>
    <t>60. Ina kake zaune?
 Dan bincike: Ko wurin a Nijar ne?</t>
  </si>
  <si>
    <t>min = 0.25; max = 2</t>
  </si>
  <si>
    <t>61. Enumerator: Select region in Niger</t>
  </si>
  <si>
    <t>61. Enquêteur : Sélectionnez une région au Niger</t>
  </si>
  <si>
    <t>61. Ɗan bincike: Zaɓi Jaha ɗaya a Nijar</t>
  </si>
  <si>
    <t>62. Enumerator: Select country</t>
  </si>
  <si>
    <t>62. Enquêteur : sélectionnez le pays</t>
  </si>
  <si>
    <t>62. Ɗan bincike: Zaɓi ƙasa</t>
  </si>
  <si>
    <t>schools</t>
  </si>
  <si>
    <t>Quick reference for relevance, constraint, and selected calculation expressions</t>
  </si>
  <si>
    <t>Public school</t>
  </si>
  <si>
    <t>École publique</t>
  </si>
  <si>
    <t>Makarantar gwamnati</t>
  </si>
  <si>
    <t>Franco Arab School</t>
  </si>
  <si>
    <t>Ecole franco arabe</t>
  </si>
  <si>
    <t>Makarantar Franco Arab /madarissa</t>
  </si>
  <si>
    <t>59. Are you living in the same location now?</t>
  </si>
  <si>
    <t>59. Vivez-vous au même endroit maintenant?</t>
  </si>
  <si>
    <t>59. Kuna rayuwa ne a wannan wuri yanzu?</t>
  </si>
  <si>
    <t>Learn about all available expressions in "Using expressions in your forms: a reference for all operators and functions"</t>
  </si>
  <si>
    <t>Koranic School</t>
  </si>
  <si>
    <t>Makarantar Kur'ani/makarantar allo</t>
  </si>
  <si>
    <t>64. Enumerator: Select town</t>
  </si>
  <si>
    <t>64. Enquêteur : Sélectionnez la ville</t>
  </si>
  <si>
    <t>64. Ɗan bincike: Zaɓi gari</t>
  </si>
  <si>
    <t>9. Kun nuna cewa kuna ƙoƙarin yin hira da ${pm_name} (shekaru: ${pm_age}). Ko hakan daidai ne?</t>
  </si>
  <si>
    <t>Private School</t>
  </si>
  <si>
    <t>École privée</t>
  </si>
  <si>
    <t>Makaranta masu zaman kansu/ marantar biya</t>
  </si>
  <si>
    <t>Operation</t>
  </si>
  <si>
    <t>Operator</t>
  </si>
  <si>
    <t>Example</t>
  </si>
  <si>
    <t>Example answer</t>
  </si>
  <si>
    <t>Addition</t>
  </si>
  <si>
    <t>+</t>
  </si>
  <si>
    <t>1 + 1</t>
  </si>
  <si>
    <t>Subtraction</t>
  </si>
  <si>
    <t>10. Qui essayez-vous d’interroger ? Voici les autres répondants de ce ménage :</t>
  </si>
  <si>
    <t>-</t>
  </si>
  <si>
    <t>unit</t>
  </si>
  <si>
    <t>Multiplication</t>
  </si>
  <si>
    <t>*</t>
  </si>
  <si>
    <t>kg</t>
  </si>
  <si>
    <t>3 * 2</t>
  </si>
  <si>
    <t>kilo</t>
  </si>
  <si>
    <t>Division</t>
  </si>
  <si>
    <t>div</t>
  </si>
  <si>
    <t>10 div 2</t>
  </si>
  <si>
    <t>Modulus</t>
  </si>
  <si>
    <t>11. Fin de l'enquête. Veuillez revenir et remplir l'enquête du SHM pour collecter les réponses aux questions.</t>
  </si>
  <si>
    <t>mod</t>
  </si>
  <si>
    <t>9 mod 2</t>
  </si>
  <si>
    <t>Equal</t>
  </si>
  <si>
    <t>=</t>
  </si>
  <si>
    <t>${fieldname} = 3</t>
  </si>
  <si>
    <t>true or false</t>
  </si>
  <si>
    <t>Not equal</t>
  </si>
  <si>
    <t>box</t>
  </si>
  <si>
    <t>!=</t>
  </si>
  <si>
    <t>boîte</t>
  </si>
  <si>
    <t>${fieldname} != 3</t>
  </si>
  <si>
    <t>kwanko</t>
  </si>
  <si>
    <t>Greater-than</t>
  </si>
  <si>
    <t>&gt;</t>
  </si>
  <si>
    <t>${fieldname} &gt; 3</t>
  </si>
  <si>
    <t>12. End of survey. Please return and fill out the Woman survey to collect survey responses.</t>
  </si>
  <si>
    <t>12. Fin de l'enquête. Veuillez revenir et remplir l'enquête de la Femme pour collecter les réponses aux questions.</t>
  </si>
  <si>
    <t>12. Ƙarshen binciken. Da fatan za a dawo baya a cika binciken Mace don tattara amsoshin binciken.</t>
  </si>
  <si>
    <t>&gt;-or-equal</t>
  </si>
  <si>
    <t>&gt;=</t>
  </si>
  <si>
    <t>${fieldname} &gt;= 3</t>
  </si>
  <si>
    <t>Less-than</t>
  </si>
  <si>
    <t>&lt;</t>
  </si>
  <si>
    <t>${fieldname} &lt; 3</t>
  </si>
  <si>
    <t>tia</t>
  </si>
  <si>
    <t>&lt;-or-equal</t>
  </si>
  <si>
    <t>tiya</t>
  </si>
  <si>
    <t>&lt;=</t>
  </si>
  <si>
    <t>${fieldname} &lt;= 3</t>
  </si>
  <si>
    <t>13. Is ${pm_name} available to be interviewed?</t>
  </si>
  <si>
    <t>13. Est-ce que ${pm_name} est disponible pour être interviewé ?</t>
  </si>
  <si>
    <t>Or</t>
  </si>
  <si>
    <t>13. Ko ${pm_name} yana da damar yin hira mu?</t>
  </si>
  <si>
    <t>or</t>
  </si>
  <si>
    <t>${fieldname} = 3 or ${fieldname} = 4</t>
  </si>
  <si>
    <t>And</t>
  </si>
  <si>
    <t>and</t>
  </si>
  <si>
    <t>${fieldname} &gt; 3 and ${fieldname} &lt; 5</t>
  </si>
  <si>
    <t>Not</t>
  </si>
  <si>
    <t>50kg sack</t>
  </si>
  <si>
    <t>not()</t>
  </si>
  <si>
    <t>sac de 50 kg</t>
  </si>
  <si>
    <t>not(${fieldname} &gt; 3 and ${fieldname} &lt; 5)</t>
  </si>
  <si>
    <t>Buhun kilo 50</t>
  </si>
  <si>
    <t>false or true</t>
  </si>
  <si>
    <t>Enumerator: Please specify why ${pm_name} is not available right now:</t>
  </si>
  <si>
    <t>Enqueteur: veuillez specifier pourquoi ${pm_name} n'est pas disponible maintenant</t>
  </si>
  <si>
    <t>Dan binkike: dan mine ${pm_name} bai nan a yanzu</t>
  </si>
  <si>
    <t>Function</t>
  </si>
  <si>
    <t>100 kg sack</t>
  </si>
  <si>
    <t>sac de 100 kg</t>
  </si>
  <si>
    <t>Buhun kilo 100</t>
  </si>
  <si>
    <t>relevant(field)</t>
  </si>
  <si>
    <t>relevant(${followup_question})</t>
  </si>
  <si>
    <t>146. Thinking about all the revenue and expense related to this business during the past three months, you said that the net income from this business for your household is ${hoh_biz_income}. Is that correct?</t>
  </si>
  <si>
    <t>146. En pensant à tous les revenus de cette entreprise et à toutes les dépenses, vous dites que la bénéfice net de cette entreprise au cours des trois derniers mois est ${hoh_biz_income}, est-ce exact ?</t>
  </si>
  <si>
    <t>146. Ku tuna da dukkan kuɗaɗen shiga da kashe kashen kuɗi da suka shafi wannan kasuwancin a cikin watanni uku da suka wuce. Kun ce yawan riban wannan kasuwancin shine ${hoh_biz_income}. Ko hakan daidai ne?</t>
  </si>
  <si>
    <t>empty(field)</t>
  </si>
  <si>
    <t>empty(${consent})</t>
  </si>
  <si>
    <t>once(expression)</t>
  </si>
  <si>
    <t>once(random())</t>
  </si>
  <si>
    <t>basket</t>
  </si>
  <si>
    <t>62. Is ${shm_name} currently living in your household?</t>
  </si>
  <si>
    <t>panier</t>
  </si>
  <si>
    <t xml:space="preserve">62. </t>
  </si>
  <si>
    <t>sanho</t>
  </si>
  <si>
    <t>pulldata(csvname, colname, lookupcolname, lookupval)</t>
  </si>
  <si>
    <t>pulldata('hhplotdata', 'plot1size', 'hhid_key', ${hhid})</t>
  </si>
  <si>
    <t>string-length(field)</t>
  </si>
  <si>
    <t>string-length(.) &gt; 3</t>
  </si>
  <si>
    <t>unité</t>
  </si>
  <si>
    <t>ɗaya</t>
  </si>
  <si>
    <t>count-selected(field)</t>
  </si>
  <si>
    <t>count-selected(.) &gt;= 1</t>
  </si>
  <si>
    <t>selected(field, value)</t>
  </si>
  <si>
    <t>selected(${fieldname}, 'Male')</t>
  </si>
  <si>
    <t>selected-at(field, number)</t>
  </si>
  <si>
    <t>selected-at(${fieldname}, 0) = 'Shona'</t>
  </si>
  <si>
    <t>63. Where are they living?
Enumerator: Is location in Niger?</t>
  </si>
  <si>
    <t>63. Où habites-tu?
 Énquêteur: le lieu est-il au Niger?</t>
  </si>
  <si>
    <t>63. Ina kake zaune?
 Dan bincike: Ko wurin a Nijar ne?</t>
  </si>
  <si>
    <t>choice-label(field, value)</t>
  </si>
  <si>
    <t>maraba (1.5 tia)</t>
  </si>
  <si>
    <t>choice-label(${selectonefield}, ${selectonefield})</t>
  </si>
  <si>
    <t>Demi tiya (1.5 tia)</t>
  </si>
  <si>
    <t>concat(fieldorstring, fieldorstring, ...)</t>
  </si>
  <si>
    <t>concat(${firstname}, ' ', ${lastname})</t>
  </si>
  <si>
    <t>index()</t>
  </si>
  <si>
    <t>64. Enumerator: Select region in Niger</t>
  </si>
  <si>
    <t>64. Enquêteur : Sélectionnez une région au Niger</t>
  </si>
  <si>
    <t>64. Ɗan bincike: Zaɓi Jaha ɗaya a Nijar</t>
  </si>
  <si>
    <t>count(repeatgroup)</t>
  </si>
  <si>
    <t>count(${repeatgroupname})</t>
  </si>
  <si>
    <t>ladle</t>
  </si>
  <si>
    <t>louche</t>
  </si>
  <si>
    <t>sum(repeatedfield)</t>
  </si>
  <si>
    <t>lude</t>
  </si>
  <si>
    <t>sum(${loan_size})</t>
  </si>
  <si>
    <t>66. Is ${shm_name} currently living in your household?</t>
  </si>
  <si>
    <t xml:space="preserve">66. </t>
  </si>
  <si>
    <t>join(string, repeatedfield)</t>
  </si>
  <si>
    <t>join(' ,', ${hh_member_name})</t>
  </si>
  <si>
    <t>min(repeatedfield)</t>
  </si>
  <si>
    <t>min(${hh_member_age})</t>
  </si>
  <si>
    <t>67. Where are they living?
Enumerator: Is location in Niger?</t>
  </si>
  <si>
    <t>67. Où habites-tu?
 Énquêteur: le lieu est-il au Niger?</t>
  </si>
  <si>
    <t>max(repeatedfield)</t>
  </si>
  <si>
    <t>67. Ina kake zaune?
 Dan bincike: Ko wurin a Nijar ne?</t>
  </si>
  <si>
    <t>packet</t>
  </si>
  <si>
    <t>max(${hh_member_age})</t>
  </si>
  <si>
    <t>paquet</t>
  </si>
  <si>
    <t>pake</t>
  </si>
  <si>
    <t>indexed-repeat(repeatedfield, repeatgroup, index)</t>
  </si>
  <si>
    <t>indexed-repeat(${name}, ${names}, 1)</t>
  </si>
  <si>
    <t>substr(fieldorstring, startindex, endindex)</t>
  </si>
  <si>
    <t>68. Enumerator: Select region in Niger</t>
  </si>
  <si>
    <t>68. Enquêteur : Sélectionnez une région au Niger</t>
  </si>
  <si>
    <t>substr(${phone}, 0, 3)</t>
  </si>
  <si>
    <t>68. Ɗan bincike: Zaɓi Jaha ɗaya a Nijar</t>
  </si>
  <si>
    <t>coalesce(field1, field2)</t>
  </si>
  <si>
    <t>coalesce(${id}, ${id2})</t>
  </si>
  <si>
    <t>round(field, digits)</t>
  </si>
  <si>
    <t>bundle</t>
  </si>
  <si>
    <t>round(${interest_rate}, 2)</t>
  </si>
  <si>
    <t>69. Enumerator: Select country</t>
  </si>
  <si>
    <t>botte</t>
  </si>
  <si>
    <t>69. Enquêteur : sélectionnez le pays</t>
  </si>
  <si>
    <t>69. Ɗan bincike: Zaɓi ƙasa</t>
  </si>
  <si>
    <t>Dame</t>
  </si>
  <si>
    <t>regex(field, expression)</t>
  </si>
  <si>
    <t>regex(., '[A-Za-z0-9._%+-]+@[A-Za-z0-9.-]+.[A-Za-z]{2,4}')</t>
  </si>
  <si>
    <t>if(expression, valueiftrue, valueiffalse)</t>
  </si>
  <si>
    <t>if(selected(${country}, 'South Africa') or selected(${country}, 'Zimbabwe'), 'SADC', 'Non-SADC')</t>
  </si>
  <si>
    <t>70. Enumerator: Enter other country</t>
  </si>
  <si>
    <t>70. Enquêteur : Entrez un autre pays</t>
  </si>
  <si>
    <t>70. Ɗan bincike: Shigar da wata ƙasa</t>
  </si>
  <si>
    <t>today()</t>
  </si>
  <si>
    <t>format-date-time(today(), '%Y-%b-%e')</t>
  </si>
  <si>
    <t>other (to specify)</t>
  </si>
  <si>
    <t>now()</t>
  </si>
  <si>
    <t>autre unite (a specifier)</t>
  </si>
  <si>
    <t>Other, specify:</t>
  </si>
  <si>
    <t>Wani daban ( a baiyyana)</t>
  </si>
  <si>
    <t>Autre précisez:</t>
  </si>
  <si>
    <t>Sauran, bayar da cikakkun bayanai:</t>
  </si>
  <si>
    <t>username()</t>
  </si>
  <si>
    <t>rank-index(index, repeatedfield)</t>
  </si>
  <si>
    <t>rank-index(1, ${random_draw})</t>
  </si>
  <si>
    <t>rank-value(fieldorvalue, fieldorlist)</t>
  </si>
  <si>
    <t>rank-value(${random_draw}, ${list_of_draws})</t>
  </si>
  <si>
    <t>67. Is ${shm_name} currently living in Niger?</t>
  </si>
  <si>
    <t>de-duplicate(string, field)</t>
  </si>
  <si>
    <t>de-duplicate(' ', join(' ', ${repeatedfield}))</t>
  </si>
  <si>
    <t>distance-between(geopointfield1, geopointfield2)</t>
  </si>
  <si>
    <t>distance-between(${start_gps}, ${end_gps})</t>
  </si>
  <si>
    <t>pm_surv_done_phone</t>
  </si>
  <si>
    <t>Has the survey team already contacted you over the phone?</t>
  </si>
  <si>
    <t>Avez-vous déjà répondu à une enquête par téléphone avec l'équipe d'enquête ?</t>
  </si>
  <si>
    <t>area(repeatedgeopointfield)</t>
  </si>
  <si>
    <t>Ko kun taɓa hira ta wayar salula tare da ƴan bincike?</t>
  </si>
  <si>
    <t>crops</t>
  </si>
  <si>
    <t>area(${gps_reading})</t>
  </si>
  <si>
    <t>phone-call-log()</t>
  </si>
  <si>
    <t>plug-in-metadata(field)</t>
  </si>
  <si>
    <t>plug-in-metadata(${counter})</t>
  </si>
  <si>
    <t>14. &lt;p&gt;&lt;span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and reach you by phone between our in-person visits. If you complete each in-person survey, we will send you ${treatment_cfa} in phone credit each time. You are free to skip any questions you do not wish to answer or to end the survey at any time. &lt;br&gt;&lt;br&gt;
 &lt;b&gt;Can I ask you these questions now?&lt;/b&gt;</t>
  </si>
  <si>
    <t>14. &lt;p&gt;&lt;span style="color: #ff0000;"&gt;&lt;b&gt;ENQUETEUR : À partir de maintenant, vous lirez les questions à haute voix.&lt;/b&gt;&lt;/span&gt;
 &lt;br&gt; &lt;br&gt; 
 Super, je viens vous poser des questions afin de savoir comment vous allez depuis la dernière fois que vous nous avez parlé.
 &lt;br&gt; &lt;br&gt; 
 Pour rappel, nous avons demandé votre autorisation pour vous rendre visite une fois tous les 6 mois. Si vous répondez à chaque enquête en personne, nous vous enverrons à chaque fois ${treatment_cfa} de crédit téléphonique. Vous êtes libre de sauter les questions auxquelles vous ne souhaitez pas répondre ou de mettre fin à l'enquête à tout moment.&lt;br&gt;&lt;br&gt;
 &lt;b&gt;Puis-je vous poser ces questions maintenant?&lt;/b&gt;</t>
  </si>
  <si>
    <t>14. &lt;p&gt;&lt;span style="color: #ff0000;"&gt;&lt;b&gt;Mai bincike: Daga yanzu, za ka karanta tambayoyin da babbar murya.&lt;/b&gt;&lt;/span&gt;
 &lt;br&gt; &lt;br&gt; 
 Madalla, na ziyarce ku ne domin in yi muku tambayoyi don sanin yadda kuka kasance tun lokacin da kuka yi magana da mu.&lt;br&gt; &lt;br&gt; 
 Don tunatar da ku, mun nemi izinin ku don ziyartar ku sau ɗaya a kowane watanni Idan kun bada amsa ga kowane binciken na gaba da gaba, za mu aika muku ${treatment_cfa} a kuɗin waya kowane lokaci. Kuna da ƴanci tsallake kowace tambaya idan ba ku so bada amsa ba ko tsaida binciken gaba ɗaya a kowane lokaci.&lt;br&gt;&lt;br&gt;
 &lt;b&gt;Zan iya yi muku wadannan tambayoyin yanzu?&lt;/b&gt;</t>
  </si>
  <si>
    <t>Amaranth</t>
  </si>
  <si>
    <t>Amarante</t>
  </si>
  <si>
    <t>alaiyahu</t>
  </si>
  <si>
    <t>Bitter tomato</t>
  </si>
  <si>
    <t>Tomate amère</t>
  </si>
  <si>
    <t>Tumatir mai ɗaci</t>
  </si>
  <si>
    <t>71. Enumerator: Select town</t>
  </si>
  <si>
    <t>71. Enquêteur : Sélectionnez la ville</t>
  </si>
  <si>
    <t>71. Ɗan bincike: Zaɓi gari</t>
  </si>
  <si>
    <t>Calabash</t>
  </si>
  <si>
    <t>Calebasse</t>
  </si>
  <si>
    <t>kwarya/ duma</t>
  </si>
  <si>
    <t>72. Enumerator: Enter other town</t>
  </si>
  <si>
    <t>72. Enquêteur : Entrez un autre ville</t>
  </si>
  <si>
    <t>72. Ɗan bincike: Shigar da wata gari</t>
  </si>
  <si>
    <t>Clove</t>
  </si>
  <si>
    <t>Clou de girofle</t>
  </si>
  <si>
    <t>karamfani</t>
  </si>
  <si>
    <t>73. Will ${shm_name} be in the household within the next two weeks?</t>
  </si>
  <si>
    <t xml:space="preserve">73. </t>
  </si>
  <si>
    <t>74. Have you spoken with ${shm_name} or other members of your household at home in the past month?</t>
  </si>
  <si>
    <t>74. Avez-vous parlé avec ${shm_name} ou d'autres membres de votre ménage au cours du mois dernier ?</t>
  </si>
  <si>
    <t>74. Shin ko kun yi magana da ${shm_name} ko wasu ƴan gidanku a cikin watan da ya gabata?</t>
  </si>
  <si>
    <t>Corn</t>
  </si>
  <si>
    <t>Maïs</t>
  </si>
  <si>
    <t>Masara</t>
  </si>
  <si>
    <t>77. your family would not support your decision to migrate</t>
  </si>
  <si>
    <t xml:space="preserve">77. </t>
  </si>
  <si>
    <t>Cowpeas</t>
  </si>
  <si>
    <t>Niébé</t>
  </si>
  <si>
    <t>Wake</t>
  </si>
  <si>
    <t>78. members of your community would not support your decision to migrate</t>
  </si>
  <si>
    <t xml:space="preserve">78. </t>
  </si>
  <si>
    <t>79. it would be dangerous for you on the route</t>
  </si>
  <si>
    <t xml:space="preserve">79. </t>
  </si>
  <si>
    <t>Fonio</t>
  </si>
  <si>
    <t>Waken Awara</t>
  </si>
  <si>
    <t>80. it would be dangerous for you at my preferred destination</t>
  </si>
  <si>
    <t xml:space="preserve">80. </t>
  </si>
  <si>
    <t>Groundnut</t>
  </si>
  <si>
    <t>Arachide</t>
  </si>
  <si>
    <t>Gyada /Gujiya</t>
  </si>
  <si>
    <t>81. the border would be closed and I would not be able to leave Niger</t>
  </si>
  <si>
    <t xml:space="preserve">81. </t>
  </si>
  <si>
    <t>Manioc</t>
  </si>
  <si>
    <t>Rogo</t>
  </si>
  <si>
    <t>75. You told us when we visited you in ${period} that you were interested in migrating. In the past six months, as you considered whether to migrate, were you very concerned that:</t>
  </si>
  <si>
    <t>75. Lors de notre visite en ${period_french}, vous nous avez dit que vous souhaitiez migrer. Au cours des six derniers mois, quand vous pensez à la migration, vous sentez vous préoccupé par les questions suivantes :</t>
  </si>
  <si>
    <t>75. Kun gaya mana ${period_hausa} da muka ziyarce ku a cikin [baseline period] cewa kuna sha'awar zuwa wuri biɗa. A cikin watanni shida da suka gabata, yayin da kuke tunanin ko za ku je biɗa, kun damu matuka cewa:</t>
  </si>
  <si>
    <t>76. you would not have sufficient funds to support migration</t>
  </si>
  <si>
    <t>76. vous n'auriez pas suffisamment de fonds pour supporter les dépenses liées à la migration</t>
  </si>
  <si>
    <t>Millet</t>
  </si>
  <si>
    <t>76. Ba za ku sami isassun kuɗi ba don ɗaukan nauyin kashe kashen kuɗin da ya ta'allaƙa da zuwa biɗan ba</t>
  </si>
  <si>
    <t>Gero/ Hatsi</t>
  </si>
  <si>
    <t>15. Tambayoyin mai zuwa biɗa</t>
  </si>
  <si>
    <t>Mint</t>
  </si>
  <si>
    <t>Menthe</t>
  </si>
  <si>
    <t>Mant</t>
  </si>
  <si>
    <t>pm_missing_previous_round</t>
  </si>
  <si>
    <t>Missed Previous Followup</t>
  </si>
  <si>
    <t>78. your family would not support your decision to migrate</t>
  </si>
  <si>
    <t>78. votre famille ne soutiendrait pas votre décision de migrer</t>
  </si>
  <si>
    <t>78. Ƴan gidan ku ba za su goyi bayan zuwa biɗan ka ba</t>
  </si>
  <si>
    <t>Nutgrass</t>
  </si>
  <si>
    <t>speedcheck_pm_missedprev_start</t>
  </si>
  <si>
    <t>Souchet</t>
  </si>
  <si>
    <t>Aya</t>
  </si>
  <si>
    <t>79. members of your community would not support your decision to migrate</t>
  </si>
  <si>
    <t>79. Les membres de votre communauté ne soutiendraient pas votre décision de migrer</t>
  </si>
  <si>
    <t>79. Al'ummar yankinku ba za su goyi bayan shawarar ka na zuwa biɗa ba</t>
  </si>
  <si>
    <t>pm_missed_note</t>
  </si>
  <si>
    <t>Okra</t>
  </si>
  <si>
    <t>Gombo</t>
  </si>
  <si>
    <t>kuɓewa/ Miyar guro</t>
  </si>
  <si>
    <t>pm_missed_home</t>
  </si>
  <si>
    <t>17. Tuna da ${pm_missed_period_hausa}, a wannan lokacin ko kuna gida a ${pm_home_location}?</t>
  </si>
  <si>
    <t>Onions</t>
  </si>
  <si>
    <t>Oignons</t>
  </si>
  <si>
    <t>Albasa</t>
  </si>
  <si>
    <t>pm_missed_locations</t>
  </si>
  <si>
    <t>18. Please list all of the places you spent more than one week during ${pm_missed_period} other than ${pm_home_location}. How many places?</t>
  </si>
  <si>
    <t>18. Veuillez énumérer tous les lieux où vous avez passé plus d'une semaine entre ${pm_missed_period_french} autre que ${pm_home_location}. Combien de lieux ?</t>
  </si>
  <si>
    <t>18. Ko za ku gaya mini duk wuraren da kuka zauna sama da sati guda a lokacin ${pm_missed_period_hausa} da ba ${pm_home_location}. Wuri nawa ne?</t>
  </si>
  <si>
    <t>Paddy rice</t>
  </si>
  <si>
    <t>Riz non décortiqué</t>
  </si>
  <si>
    <t>shinkafa maras sissika</t>
  </si>
  <si>
    <t>pm_missed_locations_info</t>
  </si>
  <si>
    <t>Missed locations</t>
  </si>
  <si>
    <t>83. you would not be able to find housing or work at your preferred destination</t>
  </si>
  <si>
    <t>83. vous ne seriez pas en mesure de trouver un logement ou de travailler dans votre destination préférée</t>
  </si>
  <si>
    <t>83. Ba za ku iya samun gidaje ko aiki ba a wurin da kuka fi so.</t>
  </si>
  <si>
    <t>Peanuts</t>
  </si>
  <si>
    <t>Cacahuètes</t>
  </si>
  <si>
    <t>pm_miss_locations_list_index</t>
  </si>
  <si>
    <t>Gyada</t>
  </si>
  <si>
    <t>84. members of your family would would not have enough food without you in Tahoua</t>
  </si>
  <si>
    <t>84. Les membres de votre famille n'auraient pas assez de nourriture sans vous à Tahoua</t>
  </si>
  <si>
    <t>84. Ƴan gidanku ba za su sami isasshen abinci ba idan babu kai a Tahoua.</t>
  </si>
  <si>
    <t>pm_miss_previous_answer</t>
  </si>
  <si>
    <t>Peppers</t>
  </si>
  <si>
    <t>Poivrons</t>
  </si>
  <si>
    <t>85. your family would not have enough people to work without you in Tahoua</t>
  </si>
  <si>
    <t>tattase</t>
  </si>
  <si>
    <t>85. votre famille n'aurait pas assez de bras valides pour travailler sans vous à Tahoua</t>
  </si>
  <si>
    <t>85. Ƴan gidan ku ba za su sami isassun mutanen da za su yi aiki ba a Tahoua</t>
  </si>
  <si>
    <t>91. Did you spend at least one week (7 days) anywhere other than ${pm_loc_beg_initial} since ${period}?</t>
  </si>
  <si>
    <t>91. Avez-vous passé au moins une semaine (7 jours) ailleurs qu'à ${pm_loc_beg_initial_fr} depuis ${period_french} ?</t>
  </si>
  <si>
    <t>91. Ko kun zauna tsawon aƙalla sati guda (kwana 7) a wani wuri da ba ${pm_loc_beg_initial_hausa} ba tun ${period_hausa}?</t>
  </si>
  <si>
    <t>Sesame</t>
  </si>
  <si>
    <t>Sésame</t>
  </si>
  <si>
    <t>Riɗi</t>
  </si>
  <si>
    <t>pm_missed_in_niger</t>
  </si>
  <si>
    <t>19. Where were you ${pm_miss_previous_answer}?
  Enumerator: Is location in Niger?</t>
  </si>
  <si>
    <t>19. Où étiez-vous ${pm_miss_previous_answer} ?
  Enquêteur : La localité est-elle au Niger ?</t>
  </si>
  <si>
    <t>19. A ina kuke ${pm_miss_previous_answer}?
  Ɗan bincike : Ko wurin a Nijar ne?</t>
  </si>
  <si>
    <t>pm_missed_previous_region</t>
  </si>
  <si>
    <t>Sorghum</t>
  </si>
  <si>
    <t>Sorgho</t>
  </si>
  <si>
    <t>Dawa</t>
  </si>
  <si>
    <t>pm_missed_previous_country</t>
  </si>
  <si>
    <t>Sorrel</t>
  </si>
  <si>
    <t>Oseille</t>
  </si>
  <si>
    <t>Yakuwa</t>
  </si>
  <si>
    <t>pm_missed_previous_country_o</t>
  </si>
  <si>
    <t>22. Enumerator: Enter other country</t>
  </si>
  <si>
    <t>22. Enquêteur : Entrez un autre pays</t>
  </si>
  <si>
    <t>22. Ɗan bincike: Shigar da wata ƙasa</t>
  </si>
  <si>
    <t>pm_missed_previous_country_code</t>
  </si>
  <si>
    <t>Squash</t>
  </si>
  <si>
    <t>Courge</t>
  </si>
  <si>
    <t>Kabewa</t>
  </si>
  <si>
    <t>90. Who in your community would be against your decision?</t>
  </si>
  <si>
    <t>90. Qui dans votre communauté serait contre votre décision ?</t>
  </si>
  <si>
    <t>90. Wanene a cikin al'ummarku zai yi adawa da shawararka?</t>
  </si>
  <si>
    <t>pm_missed_previous_town</t>
  </si>
  <si>
    <t>Sweet potatoes</t>
  </si>
  <si>
    <t>Patates douces</t>
  </si>
  <si>
    <t>Dankali</t>
  </si>
  <si>
    <t>Wheat</t>
  </si>
  <si>
    <t>187. In the past three months did your household make a significant investment or improvement in the house you reside in?</t>
  </si>
  <si>
    <t>Blé</t>
  </si>
  <si>
    <t>187. &lt;b&gt; Au cours des trois derniers mois&lt;/b&gt;, votre ménage a-t-il fait un investissement important ou des améliorations dans la maison que vous habitez ?</t>
  </si>
  <si>
    <t>187. A cikin watanni uku da suka wuce, gidanku ya saka wani babban jari ko ya gyara gidan da kuke zaune?</t>
  </si>
  <si>
    <t>Alkama</t>
  </si>
  <si>
    <t>188. Build additional rooms</t>
  </si>
  <si>
    <t>188. Construire des chambres supplémentaires</t>
  </si>
  <si>
    <t>188. Ginin ƙarin ɗakuna</t>
  </si>
  <si>
    <t>Yam</t>
  </si>
  <si>
    <t>Igname</t>
  </si>
  <si>
    <t>Doya</t>
  </si>
  <si>
    <t>189. Improve floors</t>
  </si>
  <si>
    <t>189. Améliorer les sols</t>
  </si>
  <si>
    <t>189. Inganta filalayen gida</t>
  </si>
  <si>
    <t>190. Improve walls</t>
  </si>
  <si>
    <t>190. Réfectionner les murs</t>
  </si>
  <si>
    <t>190. gyara katangun gida</t>
  </si>
  <si>
    <t>pm_missed_previous_town_o</t>
  </si>
  <si>
    <t>192. Other improvement</t>
  </si>
  <si>
    <t>192. Autre amélioration</t>
  </si>
  <si>
    <t>192. Wasu gyare gyare daban</t>
  </si>
  <si>
    <t>assets</t>
  </si>
  <si>
    <t>pm_missed_previous_town_id</t>
  </si>
  <si>
    <t>Generator</t>
  </si>
  <si>
    <t>Groupe electrogene</t>
  </si>
  <si>
    <t>Ganareto</t>
  </si>
  <si>
    <t>93. Please list all of the places you spent more than one week during ${period} other than ${pm_loc_beg_initial} and your current location (if different from ${pm_loc_beg_initial}). How many places?</t>
  </si>
  <si>
    <t>93. Veuillez énumérer tous les endroits où vous avez passé plus d'une semaine au cours d'une ${period_french} autre que ${pm_loc_beg_initial} et votre lieu de residence actuel (si différent de ${pm_loc_beg_initial}). Combien de lieux ?</t>
  </si>
  <si>
    <t>93. Da fatan za a zana duk wuraren da kuka shafe sama da mako guda a cikin lokaci banda ${pm_loc_beg_initial} da wurin da kuke zaune a yanzu (idan ya bambanta da (${pm_loc_beg_initial}). Wurare nawa ne?</t>
  </si>
  <si>
    <t>TV set</t>
  </si>
  <si>
    <t>poste de télévision</t>
  </si>
  <si>
    <t>talabijan/ Tele</t>
  </si>
  <si>
    <t>95. Enumerator: Select region in Niger</t>
  </si>
  <si>
    <t>95. Enquêteur : Sélectionnez une région au Niger</t>
  </si>
  <si>
    <t>95. Ɗan bincike: Zaɓi Jaha ɗaya a Nijar</t>
  </si>
  <si>
    <t>96. Enumerator: Select country</t>
  </si>
  <si>
    <t>96. Enquêteur : sélectionnez le pays</t>
  </si>
  <si>
    <t>96. Ɗan bincike: Zaɓi ƙasa</t>
  </si>
  <si>
    <t>Radio</t>
  </si>
  <si>
    <t>97. Enumerator: Enter other country</t>
  </si>
  <si>
    <t>97. Enquêteur : Entrez un autre pays</t>
  </si>
  <si>
    <t>Rediyo</t>
  </si>
  <si>
    <t>97. Ɗan bincike: Shigar da wata ƙasa</t>
  </si>
  <si>
    <t>pm_missed_previous_town_name</t>
  </si>
  <si>
    <t>94. We would first like to know about these locations. Can you confirm that you spent more than one week in ${pm_locations} locations since ${period}? ${pm_loc_confirm_label}</t>
  </si>
  <si>
    <t xml:space="preserve">94. </t>
  </si>
  <si>
    <t>Mobile Phone</t>
  </si>
  <si>
    <t>Téléphone mobile</t>
  </si>
  <si>
    <t>Wayar Hannu/ Salula</t>
  </si>
  <si>
    <t>98. Enumerator: Select town</t>
  </si>
  <si>
    <t>98. Enquêteur : Sélectionnez la ville</t>
  </si>
  <si>
    <t>98. Ɗan bincike: Zaɓi gari</t>
  </si>
  <si>
    <t>99. Enumerator: enter town</t>
  </si>
  <si>
    <t>99. Enquêteur : indiquez la ville</t>
  </si>
  <si>
    <t>99. Mai bincike: bayyana gari</t>
  </si>
  <si>
    <t>Traditional bed</t>
  </si>
  <si>
    <t>Lit traditionnel</t>
  </si>
  <si>
    <t>Gadon gargajiya</t>
  </si>
  <si>
    <t>81. Based on your answers it sounds like you started in ${pm_location4} and traveled to ${pm_location3}, is that correct?</t>
  </si>
  <si>
    <t>81. D'après vos réponses, il semble que vous ayez commencé à ${pm_location4} et que vous vous soyez rendu à ${pm_location3}, n'est-ce pas ?</t>
  </si>
  <si>
    <t>81. Dangance da amsoshinku ina jin kamar kun fara a ${pm_location4} kuma kuka yi tafiya zuwa ${pm_location3}, daidai ne?</t>
  </si>
  <si>
    <t>Iron/wooden bed</t>
  </si>
  <si>
    <t>Lit en fer/bois</t>
  </si>
  <si>
    <t>82. Based on your answers it sounds like you started in ${pm_location3} and traveled to ${pm_location2}, is that correct?</t>
  </si>
  <si>
    <t>82. D'après vos réponses, il semble que vous ayez commencé à ${pm_location3} et que vous vous soyez rendu à ${pm_location2}, n'est-ce pas ?</t>
  </si>
  <si>
    <t>Gadon ƙarfe / katako</t>
  </si>
  <si>
    <t>82. Dangance da amsoshinku ina jin kamar kun fara a ${pm_location3} kuma kuka yi tafiya zuwa ${pm_location2}, daidai ne?</t>
  </si>
  <si>
    <t>83. Based on your answers it sounds like you started in ${pm_location2} and traveled to ${pm_location1}, is that correct?</t>
  </si>
  <si>
    <t>83. D'après vos réponses, il semble que vous ayez commencé à ${pm_location2} et que vous vous soyez rendu à ${pm_location1}, n'est-ce pas ?</t>
  </si>
  <si>
    <t>83. Dangance da amsoshinku ina jin kamar kun fara a ${pm_location2} kuma kuka yi tafiya zuwa ${pm_location1}, daidai ne?</t>
  </si>
  <si>
    <t>Flashlight</t>
  </si>
  <si>
    <t>Torche</t>
  </si>
  <si>
    <t>Tocila/ yer hannu</t>
  </si>
  <si>
    <t>203. Total savings: ${hoh_savings_total}: Does this look correct?</t>
  </si>
  <si>
    <t>203. Économies totales : ${hoh_savings_total} : cela vous semble correct ?</t>
  </si>
  <si>
    <t>203. Jimillar ajiya: ${hoh_savings_total}: kuna ganin ​​wannan yayi daidai?</t>
  </si>
  <si>
    <t>204. During ${period}, was your household negatively affected by any of the following types of events?</t>
  </si>
  <si>
    <t>204. Au cours de ${period_french}, votre ménage a-t-il été affecté négativement par l'un des types d'événements suivants ?</t>
  </si>
  <si>
    <t>204. A lokacin ${period_hausa}, ko gidanku ya fuskanci wani daga cikin matsaloli nan masu zuwa? Zaɓi duk abin da ya dace</t>
  </si>
  <si>
    <t>pm_missed_location</t>
  </si>
  <si>
    <t>Bike</t>
  </si>
  <si>
    <t>Vélo</t>
  </si>
  <si>
    <t>Keke/ Belo</t>
  </si>
  <si>
    <t>95. Where were you ${pm_previous_answer}?
Enumerator: Is location in Niger?</t>
  </si>
  <si>
    <t>95. Où étiez-vous ${pm_previous_answer_fr} ?
Enquêteur : La localité est-elle au Niger ?</t>
  </si>
  <si>
    <t>95. A ina kuka ${pm_previous_answer_hausa}?
Ɗan bincike : Ko wurin a Nijar ne?</t>
  </si>
  <si>
    <t>pm_missed_location_weeks</t>
  </si>
  <si>
    <t>25. Tsawon sati nawa ne ka zauna a ${pm_missed_period_hausa} lokacin ${pm_missed_period}?</t>
  </si>
  <si>
    <t>Motorbike</t>
  </si>
  <si>
    <t>Moto</t>
  </si>
  <si>
    <t>Babur/ Moto</t>
  </si>
  <si>
    <t>pm_missed_any_work</t>
  </si>
  <si>
    <t>26. Ko kun yi wani aikin biya a ${pm_missed_location} lokacin ${pm_missed_period}?</t>
  </si>
  <si>
    <t>pm_missed_activity_payment_amt</t>
  </si>
  <si>
    <t>Plow</t>
  </si>
  <si>
    <t>27. Tuna da samun kuɗin da ka yi ga dukkan ayyukan da ka yi, a ${pm_missed_location} a lokacin ${pm_missed_period_hausa}, misalin nawa kake samu a kowane sati?</t>
  </si>
  <si>
    <t>Charrue</t>
  </si>
  <si>
    <t>Galma</t>
  </si>
  <si>
    <t>86. Other, specify:</t>
  </si>
  <si>
    <t>86. Autre précisez:</t>
  </si>
  <si>
    <t>86. Sauran, bayar da cikakkun bayanai:</t>
  </si>
  <si>
    <t>pm_missed_activity_weeks</t>
  </si>
  <si>
    <t>28. Gaba ɗaya tsawon sati nawa ka yi aikin albashi?</t>
  </si>
  <si>
    <t>Cart</t>
  </si>
  <si>
    <t>Chariot</t>
  </si>
  <si>
    <t>Amalanke</t>
  </si>
  <si>
    <t>pm_missed_income</t>
  </si>
  <si>
    <t>Calculate income total for missed_location</t>
  </si>
  <si>
    <t>Pickaxe</t>
  </si>
  <si>
    <t>Pioche</t>
  </si>
  <si>
    <t>Diga</t>
  </si>
  <si>
    <t>100. Enumerator: enter town</t>
  </si>
  <si>
    <t>100. Enquêteur : indiquez la ville</t>
  </si>
  <si>
    <t>100. Mai bincike: bayyana gari</t>
  </si>
  <si>
    <t>88. The next few questions focus on your experience crossing the border from ${pm_from_location} to ${pm_to_location}.</t>
  </si>
  <si>
    <t>88. Les prochaines questions portent sur votre expérience de passage de la frontière de ${pm_from_location} à ${pm_to_location}.</t>
  </si>
  <si>
    <t>88. Tambayoyi na gaba sun ta allaƙa ne bisa ƙwarewar ku ta ketare iyaka daga ${pm_from_location} zuwa ${pm_to_location}.</t>
  </si>
  <si>
    <t>89. How did you cross the border from ${pm_from_location} to ${pm_to_location}?</t>
  </si>
  <si>
    <t>89. Comment avez-vous traversé la frontière entre ${pm_from_location} et ${pm_to_location} ?</t>
  </si>
  <si>
    <t>89. Yaya kuka ketare iyaka daga ${pm_from_location} zuwa ${pm_to_location}?</t>
  </si>
  <si>
    <t>90. Other, specify:</t>
  </si>
  <si>
    <t>90. Autre précisez:</t>
  </si>
  <si>
    <t>90. Sauran, bayar da cikakkun bayanai:</t>
  </si>
  <si>
    <t>91. How many people crossed the border with you (in the same travel group) from ${pm_from_location} to ${pm_to_location}, if any?</t>
  </si>
  <si>
    <t>91. Combien de personnes ont traversé la frontière avec vous (dans le même groupe de voyage) du ${pm_from_location} à ${pm_to_location}, le cas échéant?</t>
  </si>
  <si>
    <t>91. Mutane nawa ne suka ketare iyaka da ku (a cikin rukuni ɗaya) daga ${pm_from_location} zuwa ${pm_to_location}, idan akwai?</t>
  </si>
  <si>
    <t>livestock</t>
  </si>
  <si>
    <t>Poultry</t>
  </si>
  <si>
    <t>Volaille</t>
  </si>
  <si>
    <t>Kaji</t>
  </si>
  <si>
    <t>92. Was there an official checkpoint or building where you crossed the border from ${pm_from_location} to ${pm_to_location}?</t>
  </si>
  <si>
    <t>92. Y avait-il un point de contrôle ou un bâtiment officiel à l'endroit où vous avez traversé la frontière entre ${pm_from_location} et ${pm_to_location} ?</t>
  </si>
  <si>
    <t>92. Ko akwai wurin bincike ko wata ma'aikata na gwamnati a inda kuka ketara iyaka daga ${pm_from_location} zuwa ${pm_to_location}?</t>
  </si>
  <si>
    <t>93. Did you/your vehicle encounter border police or migration officials at the border from ${pm_from_location} to ${pm_to_location}?</t>
  </si>
  <si>
    <t>93. Avez-vous/votre véhicule a-t-il rencontré la police des frontières ou des agents de l'immigration à la frontière entre ${pm_from_location} et ${pm_to_location} ?</t>
  </si>
  <si>
    <t>93. Ko kun haɗu ƴan sandan iyaka ko jami'an imagreshin a kan iyaka daga ${pm_from_location} zuwa ${pm_to_location}?</t>
  </si>
  <si>
    <t>Goats</t>
  </si>
  <si>
    <t>Chèvres</t>
  </si>
  <si>
    <t>Awaki</t>
  </si>
  <si>
    <t>94. Were you asked to show any documents when you crossed the border from ${pm_from_location} to ${pm_to_location}?</t>
  </si>
  <si>
    <t>94. Vous a-t-on demandé de montrer des documents lorsque vous avez traversé la frontière de ${pm_from_location} à ${pm_to_location} ?</t>
  </si>
  <si>
    <t>94. Ko an tambayeku don nuna wasu takardu lokacin da kuka ketare iyaka daga ${pm_from_location} zuwa ${pm_to_location}?</t>
  </si>
  <si>
    <t>Sheep</t>
  </si>
  <si>
    <t>Mouton</t>
  </si>
  <si>
    <t>Tumaki</t>
  </si>
  <si>
    <t>95. Which documents were you asked to show when you crossed the border from ${pm_from_location} to ${pm_to_location}?</t>
  </si>
  <si>
    <t>95. Quels documents vous a-t-on demandé de présenter lorsque vous avez traversé la frontière entre ${pm_from_location} et ${pm_to_location} ?</t>
  </si>
  <si>
    <t>95. Waɗanne takardu aka tambayeku nunawa lokacin da kuka ketare iyaka daga ${pm_from_location} zuwa ${pm_to_location}?</t>
  </si>
  <si>
    <t>Cattle</t>
  </si>
  <si>
    <t>Vaches</t>
  </si>
  <si>
    <t>Shanu</t>
  </si>
  <si>
    <t>96. Specify other</t>
  </si>
  <si>
    <t>96. Autre à préciser</t>
  </si>
  <si>
    <t>96. Wani daban a baiyana</t>
  </si>
  <si>
    <t>Horses</t>
  </si>
  <si>
    <t>Les chevaux</t>
  </si>
  <si>
    <t>Dawaki</t>
  </si>
  <si>
    <t>97. How much money, if any were you asked to pay to cross the border (in CFA) from ${pm_from_location} to ${pm_to_location}?</t>
  </si>
  <si>
    <t>97. Combien d'argent, si c'est arrivé, vous a-t-on demandé de payer pour traverser la frontière (en CFA) de ${pm_from_location} à ${pm_to_location} ?</t>
  </si>
  <si>
    <t>97. Nawa ne kuɗin da kuka bada, idan an nemi ku biya don ketare iyaka (a cikin kuɗin CFA) daga ${pm_from_location} zuwa ${pm_to_location}?</t>
  </si>
  <si>
    <t>100. Based on your answers it sounds like you started in ${pm_location5} and traveled to ${pm_location4}, is that correct?</t>
  </si>
  <si>
    <t>100. D'après vos réponses, il semble que vous ayez commencé à ${pm_location5} et que vous vous soyez rendu à ${pm_location4}, n'est-ce pas ?</t>
  </si>
  <si>
    <t>100. Dangance da amsoshinku ina jin kamar kun fara a ${pm_location5} kuma kuka yi tafiya zuwa ${pm_location4}, daidai ne?</t>
  </si>
  <si>
    <t>Camels</t>
  </si>
  <si>
    <t>Chameaux</t>
  </si>
  <si>
    <t>Rakumma</t>
  </si>
  <si>
    <t>101. Based on your answers it sounds like you started in ${pm_location4} and traveled to ${pm_location3}, is that correct?</t>
  </si>
  <si>
    <t>101. D'après vos réponses, il semble que vous ayez commencé à ${pm_location4} et que vous vous soyez rendu à ${pm_location3}, n'est-ce pas ?</t>
  </si>
  <si>
    <t>101. Dangance da amsoshinku ina jin kamar kun fara a ${pm_location4} kuma kuka yi tafiya zuwa ${pm_location3}, daidai ne?</t>
  </si>
  <si>
    <t>102. Based on your answers it sounds like you started in ${pm_location3} and traveled to ${pm_location2}, is that correct?</t>
  </si>
  <si>
    <t>102. D'après vos réponses, il semble que vous ayez commencé à ${pm_location3} et que vous vous soyez rendu à ${pm_location2}, n'est-ce pas ?</t>
  </si>
  <si>
    <t>102. Dangance da amsoshinku ina jin kamar kun fara a ${pm_location3} kuma kuka yi tafiya zuwa ${pm_location2}, daidai ne?</t>
  </si>
  <si>
    <t>Donkey</t>
  </si>
  <si>
    <t>Âne</t>
  </si>
  <si>
    <t>Jaki</t>
  </si>
  <si>
    <t>103. Based on your answers it sounds like you started in ${pm_location2} and traveled to ${pm_location1}, is that correct?</t>
  </si>
  <si>
    <t>103. D'après vos réponses, il semble que vous ayez commencé à ${pm_location2} et que vous vous soyez rendu à ${pm_location1}, n'est-ce pas ?</t>
  </si>
  <si>
    <t>103. Dangance da amsoshinku ina jin kamar kun fara a ${pm_location2} kuma kuka yi tafiya zuwa ${pm_location1}, daidai ne?</t>
  </si>
  <si>
    <t>226. In the past week how many days have children in your household consumed animal protein (inlcuding fish, meat, poultry)?</t>
  </si>
  <si>
    <t>226. Au cours des 7 derniers jours, combien de fois les enfants de votre ménage ont-ils consommé des protéines animales (y compris poisson, viande, volaille) ?</t>
  </si>
  <si>
    <t>226. A cikin kwanaki 7 da suka gabata sau nawa yara a cikin gidanku suka ci abinci masu gina jiki kamar su kifi, nama, kaji ?</t>
  </si>
  <si>
    <t>101. Did you experience any of the following during your travel from ${pm_from_location} to ${pm_to_location}?</t>
  </si>
  <si>
    <t>101. Avez-vous vécu l'une des situations suivantes lors de votre voyage de ${pm_from_location} à ${pm_to_location} ?</t>
  </si>
  <si>
    <t>101. Ko kun fuskanci ɗayan waɗannan abubuwan yayin tafiyarku daga ${pm_from_location} zuwa ${pm_to_location}?</t>
  </si>
  <si>
    <t>102. Physical attack</t>
  </si>
  <si>
    <t>102. Attaque physique</t>
  </si>
  <si>
    <t>102. Harin jiki</t>
  </si>
  <si>
    <t>activities</t>
  </si>
  <si>
    <t>Farming/Agriculture</t>
  </si>
  <si>
    <t>103. Threat of physical violence/attack</t>
  </si>
  <si>
    <t>103. Menace de violence physique/agression</t>
  </si>
  <si>
    <t>Agriculture</t>
  </si>
  <si>
    <t>103. Barazanar ​​harin jiki</t>
  </si>
  <si>
    <t>Noma</t>
  </si>
  <si>
    <t>104. We would like to learn more about your experience traveling from ${pm_from_location} to ${pm_to_location}.</t>
  </si>
  <si>
    <t>104. Nous aimerions en savoir plus sur votre expérience de voyage entre ${pm_from_location} et ${pm_to_location}.</t>
  </si>
  <si>
    <t>104. Muna son mu ƙara sanin abubuwan da suka faru a kan tafiyarku daga ${pm_from_location} zuwa ${pm_to_location}.</t>
  </si>
  <si>
    <t>Herding</t>
  </si>
  <si>
    <t>105. How did you travel between ${pm_from_location} and ${pm_to_location}?</t>
  </si>
  <si>
    <t>Élevage</t>
  </si>
  <si>
    <t>105. Comment vous êtes-vous déplacé entre ${pm_from_location} et ${pm_to_location} ?</t>
  </si>
  <si>
    <t>105. Yaya kuka yi tafiyar (ko bisa abun hawa) tsakanin ${pm_from_location} da ${pm_to_location}?</t>
  </si>
  <si>
    <t>Kiwo</t>
  </si>
  <si>
    <t>106. Other, specify:</t>
  </si>
  <si>
    <t>106. Autre précisez:</t>
  </si>
  <si>
    <t>106. Sauran, bayar da cikakkun bayanai:</t>
  </si>
  <si>
    <t>107. How many people traveled with you (in the same travel group) from ${pm_from_location} to ${pm_to_location}, if any?</t>
  </si>
  <si>
    <t>107. Combien de personnes ont voyagé avec vous (dans le même groupe de voyage) du ${pm_from_location} à ${pm_to_location}, si c'est le cas échéant ?</t>
  </si>
  <si>
    <t>Small business</t>
  </si>
  <si>
    <t>107. Mutane nawa ne suka yi tafiya tare da ku (a cikin gungu ɗaya) daga ${pm_from_location} zuwa ${pm_to_location}, idan haka ya kasance?</t>
  </si>
  <si>
    <t>Petit commerce</t>
  </si>
  <si>
    <t>Ƙananan kasuwanci</t>
  </si>
  <si>
    <t>108. Did any of the people you travelled with participate in Mercy Corps program?</t>
  </si>
  <si>
    <t xml:space="preserve">108. </t>
  </si>
  <si>
    <t>Artisan production</t>
  </si>
  <si>
    <t>107. Physical attack</t>
  </si>
  <si>
    <t>107. Attaque physique</t>
  </si>
  <si>
    <t>Production Artisanale</t>
  </si>
  <si>
    <t>107. Harin jiki</t>
  </si>
  <si>
    <t>Aikin hannu</t>
  </si>
  <si>
    <t>pm_missed_skip_meals</t>
  </si>
  <si>
    <t>29. Au cours d'une semaine normale, avez-vous réduit la taille des repas ou sauté des repas ?</t>
  </si>
  <si>
    <t>29. A cikin mako guda ko kun rage yawan abincin da kuka saba ci ko kun tsallake abincin gaba ɗaya?</t>
  </si>
  <si>
    <t>pm_missed_skip_meals_num</t>
  </si>
  <si>
    <t>Butcher</t>
  </si>
  <si>
    <t>Boucher</t>
  </si>
  <si>
    <t>mahauci</t>
  </si>
  <si>
    <t>pm_missed_period_note</t>
  </si>
  <si>
    <t>31. Maintenant, je vais vous poser des questions sur certaines choses qui pourraient vous être arrivées à ${pm_missed_location} de ${pm_missed_period_french}.
  Pensez à tout le temps que vous avez passé à ${pm_missed_location} de ${pm_missed_period_french} lorsque vous répondez à ces questions</t>
  </si>
  <si>
    <t>31. Yanzu zan yi tambaya game da wasu abubuwa da wataƙila sun faru da ku a cikin ${pm_missed_location} lokacin ${pm_missed_period_hausa}.
  Ka tuna da duk lokacin da ka zauna a ${pm_missed_location} lokacin ${pm_missed_period_hausa} lokacin amsa waɗannan tambayoyin</t>
  </si>
  <si>
    <t>Lumberjack/woodcutter</t>
  </si>
  <si>
    <t>Bûcheron</t>
  </si>
  <si>
    <t>Mai saran itace</t>
  </si>
  <si>
    <t>pm_missed_failed_prep</t>
  </si>
  <si>
    <t>32. Pendant ${pm_missed_period_french}, avez-vous déjà prévu de migrer, mais ensuite vous avez dû annuler votre projet ?</t>
  </si>
  <si>
    <t>32. A lokacin ${pm_missed_period_hausa}, ko ka taɓa tsara zuwa biɗa amma sai ka fasa daga baya ?</t>
  </si>
  <si>
    <t>Domestic labor</t>
  </si>
  <si>
    <t>Domestique</t>
  </si>
  <si>
    <t>Aikin gida</t>
  </si>
  <si>
    <t>Marabout</t>
  </si>
  <si>
    <t>Malumci</t>
  </si>
  <si>
    <t>113. Was there an official checkpoint or building where you crossed the border from ${pm_from_location} to ${pm_to_location}?</t>
  </si>
  <si>
    <t>113. Y avait-il un point de contrôle ou un bâtiment officiel à l'endroit où vous avez traversé la frontière entre ${pm_from_location} et ${pm_to_location} ?</t>
  </si>
  <si>
    <t>113. Ko akwai wurin bincike ko wata ma'aikata na gwamnati a inda kuka ketara iyaka daga ${pm_from_location} zuwa ${pm_to_location}?</t>
  </si>
  <si>
    <t>Mechanic/driver</t>
  </si>
  <si>
    <t>Mécanicien/chauffeur</t>
  </si>
  <si>
    <t>Makaniki/direba</t>
  </si>
  <si>
    <t>114. Did you/your vehicle encounter border police or migration officials at the border from ${pm_from_location} to ${pm_to_location}?</t>
  </si>
  <si>
    <t>114. Avez-vous/votre véhicule a-t-il rencontré la police des frontières ou des agents de l'immigration à la frontière entre ${pm_from_location} et ${pm_to_location} ?</t>
  </si>
  <si>
    <t>114. Ko kun haɗu ƴan sandan iyaka ko jami'an imagreshin a kan iyaka daga ${pm_from_location} zuwa ${pm_to_location}?</t>
  </si>
  <si>
    <t>Blacksmith</t>
  </si>
  <si>
    <t>Forgeron</t>
  </si>
  <si>
    <t>115. Were you asked to show any documents when you crossed the border from ${pm_from_location} to ${pm_to_location}?</t>
  </si>
  <si>
    <t>Maƙeri</t>
  </si>
  <si>
    <t>115. Vous a-t-on demandé de montrer des documents lorsque vous avez traversé la frontière de ${pm_from_location} à ${pm_to_location} ?</t>
  </si>
  <si>
    <t>115. Ko an tambayeku don nuna wasu takardu lokacin da kuka ketare iyaka daga ${pm_from_location} zuwa ${pm_to_location}?</t>
  </si>
  <si>
    <t>Salaried employee</t>
  </si>
  <si>
    <t>Employé salarié</t>
  </si>
  <si>
    <t>116. Which documents were you asked to show when you crossed the border from ${pm_from_location} to ${pm_to_location}?</t>
  </si>
  <si>
    <t>Ma'aikaci mai albashi</t>
  </si>
  <si>
    <t>116. Quels documents vous a-t-on demandé de présenter lorsque vous avez traversé la frontière entre ${pm_from_location} et ${pm_to_location} ?</t>
  </si>
  <si>
    <t>116. Waɗanne takardu aka tambayeku nunawa lokacin da kuka ketare iyaka daga ${pm_from_location} zuwa ${pm_to_location}?</t>
  </si>
  <si>
    <t>117. Specify other</t>
  </si>
  <si>
    <t>117. Autre à préciser</t>
  </si>
  <si>
    <t>117. Wani daban a baiyana</t>
  </si>
  <si>
    <t>pm_missed_vict</t>
  </si>
  <si>
    <t>Mason</t>
  </si>
  <si>
    <t>Maçon</t>
  </si>
  <si>
    <t>Magini</t>
  </si>
  <si>
    <t>105. We would like to learn more about your experience traveling from ${pm_from_location} to ${pm_to_location}.</t>
  </si>
  <si>
    <t>105. Nous aimerions en savoir plus sur votre expérience de voyage entre ${pm_from_location} et ${pm_to_location}.</t>
  </si>
  <si>
    <t>105. Muna son mu ƙara sanin abubuwan da suka faru a kan tafiyarku daga ${pm_from_location} zuwa ${pm_to_location}.</t>
  </si>
  <si>
    <t>pm_missed_experience_note</t>
  </si>
  <si>
    <t>33. Ko ka taɓa fuskantar ɗayan waɗannan abubuwa a wannan wurin, lokacin ${pm_missed_period_hausa}?</t>
  </si>
  <si>
    <t>wani daban</t>
  </si>
  <si>
    <t>pm_missed_phys_attacked</t>
  </si>
  <si>
    <t>pm_missed_phys_threat</t>
  </si>
  <si>
    <t>money_transfer</t>
  </si>
  <si>
    <t>Hand cash directly to recipient</t>
  </si>
  <si>
    <t>pm_missed_theft</t>
  </si>
  <si>
    <t>Remettre l'argent directement au destinataire</t>
  </si>
  <si>
    <t>Bada kudi hannu da hannu kai tsaye ga mai karɓa</t>
  </si>
  <si>
    <t>36. Satar kudi ko kaya?</t>
  </si>
  <si>
    <t>Through a family member or close friend</t>
  </si>
  <si>
    <t>Par l'intermédiaire d'un membre de la famille ou d'un ami proche</t>
  </si>
  <si>
    <t>Ta hanyar dangi ko aboki na kusa</t>
  </si>
  <si>
    <t>116. Specify other:</t>
  </si>
  <si>
    <t>116. Autre à préciser:</t>
  </si>
  <si>
    <t>116. Wani daban a Bayyana:</t>
  </si>
  <si>
    <t>pm_missed_arrest</t>
  </si>
  <si>
    <t>Through someone you know</t>
  </si>
  <si>
    <t>pm_missed_illness</t>
  </si>
  <si>
    <t>Par quelqu'un que tu connais</t>
  </si>
  <si>
    <t>Ta hanyar wanda a ka sani</t>
  </si>
  <si>
    <t>Through an app on a mobile phone</t>
  </si>
  <si>
    <t>Via une application sur un téléphone mobile</t>
  </si>
  <si>
    <t>Ta hanyar salula</t>
  </si>
  <si>
    <t>112. Other, specify:</t>
  </si>
  <si>
    <t>112. Autre précisez:</t>
  </si>
  <si>
    <t>112. Sauran, bayar da cikakkun bayanai:</t>
  </si>
  <si>
    <t>Through an exchange house</t>
  </si>
  <si>
    <t>pm_missed_location_not_home</t>
  </si>
  <si>
    <t>Another location during missed followup</t>
  </si>
  <si>
    <t>Par l'intermédiaire d'un bureau de change</t>
  </si>
  <si>
    <t>Ta hanyar wani ofishin canji</t>
  </si>
  <si>
    <t>113. How many people crossed the border with you (in the same travel group) from ${pm_from_location} to ${pm_to_location}, if any?</t>
  </si>
  <si>
    <t>113. Combien de personnes ont traversé la frontière avec vous (dans le même groupe de voyage) du ${pm_from_location} à ${pm_to_location}, le cas échéant?</t>
  </si>
  <si>
    <t>113. Mutane nawa ne suka ketare iyaka da ku (a cikin rukuni ɗaya) daga ${pm_from_location} zuwa ${pm_to_location}, idan akwai?</t>
  </si>
  <si>
    <t>select_one purpose</t>
  </si>
  <si>
    <t>pm_missed_location_purpose</t>
  </si>
  <si>
    <t>39. Menene babban dalilin da ya sa ka zauna tsawon wani lokaci a ${pm_missed_location} lokacin ${pm_missed_period_hausa}?</t>
  </si>
  <si>
    <t>Through money transfer companies</t>
  </si>
  <si>
    <t>Compagnies de Transfert (Nita, Alizza, Amana…)</t>
  </si>
  <si>
    <t>pm_missed_share_income</t>
  </si>
  <si>
    <t xml:space="preserve">Other  </t>
  </si>
  <si>
    <t>Wani abu daban</t>
  </si>
  <si>
    <t>pm_missed_forced_note</t>
  </si>
  <si>
    <t>41. In ${pm_home_location}, did you experienced any of the following situations or been threatened with them in a workplace?</t>
  </si>
  <si>
    <t>41. À ${pm_home_location}, avez-vous vécu l'une des situations suivantes ou en avez-vous été menacé sur votre lieu de travail ?</t>
  </si>
  <si>
    <t>41. A ${pm_home_location}, ko ka fuskanci ɗaya daga cikin waɗannan abubuwa ko an yi muku barazana da su a wurin aikin ku?</t>
  </si>
  <si>
    <t>goods_transfer</t>
  </si>
  <si>
    <t>Hand directly to recipient</t>
  </si>
  <si>
    <t>Remettre directement au destinataire</t>
  </si>
  <si>
    <t>Bada tsabar kuɗi hannu da hannu ga mai karɓa</t>
  </si>
  <si>
    <t>select_one experience</t>
  </si>
  <si>
    <t>pm_missed_forced_docs</t>
  </si>
  <si>
    <t>42. An karɓe muku fasfo ko wasu takardu</t>
  </si>
  <si>
    <t>Ta hanyar dangi ko aboki na kurkusa</t>
  </si>
  <si>
    <t>pm_missed_forced_no_contact</t>
  </si>
  <si>
    <t>43. An hana ku tuntuɓar abokai ko dangi</t>
  </si>
  <si>
    <t>pm_missed_forced_no_pay</t>
  </si>
  <si>
    <t>44. An biya ku ƙasa da abin da aka yi muku alkawari ko kuma ba a biya ku ba lokacin da aka yi alkawari</t>
  </si>
  <si>
    <t>Ta hanyar wanda ka sani</t>
  </si>
  <si>
    <t>pm_missed_forced_debt</t>
  </si>
  <si>
    <t>45. An tilasta muku biyan bashi ga mai gida kafin ku bar wurin aikin</t>
  </si>
  <si>
    <t>pm_missed_forced_restrained</t>
  </si>
  <si>
    <t>46. A subi des violences ou des contraintes physiques</t>
  </si>
  <si>
    <t>46. An matsa muku ko an kallafa muku abin da ku iyawa</t>
  </si>
  <si>
    <t>pm_missed_forced_illegal</t>
  </si>
  <si>
    <t>47. An tilasta muku da aikin ayyukan da ba ku so ba</t>
  </si>
  <si>
    <t>264. Enumerator: Record any comments on the survey</t>
  </si>
  <si>
    <t>264. Enquêteur : Veuillez noter vos commentaires si vous en avez</t>
  </si>
  <si>
    <t xml:space="preserve">264. </t>
  </si>
  <si>
    <t>emergency</t>
  </si>
  <si>
    <t>132. I am now going to ask you some questions about your experience in each location during ${period}.</t>
  </si>
  <si>
    <t>132. Je vais maintenant vous poser quelques questions sur votre expérience dans chaque lieu entre ${period_french}.</t>
  </si>
  <si>
    <t>132. Yanzu zan yi muku wasu tambayoyi bisa saninku na kowane wuri yayin ${period_hausa}.</t>
  </si>
  <si>
    <t>123. Did you experience any of the following during your travel from ${pm_from_location} to ${pm_to_location}?</t>
  </si>
  <si>
    <t>123. Avez-vous vécu l'une des situations suivantes lors de votre voyage de ${pm_from_location} à ${pm_to_location} ?</t>
  </si>
  <si>
    <t>123. Ko kun fuskanci ɗayan waɗannan abubuwan yayin tafiyarku daga ${pm_from_location} zuwa ${pm_to_location}?</t>
  </si>
  <si>
    <t>124. Physical attack</t>
  </si>
  <si>
    <t>124. Attaque physique</t>
  </si>
  <si>
    <t>124. Harin jiki</t>
  </si>
  <si>
    <t>select_multiple changes</t>
  </si>
  <si>
    <t>pm_missed_other_changes</t>
  </si>
  <si>
    <t>48. I've asked you a lot of questions about your life in the ${pm_missed_period} in order to better understand your experiences. Is there anything else that has happened during this time that has changed your life in an important way?
 Enumerator: do not read options, code based on response</t>
  </si>
  <si>
    <t>Serious illness or injury to self</t>
  </si>
  <si>
    <t>48. Na yi muku tambayoyi da dama game da rayuwar ku ${pm_missed_period_hausa} don ƙara gane yadda ku ka kware da tafiyar da raywar ku . Ko akwai wani abu da ya faru da ku kwanan nan wanda ya kawo muhimmin canji ga rayuwarku?</t>
  </si>
  <si>
    <t>Maladie grave ou blessure personnelle</t>
  </si>
  <si>
    <t>Mummunan cuta ko rauni</t>
  </si>
  <si>
    <t>Serious injury or illness of household member</t>
  </si>
  <si>
    <t>Blessure grave ou maladie d'un membre du ménage</t>
  </si>
  <si>
    <t>Mummunan rauni ko rashin lafiya na ɗan gida</t>
  </si>
  <si>
    <t>pm_missed_other_change_desc</t>
  </si>
  <si>
    <t>Death of household member</t>
  </si>
  <si>
    <t>Décès d'un membre du ménage</t>
  </si>
  <si>
    <t>Mutuwar ɗan gida</t>
  </si>
  <si>
    <t>speedcheck_pm_missedprev_end</t>
  </si>
  <si>
    <t>127. Detention or arrest by state security forces?</t>
  </si>
  <si>
    <t>127. Détention ou arrestation par les forces de sécurité de l'État ?</t>
  </si>
  <si>
    <t>127. Kaso ko kamu daga jami'an tsaron gwamnati?</t>
  </si>
  <si>
    <t>Loss of asset/livestock due to theft/death/accident</t>
  </si>
  <si>
    <t>Perte de biens/bétail suite à un vol/un décès/un accident</t>
  </si>
  <si>
    <t>Asarar kadara/dabbobi saboda sata/mutuwa/hatsari</t>
  </si>
  <si>
    <t>134. Did you look for paid work in ${pm_location_name}?</t>
  </si>
  <si>
    <t>134. Avez-vous cherché un travail rémunéré à ${pm_location_name} ?</t>
  </si>
  <si>
    <t>134. Ko kun nemo aikin biya a ${pm_location_name}?</t>
  </si>
  <si>
    <t>135. Did you engage in any work in ${pm_location_name} irrespective of whether you were paid?</t>
  </si>
  <si>
    <t>135. Avez-vous effectué un travail à ${pm_location_name}, que vous ayez été payé ou non ?</t>
  </si>
  <si>
    <t>135. Ko kun yi wani aiki a ${pm_location_name} na biya ko ba na biya ba?</t>
  </si>
  <si>
    <t>Loss of job or income</t>
  </si>
  <si>
    <t>Perte d'emploi ou de revenu</t>
  </si>
  <si>
    <t>Ɓadda aiki ko kuɗin shiga</t>
  </si>
  <si>
    <t>dur_pm_missedprev</t>
  </si>
  <si>
    <t>128. Now I would like to ask you to tell me more about your specific experience with:</t>
  </si>
  <si>
    <t>128. J'aimerais maintenant vous demander de m'en dire un peu plus sur votre expérience spécifique avec :</t>
  </si>
  <si>
    <t>128. Yanzu ina so in tambaye ku ƙarin bayani game da takamaiman gogewarku na masamman game da:</t>
  </si>
  <si>
    <t>Flood</t>
  </si>
  <si>
    <t>Inondation</t>
  </si>
  <si>
    <t>Ambaliyar ruwa</t>
  </si>
  <si>
    <t>129. Physical attack</t>
  </si>
  <si>
    <t>129. Attaque physique</t>
  </si>
  <si>
    <t>129. Harin jiki</t>
  </si>
  <si>
    <t>130. Threat of physical violence/attack</t>
  </si>
  <si>
    <t>130. Menace de violence physique/agression</t>
  </si>
  <si>
    <t>130. Barazanar ​​harin jiki</t>
  </si>
  <si>
    <t>pm_period_info</t>
  </si>
  <si>
    <t>Periods</t>
  </si>
  <si>
    <t>Périodes</t>
  </si>
  <si>
    <t>Lokaci</t>
  </si>
  <si>
    <t>131. Theft of either money or property?</t>
  </si>
  <si>
    <t>131. Vol d'argent ou de biens ?</t>
  </si>
  <si>
    <t>Drought</t>
  </si>
  <si>
    <t>131. Satar kuɗi ko dukiya?</t>
  </si>
  <si>
    <t>Sécheresse</t>
  </si>
  <si>
    <t>speedcheck_pm_periodinfo_start</t>
  </si>
  <si>
    <t>Fari</t>
  </si>
  <si>
    <t>132. Detention or arrest by state security forces?</t>
  </si>
  <si>
    <t>132. Détention ou arrestation par les forces de sécurité de l'État ?</t>
  </si>
  <si>
    <t>132. Kaso ko kamu daga jami'an tsaron gwamnati?</t>
  </si>
  <si>
    <t>139. Please describe job ${pm_activity_index}.
Enumerator, code the sector of job ${pm_activity_index}</t>
  </si>
  <si>
    <t>139. Veuillez décrire le travail ${pm_activity_index}.
enquêteur, coder le secteur de l'emploi</t>
  </si>
  <si>
    <t>139. Da fatan za a bayyana aikin ${pm_activity_index}.
Ɗan bincike, sanya lamba a sashin aikin</t>
  </si>
  <si>
    <t>Pest infestation/crop or livestock disease</t>
  </si>
  <si>
    <t>140. Other, specify:</t>
  </si>
  <si>
    <t>140. Autre précisez:</t>
  </si>
  <si>
    <t>140. Sauran, bayar da cikakkun bayanai:</t>
  </si>
  <si>
    <t>Infestation des ravageurs/maladie des cultures ou du bétail</t>
  </si>
  <si>
    <t>Bannar kwari / amfanin gona ko cututtukan dabbobi</t>
  </si>
  <si>
    <t>134. What is the weekly value in CFA of the payment you received in kind for all other benefits from working in ${pm_primary_activity_name}?</t>
  </si>
  <si>
    <t>134. Quelle est la valeur hebdomadaire en CFA du paiement que vous avez reçu en nature pour tous les autres avantages liés au travail à ${pm_primary_activity_name} ?</t>
  </si>
  <si>
    <t>134. Nawa kimar biyan da kuka samu na wasu fa'idodi da kuka samu a kan aikin ${pm_primary_activity_name}da kuka yi?</t>
  </si>
  <si>
    <t>141. Did you receive payment for working in ${pm_activity_name}? </t>
  </si>
  <si>
    <t>141. Avez-vous reçu un paiement pour le travail effectué à ${pm_activity_name} ?</t>
  </si>
  <si>
    <t>141. An biya ku don aikin da kuka yi a ${pm_activity_name}?</t>
  </si>
  <si>
    <t>142. What is the main reason you were not paid for your work in ${pm_activity_name}?</t>
  </si>
  <si>
    <t>142. Quelle est la principale raison pour laquelle vous n'avez pas été payé pour votre travail à ${pm_activity_name} ?</t>
  </si>
  <si>
    <t>Divorce or abandonment by husband</t>
  </si>
  <si>
    <t>142. Menene babban dalilin da ya sa ba a biya ku kuɗin aikinku ba a ${pm_activity_name}?</t>
  </si>
  <si>
    <t>Divorce ou abandon par le mari</t>
  </si>
  <si>
    <t>Saki ko miji ya tsere ya bar mata</t>
  </si>
  <si>
    <t>143. Specify other:</t>
  </si>
  <si>
    <t>143. Autre à Préciser :</t>
  </si>
  <si>
    <t>143. Wani daban a bayyana:</t>
  </si>
  <si>
    <t>pm_period_start</t>
  </si>
  <si>
    <t>Period location</t>
  </si>
  <si>
    <t>133. I am now going to ask you some questions about your experience in each location during ${period}.</t>
  </si>
  <si>
    <t>133. Je vais maintenant vous poser quelques questions sur votre expérience dans chaque lieu entre ${period_french}.</t>
  </si>
  <si>
    <t>133. Yanzu zan yi muku wasu tambayoyi bisa saninku na kowane wuri yayin ${period_hausa}.</t>
  </si>
  <si>
    <t>pm_recall_time_period</t>
  </si>
  <si>
    <t>Cut-off or decrease of remittances to household</t>
  </si>
  <si>
    <t>50. Muna son mu yi muku wasu tambayoyi bisa rayuwarku da ayyukanku a cikin lokacin ${period_hausa}. Ku tuna da lokacin ${period_hausa} in zaku bada amsar tambayoyin nan masu zuwa.</t>
  </si>
  <si>
    <t>Manque ou insuffisance des envois de fonds au ménage</t>
  </si>
  <si>
    <t>Rashi ko rage kuɗaɗen da ake turawa gida</t>
  </si>
  <si>
    <t>135. Did you look for paid work in ${pm_location_name}?</t>
  </si>
  <si>
    <t>135. Avez-vous cherché un travail rémunéré à ${pm_location_name} ?</t>
  </si>
  <si>
    <t>135. Ko kun nemo aikin biya a ${pm_location_name}?</t>
  </si>
  <si>
    <t>Unexpected increase in price of food/other essential commodity</t>
  </si>
  <si>
    <t>136. Did you engage in any work in ${pm_location_name} irrespective of whether you were paid?</t>
  </si>
  <si>
    <t>Augmentation inattendue du prix des aliments/autres produits essentiels</t>
  </si>
  <si>
    <t>136. Avez-vous effectué un travail à ${pm_location_name}, que vous ayez été payé ou non ?</t>
  </si>
  <si>
    <t>136. Ko kun yi wani aiki a ${pm_location_name} na biya ko ba na biya ba?</t>
  </si>
  <si>
    <t>Hawan ba zata na farashin abinci/sauran kayan da ake buƙata</t>
  </si>
  <si>
    <t>speedcheck_pm_fam_rel_start</t>
  </si>
  <si>
    <t>137. What is the main reason you did not work in ${pm_location_name}?</t>
  </si>
  <si>
    <t>137. Quelle est la principale raison pour laquelle vous n'avez pas travaillé à ${pm_location_name} ?</t>
  </si>
  <si>
    <t>137. Menene babban dalilin da yasa baku yi aiki a ${pm_location_name} ba?</t>
  </si>
  <si>
    <t>hhmembers</t>
  </si>
  <si>
    <t>138. Specify other:</t>
  </si>
  <si>
    <t>138. Autre à préciser:</t>
  </si>
  <si>
    <t>138. Wani daban a Bayyana:</t>
  </si>
  <si>
    <t>pm_roster</t>
  </si>
  <si>
    <t>Roster</t>
  </si>
  <si>
    <t>Unexpected decrease in price of commodity/product you sell</t>
  </si>
  <si>
    <t>Baisse inattendue du prix de la marchandise/du produit que vous vendez</t>
  </si>
  <si>
    <t>Faɗuwar ba zata na farashin kayayyaki/abubuwan da kuke saidawa</t>
  </si>
  <si>
    <t>139. How many jobs did you work in ${pm_location_name}, whether or not you received pay?</t>
  </si>
  <si>
    <t>139. Combien d'emplois avez-vous occupés sur ${pm_location_name}, que vous ayez été rémunéré ou non ?</t>
  </si>
  <si>
    <t>139. Ayyuka nawa kuka yi a wurin, ko na biya ko wanda ba na biya ba?</t>
  </si>
  <si>
    <t>146. For ${pm_primary_activity_name} were you paid in cash or in kind?</t>
  </si>
  <si>
    <t>146. Pour ${pm_primary_activity_name} avez-vous été payé en espèces ou en nature ?</t>
  </si>
  <si>
    <t>146. Don ${pm_primary_activity_name} an biya ku a tsabar kuɗi ko a wani kaya?</t>
  </si>
  <si>
    <t>147. Approximately how much did you earn each week from ${pm_primary_activity_name} in ${pm_location_name} in cash (in CFA)?</t>
  </si>
  <si>
    <t>147. Environ combien avez-vous gagné chaque semaine grâce à ${pm_primary_activity_name} à ${pm_location_name} (en CFA)?</t>
  </si>
  <si>
    <t>147. Kimanin nawa kuke samu kowane sati don ${pm_primary_activity_name} a ${pm_location_name} (in CFA)?</t>
  </si>
  <si>
    <t>148. Approximately what was the value of the in-kind payments for ${pm_primary_activity_name} in ${pm_location_name} (in CFA)?</t>
  </si>
  <si>
    <t>148. Quelle était la valeur approximative des paiements en nature pour le ${pm_primary_activity_name} à ${pm_location_name} (en CFA) ?</t>
  </si>
  <si>
    <t>148. Menene kiyasin farashin kayan da aka biya ku ${pm_primary_activity_name} a ${pm_location_name} (a CFA)?</t>
  </si>
  <si>
    <t>pm_roster_index</t>
  </si>
  <si>
    <t>140. Please describe job ${pm_activity_index}.
Enumerator, code the sector of job ${pm_activity_index}</t>
  </si>
  <si>
    <t>140. Veuillez décrire le travail ${pm_activity_index}.
enquêteur, coder le secteur de l'emploi</t>
  </si>
  <si>
    <t>140. Da fatan za a bayyana aikin ${pm_activity_index}.
Ɗan bincike, sanya lamba a sashin aikin</t>
  </si>
  <si>
    <t>pm_roster_name</t>
  </si>
  <si>
    <t>Member name from case management</t>
  </si>
  <si>
    <t>141. Other, specify:</t>
  </si>
  <si>
    <t>141. Autre précisez:</t>
  </si>
  <si>
    <t>141. Sauran, bayar da cikakkun bayanai:</t>
  </si>
  <si>
    <t>151. Specify other</t>
  </si>
  <si>
    <t>151. Autre à préciser</t>
  </si>
  <si>
    <t>151. Wani daban a bayyana</t>
  </si>
  <si>
    <t>pm_roster_age</t>
  </si>
  <si>
    <t>Member age from case management</t>
  </si>
  <si>
    <t>cons_month</t>
  </si>
  <si>
    <t>Education (children, excluding school fees)</t>
  </si>
  <si>
    <t>Education (enfants, hors frais de scolarité)</t>
  </si>
  <si>
    <t>Tarbiya (yara, ban da kuɗin makaranta)</t>
  </si>
  <si>
    <t>142. Did you receive payment for working in ${pm_activity_name}? </t>
  </si>
  <si>
    <t>142. Avez-vous reçu un paiement pour le travail effectué à ${pm_activity_name} ?</t>
  </si>
  <si>
    <t>142. An biya ku don aikin da kuka yi a ${pm_activity_name}?</t>
  </si>
  <si>
    <t>pm_roster_sex</t>
  </si>
  <si>
    <t>Member sex from case management</t>
  </si>
  <si>
    <t>143. What is the main reason you were not paid for your work in ${pm_activity_name}?</t>
  </si>
  <si>
    <t>143. Quelle est la principale raison pour laquelle vous n'avez pas été payé pour votre travail à ${pm_activity_name} ?</t>
  </si>
  <si>
    <t>143. Menene babban dalilin da ya sa ba a biya ku kuɗin aikinku ba a ${pm_activity_name}?</t>
  </si>
  <si>
    <t>Education (adults, including vocational training)</t>
  </si>
  <si>
    <t>Éducation (adultes, y compris la formation professionnelle)</t>
  </si>
  <si>
    <t>Ilimi (manya, gami da koyar da sana'a)</t>
  </si>
  <si>
    <t>144. Specify other:</t>
  </si>
  <si>
    <t>144. Autre à Préciser :</t>
  </si>
  <si>
    <t>144. Wani daban a bayyana:</t>
  </si>
  <si>
    <t>155. What is the weekly value in CFA of the payment you received in kind for all other benefits from working in ${pm_primary_activity_name}?</t>
  </si>
  <si>
    <t>155. Quelle est la valeur hebdomadaire en CFA du paiement que vous avez reçu en nature pour tous les autres avantages liés au travail à ${pm_primary_activity_name} ?</t>
  </si>
  <si>
    <t>155. Nawa kimar biyan da kuka samu na wasu fa'idodi da kuka samu a kan aikin ${pm_primary_activity_name}da kuka yi?</t>
  </si>
  <si>
    <t>Healthcare</t>
  </si>
  <si>
    <t>156. For ${pm_primary_activity_name} in ${pm_location_name}, did your employer deduct any expenses from your earnings before paying you? Some examples of deductions are the cost of supplies or food that the employer provides to you.</t>
  </si>
  <si>
    <t>156. Pour ${pm_primary_activity_name} à ${pm_location_name}, votre employeur a-t-il déduit des dépenses de vos revenus avant de vous payer ? Quelques exemples de déductions sont le coût des fournitures ou de la nourriture que l'employeur vous fournit.</t>
  </si>
  <si>
    <t>156. Don ${pm_primary_activity_name} a cikin ${pm_location_name}, ko mai gidanku ya cire wani sashen kuɗin daga abin da kuka samu kafin ya biya ku? Kamar kuɗin wasu kayayyaki ko abincin da mai gida ke baku.</t>
  </si>
  <si>
    <t>157. What is the weekly value in CFA that your employer deducted from your earnings?</t>
  </si>
  <si>
    <t>157. Quelle est la valeur hebdomadaire en CFA que votre employeur a déduit de vos revenus ?</t>
  </si>
  <si>
    <t>157. Nawa ne kimar kuɗin da mai gidanku ya cira a cikin kuɗinku da kuka samu?</t>
  </si>
  <si>
    <t>148. Thinking about the ${pm_location_weeks} weeks you spent in location during ${period}, how much of the money you earned do you estimate you shared with your household in ${pm_home_location}?</t>
  </si>
  <si>
    <t>148. En pensant aux ${pm_location_weeks} semaines que vous avez passées dans la localité au cours de ${period_french}, quelle part de l'argent que vous avez gagné estimez-vous avoir envoyé à votre foyer en ${pm_home_location}?</t>
  </si>
  <si>
    <t>Soins de santé</t>
  </si>
  <si>
    <t>148. Ku Tuna da makonnin ${pm_location_weeks} da kuka zauna a wurin ${period_hausa}, nawa ne daga cikin kudaden da kuka samu kuka kiyasin aika wa gidanku a ${pm_home_location}?</t>
  </si>
  <si>
    <t>Kiwon lafiya</t>
  </si>
  <si>
    <t>149. What method did you use to share money?</t>
  </si>
  <si>
    <t>149. Quel canal avez-vous utilisée pour envoyer l'argent ?</t>
  </si>
  <si>
    <t>149. Wace hanya kuka yi amfani da ita don tura kuɗin?</t>
  </si>
  <si>
    <t>150. In ${pm_location_name} during ${period} did you receive money from your household in ${pm_home_location}?</t>
  </si>
  <si>
    <t>150. À ${pm_location_name} pendant ${period_french} avez-vous reçu de l'argent de votre menage à ${pm_home_location} ?</t>
  </si>
  <si>
    <t>150. A ${pm_location_name} lokacin ${period_hausa} ko kun samu kuɗi daga gidanku a ${pm_home_location}?</t>
  </si>
  <si>
    <t>Ceremonies</t>
  </si>
  <si>
    <t>Cérémonies</t>
  </si>
  <si>
    <t>bukukuwa</t>
  </si>
  <si>
    <t>151. Thinking about the ${pm_location_weeks} weeks you spent in location during period name, how much money do you estimate you recieved from your household in ${pm_home_location}?</t>
  </si>
  <si>
    <t>151. En pensant aux ${pm_location_weeks} semaines que vous avez passées dans la localité au cours de la période (nom), combien d'argent estimez-vous avoir reçu de votre menage dans ${pm_home_location} ?</t>
  </si>
  <si>
    <t>151. KuTuna da makonni ${pm_location_weeks} da kuka zauna a wurin lokacin (suna), nawa kuke lissahin kun samu daga gidan ku a ${pm_home_location}?</t>
  </si>
  <si>
    <t>Clothes + shoes</t>
  </si>
  <si>
    <t>Vêtements + chaussures</t>
  </si>
  <si>
    <t>Tufafi + takalma</t>
  </si>
  <si>
    <t>152. What method was used to share this money?</t>
  </si>
  <si>
    <t>152. Quelle canal a été utilisée pour envoyer cet argent?</t>
  </si>
  <si>
    <t>152. Wace hanya kuka yi amfani da ita don aika wannan kuɗin?</t>
  </si>
  <si>
    <t>pm_child_names</t>
  </si>
  <si>
    <t>145. Which of these activities was your primary source of income?</t>
  </si>
  <si>
    <t>145. Laquelle de ces activités était votre principale source de revenus ?</t>
  </si>
  <si>
    <t>145. Wanne ne daga cikin waɗannan ayyukan ne tushen samun kuɗin ku?</t>
  </si>
  <si>
    <t>158. Taking all your responses above into account, would you say that it is accurate that in location your total income during period from ${pm_primary_activity_name} was ${pm_calc_total_income} CFA?</t>
  </si>
  <si>
    <t>158. En tenant compte de toutes vos réponses ci-dessus, diriez-vous qu'il est exact qu'en ce lieu votre revenu total pendant au cours de trois dernieres mois de ${pm_primary_activity_name} était de ${pm_calc_total_income} CFA ?</t>
  </si>
  <si>
    <t>158. Idan muka yi la'aƙari da duk amsoshin da kuka bada a sama, za ku ce daidai ne cewa a wannan wurin jimillar kuɗin da kuka samu daga ${pm_primary_activity_name} shine ${pm_calc_total_income} CFA?</t>
  </si>
  <si>
    <t>159. Now I would like you to think about any costs associated with ${pm_primary_activity_name}</t>
  </si>
  <si>
    <t>159. Maintenant, je voudrais que vous réfléchissiez aux coûts associés à ${pm_primary_activity_name}</t>
  </si>
  <si>
    <t>159. Yanzu ina so ku yi tunani game da kowane farashi mai alaƙa da ${pm_primary_activity_name}</t>
  </si>
  <si>
    <t>pm_child_ages</t>
  </si>
  <si>
    <t>146. In ${pm_location_name}, what is your best estimate of the total number of weeks you worked in ${pm_primary_activity_name} for pay in ${period}?</t>
  </si>
  <si>
    <t>146. À ${pm_location_name}, quelle est votre meilleure estimation du nombre total de semaines pendant lesquelles vous avez travaillé à ${pm_primary_activity_name} contre un salaire entre ${period_french} ?</t>
  </si>
  <si>
    <t>146. A ${pm_location_name}, a ganinku nawa ne jimillar makonnin da kuka yi aiki a ${pm_primary_activity_name} don samun biya a ${period_hausa}?</t>
  </si>
  <si>
    <t>pm_child_sex</t>
  </si>
  <si>
    <t>147. For ${pm_primary_activity_name} were you paid in cash or in kind?</t>
  </si>
  <si>
    <t>147. Pour ${pm_primary_activity_name} avez-vous été payé en espèces ou en nature ?</t>
  </si>
  <si>
    <t>147. Don ${pm_primary_activity_name} an biya ku a tsabar kuɗi ko a wani kaya?</t>
  </si>
  <si>
    <t>pm_potential_child_num</t>
  </si>
  <si>
    <t>cons_week</t>
  </si>
  <si>
    <t>Food (for household members)</t>
  </si>
  <si>
    <t>148. Approximately how much did you earn each week from ${pm_primary_activity_name} in ${pm_location_name} in cash (in CFA)?</t>
  </si>
  <si>
    <t>148. Environ combien avez-vous gagné chaque semaine grâce à ${pm_primary_activity_name} à ${pm_location_name} (en CFA)?</t>
  </si>
  <si>
    <t>148. Kimanin nawa kuke samu kowane sati don ${pm_primary_activity_name} a ${pm_location_name} (in CFA)?</t>
  </si>
  <si>
    <t>Nourriture (pour les membres du ménage)</t>
  </si>
  <si>
    <t>pm_spouse_names</t>
  </si>
  <si>
    <t>Abinci (ga mutanen gida)</t>
  </si>
  <si>
    <t>149. Approximately what was the value of the in-kind payments for ${pm_primary_activity_name} in ${pm_location_name} (in CFA)?</t>
  </si>
  <si>
    <t>149. Quelle était la valeur approximative des paiements en nature pour le ${pm_primary_activity_name} à ${pm_location_name} (en CFA) ?</t>
  </si>
  <si>
    <t>149. Menene kiyasin farashin kayan da aka biya ku ${pm_primary_activity_name} a ${pm_location_name} (a CFA)?</t>
  </si>
  <si>
    <t>pm_spouse_ages</t>
  </si>
  <si>
    <t>150. For ${pm_primary_activity_name} in ${pm_location_name}, were you employed self-employed, employed by another individual, employed by private business, or employed by public sector?</t>
  </si>
  <si>
    <t>Mobile phone credit + charging</t>
  </si>
  <si>
    <t>150. Pour ${pm_primary_activity_name} à ${pm_location_name}, étiez-vous employé à votre compte, employé par une autre personne, employé par une entreprise privée ou employé par le secteur public ?</t>
  </si>
  <si>
    <t>Crédit mobile + recharge</t>
  </si>
  <si>
    <t>150. Domin ${pm_primary_activity_name} da kuka yi a ${pm_location_name}, ko kuna aikin kanku ne, ko wani mutum kuke yi wa aiki, ko wani kampani mai zaman kanshi kuke yi wa aikin, ko kuma aikin gwanati ne?</t>
  </si>
  <si>
    <t>Kuɗin /kiredin kira a salula + caji</t>
  </si>
  <si>
    <t>pm_spouse_sex</t>
  </si>
  <si>
    <t>151. For ${pm_primary_activity_name} in ${pm_location_name}, did you receive any other benefits, such as housing or food allowance as compensation for your labor? Enumerator: code all that apply</t>
  </si>
  <si>
    <t>151. Pour ${pm_primary_activity_name} à ${pm_location_name}, avez-vous reçu d'autres avantages, tels qu'une allocation de logement ou de nourriture en compensation de votre travail ? enquêteur : codez tout ce qui s'applique</t>
  </si>
  <si>
    <t>151. Don ${pm_primary_activity_name} a ${pm_location_name}, kun samu wasu fa'idodi, kamar alawus na gidaje ko abinci a matsayin diyya na aikinku? Ɗan bincike: sanya lambar da ta yi daidai</t>
  </si>
  <si>
    <t>pm_potential_spouse_num</t>
  </si>
  <si>
    <t>152. Specify other</t>
  </si>
  <si>
    <t>152. Autre à préciser</t>
  </si>
  <si>
    <t>152. Wani daban a bayyana</t>
  </si>
  <si>
    <t>pm_child_name1</t>
  </si>
  <si>
    <t>Fuel for home/ cooking (i.e. lighting, electricity, firewood)</t>
  </si>
  <si>
    <t>Combustible pour la maison/la cuisine (c.-à-d. éclairage, électricité, bois de chauffage)</t>
  </si>
  <si>
    <t>Makamashi na gidan don / dafa abinci ( haske gida , wutar lantarki, itacen jin wuta)</t>
  </si>
  <si>
    <t>153. What is the weekly value in CFA of the payment you received in kind for housing from working in ${pm_primary_activity_name}?</t>
  </si>
  <si>
    <t>153. Quelle est la valeur hebdomadaire en CFA du paiement en nature que vous avez reçu pour le logement en travaillant à ${pm_primary_activity_name} ?</t>
  </si>
  <si>
    <t>153. Nawa kimar biyan da kuka samu a kowane sati na gidan haya don aikin ${pm_primary_activity_name} da kuka yi?</t>
  </si>
  <si>
    <t>pm_child_name2</t>
  </si>
  <si>
    <t>154. What is the weekly value in CFA of the payment you received in kind for food from working in ${pm_primary_activity_name}?</t>
  </si>
  <si>
    <t>154. Quelle est la valeur hebdomadaire en CFA du paiement en nature que vous avez reçu pour la nourriture en travaillant à ${pm_primary_activity_name} ?</t>
  </si>
  <si>
    <t>154. Nawa kimar biyan da kuka samu na abinci a kowane sati don aikin ${pm_primary_activity_name} da kuka yi?</t>
  </si>
  <si>
    <t>pm_child_name3</t>
  </si>
  <si>
    <t>Fuel for vehicles</t>
  </si>
  <si>
    <t>Carburant pour véhicules</t>
  </si>
  <si>
    <t>155. What is the weekly value in CFA of the payment you received in kind for phone credit from working in ${pm_primary_activity_name}?</t>
  </si>
  <si>
    <t>Man fetur/isansi na mota</t>
  </si>
  <si>
    <t>155. Quelle est la valeur hebdomadaire en CFA du paiement que vous avez reçu en nature pour le crédit téléphonique en travaillant à ${pm_primary_activity_name} ?</t>
  </si>
  <si>
    <t>155. Nawa ne kimar biyan da kuka samu na kiredi a kowane sati don aikin ${pm_primary_activity_name} da kuka yi?</t>
  </si>
  <si>
    <t>pm_child_name4</t>
  </si>
  <si>
    <t>156. What is the weekly value in CFA of the payment you received in kind for all other benefits from working in ${pm_primary_activity_name}?</t>
  </si>
  <si>
    <t>156. Quelle est la valeur hebdomadaire en CFA du paiement que vous avez reçu en nature pour tous les autres avantages liés au travail à ${pm_primary_activity_name} ?</t>
  </si>
  <si>
    <t>156. Nawa kimar biyan da kuka samu na wasu fa'idodi da kuka samu a kan aikin ${pm_primary_activity_name}da kuka yi?</t>
  </si>
  <si>
    <t>pm_child_name5</t>
  </si>
  <si>
    <t>Transportation fare (taxi, moto taxi)</t>
  </si>
  <si>
    <t>Frais de transport (taxi, moto taxi)</t>
  </si>
  <si>
    <t>Kuɗin (taxi, kabu- kabu )</t>
  </si>
  <si>
    <t>157. For ${pm_primary_activity_name} in ${pm_location_name}, did your employer deduct any expenses from your earnings before paying you? Some examples of deductions are the cost of supplies or food that the employer provides to you.</t>
  </si>
  <si>
    <t>157. Pour ${pm_primary_activity_name} à ${pm_location_name}, votre employeur a-t-il déduit des dépenses de vos revenus avant de vous payer ? Quelques exemples de déductions sont le coût des fournitures ou de la nourriture que l'employeur vous fournit.</t>
  </si>
  <si>
    <t>157. Don ${pm_primary_activity_name} a cikin ${pm_location_name}, ko mai gidanku ya cire wani sashen kuɗin daga abin da kuka samu kafin ya biya ku? Kamar kuɗin wasu kayayyaki ko abincin da mai gida ke baku.</t>
  </si>
  <si>
    <t>pm_child_name6</t>
  </si>
  <si>
    <t>158. What is the weekly value in CFA that your employer deducted from your earnings?</t>
  </si>
  <si>
    <t>158. Quelle est la valeur hebdomadaire en CFA que votre employeur a déduit de vos revenus ?</t>
  </si>
  <si>
    <t>158. Nawa ne kimar kuɗin da mai gidanku ya cira a cikin kuɗinku da kuka samu?</t>
  </si>
  <si>
    <t>168. In ${pm_location_name} during ${period}, did you share money with your household in ${pm_home_location}?</t>
  </si>
  <si>
    <t>168. À ${pm_location_name} pendant ${period_french} avez-vous envoyé de l'argent a votre ménage à ${pm_home_location} ?</t>
  </si>
  <si>
    <t>Water (to drink)</t>
  </si>
  <si>
    <t>168. A cikin ${pm_location_name} lokacin ${period_hausa} kun aika kuɗi zuwa gidanku a ${pm_home_location}?</t>
  </si>
  <si>
    <t>Eau (à boire)</t>
  </si>
  <si>
    <t>Ruwa (don sha)</t>
  </si>
  <si>
    <t>169. Thinking about the ${pm_location_weeks} weeks you spent in location during ${period}, how much of the money you earned do you estimate you shared with your household in ${pm_home_location}?</t>
  </si>
  <si>
    <t>169. En pensant aux ${pm_location_weeks} semaines que vous avez passées dans la localité au cours de ${period_french}, quelle part de l'argent que vous avez gagné estimez-vous avoir envoyé à votre foyer en ${pm_home_location}?</t>
  </si>
  <si>
    <t>169. Ku Tuna da makonnin ${pm_location_weeks} da kuka zauna a wurin ${period_hausa}, nawa ne daga cikin kudaden da kuka samu kuka kiyasin aika wa gidanku a ${pm_home_location}?</t>
  </si>
  <si>
    <t>170. What method did you use to share money?</t>
  </si>
  <si>
    <t>170. Quel canal avez-vous utilisée pour envoyer l'argent ?</t>
  </si>
  <si>
    <t>170. Wace hanya kuka yi amfani da ita don tura kuɗin?</t>
  </si>
  <si>
    <t>171. In ${pm_location_name} during ${period} did you receive money from your household in ${pm_home_location}?</t>
  </si>
  <si>
    <t>171. À ${pm_location_name} pendant ${period_french} avez-vous reçu de l'argent de votre menage à ${pm_home_location} ?</t>
  </si>
  <si>
    <t>171. A ${pm_location_name} lokacin ${period_hausa} ko kun samu kuɗi daga gidanku a ${pm_home_location}?</t>
  </si>
  <si>
    <t>172. Thinking about the ${pm_location_weeks} weeks you spent in location during period name, how much money do you estimate you recieved from your household in ${pm_home_location}?</t>
  </si>
  <si>
    <t>172. En pensant aux ${pm_location_weeks} semaines que vous avez passées dans la localité au cours de la période (nom), combien d'argent estimez-vous avoir reçu de votre menage dans ${pm_home_location} ?</t>
  </si>
  <si>
    <t>172. KuTuna da makonni ${pm_location_weeks} da kuka zauna a wurin lokacin (suna), nawa kuke lissahin kun samu daga gidan ku a ${pm_home_location}?</t>
  </si>
  <si>
    <t>173. What method was used to share this money?</t>
  </si>
  <si>
    <t>173. Quelle canal a été utilisée pour envoyer cet argent?</t>
  </si>
  <si>
    <t>173. Wace hanya kuka yi amfani da ita don aika wannan kuɗin?</t>
  </si>
  <si>
    <t>170. Detention or arrest by state security forces?</t>
  </si>
  <si>
    <t>170. Détention ou arrestation par les forces de sécurité de l'État ?</t>
  </si>
  <si>
    <t>170. Kaso ko kamu daga jami'an tsaron gwamnati?</t>
  </si>
  <si>
    <t>171. Illness or injury that disrupted your daily life?</t>
  </si>
  <si>
    <t>171. Une maladie ou une blessure qui a perturbé votre quotidien ?</t>
  </si>
  <si>
    <t>171. Rashin lafiya ko rauni wanda ya kawo cikas ga rayuwarku ta yau da kullun?</t>
  </si>
  <si>
    <t>pm_child_name7</t>
  </si>
  <si>
    <t>support</t>
  </si>
  <si>
    <t>159. Taking all your responses above into account, would you say that it is accurate that in location your total income during period from ${pm_primary_activity_name} was ${pm_calc_total_income} CFA?</t>
  </si>
  <si>
    <t>159. En tenant compte de toutes vos réponses ci-dessus, diriez-vous qu'il est exact qu'en ce lieu votre revenu total pendant au cours de trois dernieres mois de ${pm_primary_activity_name} était de ${pm_calc_total_income} CFA ?</t>
  </si>
  <si>
    <t>159. Idan muka yi la'aƙari da duk amsoshin da kuka bada a sama, za ku ce daidai ne cewa a wannan wurin jimillar kuɗin da kuka samu daga ${pm_primary_activity_name} shine ${pm_calc_total_income} CFA?</t>
  </si>
  <si>
    <t>pm_child_name8</t>
  </si>
  <si>
    <t>160. Now I would like you to think about any costs associated with ${pm_primary_activity_name}</t>
  </si>
  <si>
    <t>160. Maintenant, je voudrais que vous réfléchissiez aux coûts associés à ${pm_primary_activity_name}</t>
  </si>
  <si>
    <t>160. Yanzu ina so ku yi tunani game da kowane farashi mai alaƙa da ${pm_primary_activity_name}</t>
  </si>
  <si>
    <t>pm_child_name9</t>
  </si>
  <si>
    <t>161. How much, if any did you pay a fixer or job placement agency?</t>
  </si>
  <si>
    <t>161. Combien, si cest déjà arrivé, avez-vous payé à un réparateur ou à une agence de placement ?</t>
  </si>
  <si>
    <t>161. Nawa, idan ya taɓa faruwa, wanda kuka biya don gyara ko wata ma'aikata mai bada aiki?</t>
  </si>
  <si>
    <t>pm_child_name10</t>
  </si>
  <si>
    <t>Action Pour le Bien-Être (APBE)</t>
  </si>
  <si>
    <t>162. Did you incur a debt to be able to work in ${pm_primary_activity_name}?</t>
  </si>
  <si>
    <t>162. Avez-vous contracté une dette pour pouvoir travailler à ${pm_primary_activity_name} ?</t>
  </si>
  <si>
    <t>162. Ko kun ci bashi don samun damar yin aiki a ${pm_primary_activity_name}?</t>
  </si>
  <si>
    <t>pm_child_name11</t>
  </si>
  <si>
    <t>163. How much debt in CFA did you take to be able to engage in ${pm_primary_activity_name}?</t>
  </si>
  <si>
    <t>ADKOUL</t>
  </si>
  <si>
    <t>163. Combien avez-vous contracté de dettes en CFA pour pouvoir vous engager dans ${pm_primary_activity_name} ?</t>
  </si>
  <si>
    <t>163. Bashin nawa a CFA kuka ci don samun damar shiga ${pm_primary_activity_name}?</t>
  </si>
  <si>
    <t>pm_child_name12</t>
  </si>
  <si>
    <t>164. Now think about your total income from other jobs you worked in ${pm_location_name}. What is your best estimate of your total income from these jobs per week?</t>
  </si>
  <si>
    <t>164. Pensez maintenant à vos revenus totaux provenant d'autres emplois que vous avez occupés à ${pm_location_name}. Quelle est votre meilleure estimation de votre revenu total de ces emplois par semaine ?</t>
  </si>
  <si>
    <t>164. Yanzu ku tuna da jimillar kuɗin shiga da kuka samu daga wasu ayyukan da kuka yi a ${pm_location_name}. Misalin nawa a tunaninku jimillar kuɗin shiga daga waɗannan ayyukan a kowane mako?</t>
  </si>
  <si>
    <t>pm_child_name13</t>
  </si>
  <si>
    <t>165. For approximately how many weeks in ${pm_location_name} during ${period} did you earn ${pm_other_income}?</t>
  </si>
  <si>
    <t>165. Pendant environ combien de semaines à ${pm_location_name} pendant ${period_french} avez-vous gagné ${pm_other_income} ?</t>
  </si>
  <si>
    <t>165. Kimanin sati nawa a ${pm_location_name} a lokacin ${period_hausa} kuka sami ${pm_other_income}?</t>
  </si>
  <si>
    <t>AND</t>
  </si>
  <si>
    <t>179. Housing (rent)</t>
  </si>
  <si>
    <t>179. Logement (loyer)</t>
  </si>
  <si>
    <t>179. Gidaje (hayar)</t>
  </si>
  <si>
    <t>180. Transportation</t>
  </si>
  <si>
    <t>180. Transport</t>
  </si>
  <si>
    <t>180. Sufuri</t>
  </si>
  <si>
    <t>pm_child_name14</t>
  </si>
  <si>
    <t>ANIMAS SUTURA</t>
  </si>
  <si>
    <t>166. Would you say that it is accurate that in ${pm_location_name} your total income during ${period} from activities other than ${pm_primary_activity_name} was ${pm_calc_other_income}?</t>
  </si>
  <si>
    <t>166. Diriez-vous que c'est exact qu'à ${pm_location_name}, votre revenu total pendant ${period_french} provenant d'activités autres que ${pm_primary_activity_name} était de ${pm_calc_other_income} CFA ?</t>
  </si>
  <si>
    <t>166. Za ku iya cewa daidai ne a ${pm_location_name} jimillar kuɗin da kuka samu a lokacin ${period_hausa} daga ayyukan da ba ${pm_primary_activity_name} shine ${pm_calc_other_income} CFA?</t>
  </si>
  <si>
    <t>182. Leisure/pleasure (tea, cigarettes, substances, betting)</t>
  </si>
  <si>
    <t>182. Loisirs/plaisir (thé, cigarettes, substances, paris)</t>
  </si>
  <si>
    <t>182. Nishaɗi/shaɗi (shayi, sigari, abubuwan maye, caca)</t>
  </si>
  <si>
    <t>183. In a typical week, you would spend ${pm_total_cost}. Does that sound correct?</t>
  </si>
  <si>
    <t>183. Au cours d'une semaine type, vous dépenseriez ${pm_total_cost}. Cela vous semble-t-il correct ?</t>
  </si>
  <si>
    <t>Assainissement Total Piloté par la Communauté (ATPC)</t>
  </si>
  <si>
    <t>183. A cikin mako guda, za ku iya kashe ${pm_total_cost}. Ko hakan yayi daidai?</t>
  </si>
  <si>
    <t>184. Now I will ask about some things that may have happened to you in ${pm_location_name} during ${period}. 
Think about all the time you spent in ${pm_location_name} during ${period} when answering these questions</t>
  </si>
  <si>
    <t>184. Maintenant, je vais vous poser des questions sur certaines choses qui pourraient vous être arrivées à ${pm_location_name} de ${period_french}.
 Pensez à tout le temps que vous avez passé à ${pm_location_name} de ${period_french} lorsque vous répondez à ces questions</t>
  </si>
  <si>
    <t>184. Yanzu zan yi tambaya game da wasu abubuwa da wataƙila sun faru da ku a cikin ${pm_location_name} lokacin ${period_hausa}.
 Ku yi tunani game da duk lokacin da kuka zauna a ${pm_location_name} lokacin ${period_hausa} lokacin amsa waɗannan tambayoyin</t>
  </si>
  <si>
    <t>185. How often, if at all, were you personally discriminated against based on your identity (ethnicity, religion, nationality)?</t>
  </si>
  <si>
    <t>185. À quelle fréquence, si ça vous est déjà arrivé, avez-vous personnellement été victime de discrimination liée a votre identité (ethnie, religion, nationalité) ?</t>
  </si>
  <si>
    <t>185. Sau nawa, idan ya taɓa faruwa, aka nuna muku wariya dangance da kabilarku, ko addininku, ko ƙasarku?</t>
  </si>
  <si>
    <t>CADEV</t>
  </si>
  <si>
    <t>186. How often, if ever, have you felt unsafe walking in the neighborhood where you are staying?</t>
  </si>
  <si>
    <t>186. Combien de fois, si jamais ça vous est arrivé, vous êtes-vous senti en danger en vous promenant dans le quartier où vous séjournez ?</t>
  </si>
  <si>
    <t>186. Sau nawa, idan ya taɓa faruwa, kuka ji ku cikin haɗari, yayin da kuke yawo a cikin unguwar da kuke zaune?</t>
  </si>
  <si>
    <t>pm_child_name15</t>
  </si>
  <si>
    <t>167. What was the main reason you spent time in ${pm_location_name} during ${period}?</t>
  </si>
  <si>
    <t>167. Quelle est la principale raison pour laquelle vous avez passé du temps à ${pm_location_name} pendant ${period_french} ?</t>
  </si>
  <si>
    <t>167. Menene babban dalilin da kuka zauna wani lokaci a ${pm_location_name} lokacin ${period_hausa}?</t>
  </si>
  <si>
    <t>pm_child_name16</t>
  </si>
  <si>
    <t>168. Think about a typical week in ${pm_location_name}, where were you living?</t>
  </si>
  <si>
    <t>168. Pensez à une semaine typique à ${pm_location_name}, où viviez-vous ?</t>
  </si>
  <si>
    <t>168. Ku yi tunanin mako guda a cikin ${pm_location_name}, da inda kuke zaune?</t>
  </si>
  <si>
    <t>pm_child_name17</t>
  </si>
  <si>
    <t>169. In ${pm_location_name} during ${period}, did you share money with your household in ${pm_home_location}?</t>
  </si>
  <si>
    <t>169. À ${pm_location_name} pendant ${period_french} avez-vous envoyé de l'argent a votre ménage à ${pm_home_location} ?</t>
  </si>
  <si>
    <t>169. A cikin ${pm_location_name} lokacin ${period_hausa} kun aika kuɗi zuwa gidanku a ${pm_home_location}?</t>
  </si>
  <si>
    <t>pm_child_name18</t>
  </si>
  <si>
    <t>CŒUR CITOYEN</t>
  </si>
  <si>
    <t>170. Thinking about the ${pm_location_weeks} weeks you spent in location during ${period}, how much of the money you earned do you estimate you shared with your household in ${pm_home_location}?</t>
  </si>
  <si>
    <t>170. En pensant aux ${pm_location_weeks} semaines que vous avez passées dans la localité au cours de ${period_french}, quelle part de l'argent que vous avez gagné estimez-vous avoir envoyé à votre foyer en ${pm_home_location}?</t>
  </si>
  <si>
    <t>170. Ku Tuna da makonnin ${pm_location_weeks} da kuka zauna a wurin ${period_hausa}, nawa ne daga cikin kudaden da kuka samu kuka kiyasin aika wa gidanku a ${pm_home_location}?</t>
  </si>
  <si>
    <t>pm_child_name19</t>
  </si>
  <si>
    <t>171. What method did you use to share money?</t>
  </si>
  <si>
    <t>171. Quel canal avez-vous utilisée pour envoyer l'argent ?</t>
  </si>
  <si>
    <t>171. Wace hanya kuka yi amfani da ita don tura kuɗin?</t>
  </si>
  <si>
    <t>pm_child_name20</t>
  </si>
  <si>
    <t>172. In ${pm_location_name} during ${period} did you receive money from your household in ${pm_home_location}?</t>
  </si>
  <si>
    <t>172. À ${pm_location_name} pendant ${period_french} avez-vous reçu de l'argent de votre menage à ${pm_home_location} ?</t>
  </si>
  <si>
    <t>172. A ${pm_location_name} lokacin ${period_hausa} ko kun samu kuɗi daga gidanku a ${pm_home_location}?</t>
  </si>
  <si>
    <t>pm_child_age1</t>
  </si>
  <si>
    <t>Concern</t>
  </si>
  <si>
    <t>173. Thinking about the ${pm_location_weeks} weeks you spent in location during period name, how much money do you estimate you recieved from your household in ${pm_home_location}?</t>
  </si>
  <si>
    <t>173. En pensant aux ${pm_location_weeks} semaines que vous avez passées dans la localité au cours de la période (nom), combien d'argent estimez-vous avoir reçu de votre menage dans ${pm_home_location} ?</t>
  </si>
  <si>
    <t>173. KuTuna da makonni ${pm_location_weeks} da kuka zauna a wurin lokacin (suna), nawa kuke lissahin kun samu daga gidan ku a ${pm_home_location}?</t>
  </si>
  <si>
    <t>pm_child_age2</t>
  </si>
  <si>
    <t>174. What method was used to share this money?</t>
  </si>
  <si>
    <t>174. Quelle canal a été utilisée pour envoyer cet argent?</t>
  </si>
  <si>
    <t>174. Wace hanya kuka yi amfani da ita don aika wannan kuɗin?</t>
  </si>
  <si>
    <t>193. Now I would like to ask you to tell me more about your specific experience with:</t>
  </si>
  <si>
    <t>CRA</t>
  </si>
  <si>
    <t>193. J'aimerais maintenant vous demander de m'en dire un peu plus sur votre expérience spécifique avec :</t>
  </si>
  <si>
    <t>193. Yanzu ina so in tambaye ku ƙarin bayani game da takamaiman gogewarku na masamman game da:</t>
  </si>
  <si>
    <t>194. Physical attack</t>
  </si>
  <si>
    <t>194. Pouvez-vous m'en dire un peu plus sur ce qui s'est passé ?</t>
  </si>
  <si>
    <t>194. Za ku iya bani karin bayani a kan abin da ya faru?</t>
  </si>
  <si>
    <t>195. Threat of physical violence/attack</t>
  </si>
  <si>
    <t>195. Menace de violence physique/agression</t>
  </si>
  <si>
    <t>195. Barazanar ​​harin jiki</t>
  </si>
  <si>
    <t>196. Theft of either money or property?</t>
  </si>
  <si>
    <t>196. Pouvez-vous m'en dire un peu plus sur ce qui s'est passé ?</t>
  </si>
  <si>
    <t>196. Za ku iya bani karin bayani a kan abin da ya faru?</t>
  </si>
  <si>
    <t>FAO</t>
  </si>
  <si>
    <t>197. Detention or arrest by state security forces?</t>
  </si>
  <si>
    <t>197. Pouvez-vous m'en dire un peu plus sur ce qui s'est passé ?</t>
  </si>
  <si>
    <t>197. Ko za ka iya yi mini ƙarin bayani a kan abin da ya faru?</t>
  </si>
  <si>
    <t>pm_child_age3</t>
  </si>
  <si>
    <t>175. Now I would like to ask you about a typical week in ${pm_location_name} during ${period}</t>
  </si>
  <si>
    <t>175. Maintenant, je voudrais vous poser des questions sur une semaine typique à ${pm_location_name} pendant ${period_french}</t>
  </si>
  <si>
    <t>175. Yanzu ina so in tambaye ku game da mako guda a cikin ${pm_location_name} lokacin ${period_hausa}</t>
  </si>
  <si>
    <t>pm_child_age4</t>
  </si>
  <si>
    <t>176. In a typical week did you cut the size of meals or skipped meals?</t>
  </si>
  <si>
    <t>176. Au cours d'une semaine typique, avez-vous réduit la taille des repas ou sauté des repas ?</t>
  </si>
  <si>
    <t>176. A cikin mako guda ko kun rage yawan abincin da kuka saba ci ko kun tsallake abincin?</t>
  </si>
  <si>
    <t>Filets Sociaux</t>
  </si>
  <si>
    <t>pm_child_age5</t>
  </si>
  <si>
    <t>177. How many days?</t>
  </si>
  <si>
    <t>177. Combien de jours?</t>
  </si>
  <si>
    <t>177. Kwanaki nawa?</t>
  </si>
  <si>
    <t>pm_child_age6</t>
  </si>
  <si>
    <t>FIM</t>
  </si>
  <si>
    <t>178. Think about your expenses in a typical week in ${pm_location_name} during ${period}.
How much did you personally spend, if any, on the following types of expenses?</t>
  </si>
  <si>
    <t>178. Pensez à vos dépenses au cours d'une semaine normale dans ${pm_location_name} entre ${period_french}.
 Combien avez-vous personnellement dépensé, si c'est arrivé, pour les types de dépenses suivants ?</t>
  </si>
  <si>
    <t>178. Ku yi tunani game da abubuwan da kuka saye a cikin mako guda a wurin a ${pm_location_name} ${period_hausa}.
 Nawa kuka kashe, idan an kashe kuɗi, akan nau'ikan kashe kuɗi kamar haka?</t>
  </si>
  <si>
    <t>pm_child_age7</t>
  </si>
  <si>
    <t>179. Food (including you paid directly + money for ingredients for household)</t>
  </si>
  <si>
    <t>179. Nourriture (y compris vous avez payé directement + argent pour les ingrédients pour le ménage)</t>
  </si>
  <si>
    <t>179. Abinci (ciki har da wanda kuka biya kai tsaye da kuɗi don kayan abinci na gida)</t>
  </si>
  <si>
    <t>pm_child_age8</t>
  </si>
  <si>
    <t>180. Housing (rent)</t>
  </si>
  <si>
    <t>180. Logement (loyer)</t>
  </si>
  <si>
    <t>180. Gidaje (hayar)</t>
  </si>
  <si>
    <t>FIM (Fondation Issoufou Mahamadou)</t>
  </si>
  <si>
    <t>pm_child_age9</t>
  </si>
  <si>
    <t>181. Transportation</t>
  </si>
  <si>
    <t>181. Transport</t>
  </si>
  <si>
    <t>181. Sufuri</t>
  </si>
  <si>
    <t>pm_child_age10</t>
  </si>
  <si>
    <t>182. Cell phone</t>
  </si>
  <si>
    <t>182. Téléphone portable</t>
  </si>
  <si>
    <t>182. Wayar salula/ wayar hannu</t>
  </si>
  <si>
    <t>pm_child_age11</t>
  </si>
  <si>
    <t>183. Leisure/pleasure (tea, cigarettes, substances, betting)</t>
  </si>
  <si>
    <t>183. Loisirs/plaisir (thé, cigarettes, substances, paris)</t>
  </si>
  <si>
    <t>183. Nishaɗi/shaɗi (shayi, sigari, abubuwan maye, caca)</t>
  </si>
  <si>
    <t>GIEEN</t>
  </si>
  <si>
    <t>201. During ${period}, did you participate in any form of vocational training or education course?</t>
  </si>
  <si>
    <t>201. Au cours de la période de ${period_french}, avez-vous participé à une forme quelconque de formation professionnelle ou de cours ?</t>
  </si>
  <si>
    <t>201. A lokacin ${period_hausa}, kun shiga wani horo na kwarewa cikin wata sana'a ko wani karatu na ilimi?</t>
  </si>
  <si>
    <t>202. What type of training course(s) did you participate in (e.g. mechanic training, accounting, IT systems)?</t>
  </si>
  <si>
    <t>202. À quel(s) type(s) de formation(s) avez-vous participé (par exemple, formation mécanique, comptabilité, systèmes informatiques) ?</t>
  </si>
  <si>
    <t>202. Wane irin horo (s) kuka shiga (misali horon makanikanci, lissafin kuɗi, tsarin IT)?</t>
  </si>
  <si>
    <t>pm_child_age12</t>
  </si>
  <si>
    <t>184. In a typical week, you would spend ${pm_total_cost}. Does that sound correct?</t>
  </si>
  <si>
    <t>184. Au cours d'une semaine type, vous dépenseriez ${pm_total_cost}. Cela vous semble-t-il correct ?</t>
  </si>
  <si>
    <t>184. A cikin mako guda, za ku iya kashe ${pm_total_cost}. Ko hakan yayi daidai?</t>
  </si>
  <si>
    <t>pm_child_age13</t>
  </si>
  <si>
    <t>GIZ/ProEmploi</t>
  </si>
  <si>
    <t>185. Now I will ask about some things that may have happened to you in ${pm_location_name} during ${period}. 
Think about all the time you spent in ${pm_location_name} during ${period} when answering these questions</t>
  </si>
  <si>
    <t>185. Maintenant, je vais vous poser des questions sur certaines choses qui pourraient vous être arrivées à ${pm_location_name} de ${period_french}.
 Pensez à tout le temps que vous avez passé à ${pm_location_name} de ${period_french} lorsque vous répondez à ces questions</t>
  </si>
  <si>
    <t>185. Yanzu zan yi tambaya game da wasu abubuwa da wataƙila sun faru da ku a cikin ${pm_location_name} lokacin ${period_hausa}.
 Ku yi tunani game da duk lokacin da kuka zauna a ${pm_location_name} lokacin ${period_hausa} lokacin amsa waɗannan tambayoyin</t>
  </si>
  <si>
    <t>pm_child_age14</t>
  </si>
  <si>
    <t>186. How often, if at all, were you personally discriminated against based on your identity (ethnicity, religion, nationality)?</t>
  </si>
  <si>
    <t>186. À quelle fréquence, si ça vous est déjà arrivé, avez-vous personnellement été victime de discrimination liée a votre identité (ethnie, religion, nationalité) ?</t>
  </si>
  <si>
    <t>186. Sau nawa, idan ya taɓa faruwa, aka nuna muku wariya dangance da kabilarku, ko addininku, ko ƙasarku?</t>
  </si>
  <si>
    <t>pm_child_age15</t>
  </si>
  <si>
    <t>187. How often, if ever, have you felt unsafe walking in the neighborhood where you are staying?</t>
  </si>
  <si>
    <t>Mercy Corps</t>
  </si>
  <si>
    <t>187. Combien de fois, si jamais ça vous est arrivé, vous êtes-vous senti en danger en vous promenant dans le quartier où vous séjournez ?</t>
  </si>
  <si>
    <t>187. Sau nawa, idan ya taɓa faruwa, kuka ji ku cikin haɗari, yayin da kuke yawo a cikin unguwar da kuke zaune?</t>
  </si>
  <si>
    <t>206. In ${pm_failed_country}, what was the name of the region that you planned to move to?</t>
  </si>
  <si>
    <t xml:space="preserve">206. </t>
  </si>
  <si>
    <t>pm_child_age16</t>
  </si>
  <si>
    <t>188. Have you experienced any of the following in ${pm_location_name} during ${period}?</t>
  </si>
  <si>
    <t>NAZARI</t>
  </si>
  <si>
    <t>188. Avez-vous vécu l'une des situations suivantes à cet endroit entre ${period_french} ?</t>
  </si>
  <si>
    <t>188. Ko kun taɓa fuskantar ɗayan waɗannan abubuwan a wannan wurin, lokacin ${period_hausa}?</t>
  </si>
  <si>
    <t>pm_child_age17</t>
  </si>
  <si>
    <t>189. Physical attack</t>
  </si>
  <si>
    <t>189. Attaque physique</t>
  </si>
  <si>
    <t>189. harin jiki</t>
  </si>
  <si>
    <t>pm_child_age18</t>
  </si>
  <si>
    <t>Organisation International pour la Migration (OIM)</t>
  </si>
  <si>
    <t>190. Threat of physical violence/attack</t>
  </si>
  <si>
    <t>190. Menace de violence physique/agression</t>
  </si>
  <si>
    <t>190. Barazanar ​​harin jiki</t>
  </si>
  <si>
    <t>pm_child_age19</t>
  </si>
  <si>
    <t>191. Theft of either money or property?</t>
  </si>
  <si>
    <t>191. Vol d'argent ou de biens ?</t>
  </si>
  <si>
    <t>191. Satar kudi ko dukiya?</t>
  </si>
  <si>
    <t>pm_child_age20</t>
  </si>
  <si>
    <t>PARIS</t>
  </si>
  <si>
    <t>192. Detention or arrest by state security forces?</t>
  </si>
  <si>
    <t>192. Détention ou arrestation par les forces de sécurité de l'État ?</t>
  </si>
  <si>
    <t>192. Kaso ko kamu daga jami'an tsaron gwamnati?</t>
  </si>
  <si>
    <t>pm_child_sex1</t>
  </si>
  <si>
    <t>193. Illness or injury that disrupted your daily life?</t>
  </si>
  <si>
    <t>193. Une maladie ou une blessure qui a perturbé votre quotidien ?</t>
  </si>
  <si>
    <t>193. Rashin lafiya ko rauni wanda ya kawo cikas ga rayuwarku ta yau da kullun?</t>
  </si>
  <si>
    <t>PASAN</t>
  </si>
  <si>
    <t>211. Now I will ask you about plans you may have for your future</t>
  </si>
  <si>
    <t>211. Maintenant, je vais vous poser des questions sur les plans que vous pourriez avoir pour votre avenir</t>
  </si>
  <si>
    <t>211. Yanzu zan tambaye ku game da tsare-tsaren da za ku iya yi ga makomarku</t>
  </si>
  <si>
    <t>212. Counting from today how long do you plan to spend in ${pm_current_location} (in months)?</t>
  </si>
  <si>
    <t>212. Compter à partir d'aujourd'hui Combien de temps prévoyez-vous de passer dans ${pm_current_location} (en mois)?</t>
  </si>
  <si>
    <t>212. Lissafa daga yau, Tsawon wane lokaci kuke shirin zama a ${pm_current_location} (a cikin watanni)?</t>
  </si>
  <si>
    <t>PASEC</t>
  </si>
  <si>
    <t>pm_child_sex2</t>
  </si>
  <si>
    <t>194. Now I would like to ask you to tell me more about your specific experience with:</t>
  </si>
  <si>
    <t>194. J'aimerais maintenant vous demander de m'en dire un peu plus sur votre expérience spécifique avec :</t>
  </si>
  <si>
    <t>194. Yanzu ina so in tambaye ku ƙarin bayani game da takamaiman gogewarku na masamman game da:</t>
  </si>
  <si>
    <t>PECAP</t>
  </si>
  <si>
    <t>pm_child_sex3</t>
  </si>
  <si>
    <t>PICAD</t>
  </si>
  <si>
    <t>195. Physical attack</t>
  </si>
  <si>
    <t>195. Pouvez-vous m'en dire un peu plus sur ce qui s'est passé ?</t>
  </si>
  <si>
    <t>195. Za ku iya bani karin bayani a kan abin da ya faru?</t>
  </si>
  <si>
    <t>pm_child_sex4</t>
  </si>
  <si>
    <t>PICCT</t>
  </si>
  <si>
    <t>196. Threat of physical violence/attack</t>
  </si>
  <si>
    <t>196. Menace de violence physique/agression</t>
  </si>
  <si>
    <t>196. Barazanar ​​harin jiki</t>
  </si>
  <si>
    <t>pm_child_sex5</t>
  </si>
  <si>
    <t>PLAN Niger</t>
  </si>
  <si>
    <t>197. Theft of either money or property?</t>
  </si>
  <si>
    <t>197. Za ku iya bani karin bayani a kan abin da ya faru?</t>
  </si>
  <si>
    <t>pm_child_sex6</t>
  </si>
  <si>
    <t>198. Detention or arrest by state security forces?</t>
  </si>
  <si>
    <t>198. Pouvez-vous m'en dire un peu plus sur ce qui s'est passé ?</t>
  </si>
  <si>
    <t>198. Ko za ka iya yi mini ƙarin bayani a kan abin da ya faru?</t>
  </si>
  <si>
    <t>pm_child_sex7</t>
  </si>
  <si>
    <t>199. What type of illness or injury did you experience?</t>
  </si>
  <si>
    <t>PRADEL</t>
  </si>
  <si>
    <t>199. Quel type de maladie ou de blessure avez-vous subi ?</t>
  </si>
  <si>
    <t>199. Wane irin ciwo ko rauni kuka fuskanta?</t>
  </si>
  <si>
    <t>pm_child_sex8</t>
  </si>
  <si>
    <t>200. What type of illness or injury did you experience?</t>
  </si>
  <si>
    <t>200. Quel type de maladie ou de blessure avez-vous subi ?</t>
  </si>
  <si>
    <t>200. Wane irin ciwo ko rauni kuka fuskanta?</t>
  </si>
  <si>
    <t>pm_child_sex9</t>
  </si>
  <si>
    <t>PRAPS</t>
  </si>
  <si>
    <t>201. In ${pm_location_name}, did you seek any treatment for any illness or injury?</t>
  </si>
  <si>
    <t>201. À ${pm_location_name}, avez-vous cherché un traitement pour une maladie ou une blessure ?</t>
  </si>
  <si>
    <t>201. A ${pm_location_name}, kun nemi wani magani don wata cuta ko rauni?</t>
  </si>
  <si>
    <t>217. What was the value of the savings you spent (in CFA)?</t>
  </si>
  <si>
    <t>217. Quelle était la valeur de l'epargne que vous avez utilisé ?</t>
  </si>
  <si>
    <t>217. Nawa kuɗin ajiyar da kuka kashe?</t>
  </si>
  <si>
    <t>PRODAF</t>
  </si>
  <si>
    <t>216. Now I'd like to ask you about the individuals you contacted in the countries you are interested in migrating to.</t>
  </si>
  <si>
    <t xml:space="preserve">216. </t>
  </si>
  <si>
    <t>219. Please tell me the extent do you agree/disagree:
If I had an emergency that required 5,000 CFA urgently (within 3 days), I would be able to find the money.</t>
  </si>
  <si>
    <t>219. Veuillez me dire dans quelle mesure êtes-vous d'accord/pas d'accord :
Si j'avais une urgence qui nécessitait 5 000 CFA en urgence (dans les 3 jours), je serais capable de trouver l'argent.</t>
  </si>
  <si>
    <t>219. Da fatan za a gaya mini matsayin yarda/rishin yarda da kowanne: 
 Idan wata buƙatar 5,000 CFA ta same ni cikin gaggawa (a cikin kwanaki 3), zan iya samun kuɗin.</t>
  </si>
  <si>
    <t>220. What type of person would you go to first for this money?</t>
  </si>
  <si>
    <t>220. Vers quel type de personne iriez-vous en premier pour cet argent ?</t>
  </si>
  <si>
    <t>Programme Alimentaire Mondial (PAM)</t>
  </si>
  <si>
    <t>220. Wane irin mutum ne za ku fara zuwa wurin shi don neman wannan kuɗin?</t>
  </si>
  <si>
    <t>221. Specify your relationship with this person</t>
  </si>
  <si>
    <t>221. Précisez votre relation avec cette personne</t>
  </si>
  <si>
    <t>221. Faɗi dangantakar ku da wannan mutumen</t>
  </si>
  <si>
    <t>217. ${pm_contact_lab}</t>
  </si>
  <si>
    <t>Programme pour la promotion de l'éductaion (PPE)</t>
  </si>
  <si>
    <t>217. ${pm_contact_lab_fr}</t>
  </si>
  <si>
    <t>217. ${pm_contact_lab_ha}</t>
  </si>
  <si>
    <t>pm_child_sex10</t>
  </si>
  <si>
    <t>202. At any of the locations mentioned above, did you experience any of the following situations or been threatened with them in a workplace?</t>
  </si>
  <si>
    <t>202. Dans l'un des endroits mentionnés ci-dessus, avez-vous vécu l'une des situations suivantes ou avez-vous été menacé sur votre lieu de travail ?</t>
  </si>
  <si>
    <t>202. A cikin wannan wuraren da aka ambata, ko kun fuskanci ɗaya daga cikin waɗannan yanayi ko kuma an yi muku barazana a wurin aiki?</t>
  </si>
  <si>
    <t>pm_child_sex11</t>
  </si>
  <si>
    <t>PROGRES</t>
  </si>
  <si>
    <t>203. Had passport or other papers taken away</t>
  </si>
  <si>
    <t>203. confisquer votre Passeport ou autres papiers</t>
  </si>
  <si>
    <t>203. Karɓar fasfo ko wasu takardu</t>
  </si>
  <si>
    <t>pm_child_sex12</t>
  </si>
  <si>
    <t>204. Been prevented from contacting friends or family</t>
  </si>
  <si>
    <t>204. Vous avez été empêché de contacter vos amis ou votre famille</t>
  </si>
  <si>
    <t>204. Hana tuntuɓar abokai ko dangi</t>
  </si>
  <si>
    <t>pm_child_sex13</t>
  </si>
  <si>
    <t>Projet LIRE</t>
  </si>
  <si>
    <t>205. Been paid less than promised or not paid when promised</t>
  </si>
  <si>
    <t>205. A été payé moins que promis ou n'a pas été payé lorsque promis</t>
  </si>
  <si>
    <t>205. Biya kasa da abin da aka yi alkawari ko kuma ba a biya ba lokacin da aka yi alkawari</t>
  </si>
  <si>
    <t>pm_child_sex14</t>
  </si>
  <si>
    <t>Projet Pôles Ruraux (PPR)</t>
  </si>
  <si>
    <t>206. Been forced to pay off a debt to my employer before I could leave</t>
  </si>
  <si>
    <t>206. A été obligé de payer une dette à mon employeur avant de pouvoir partir</t>
  </si>
  <si>
    <t>206. Tilasta biyan bashi ga mai gida kafin tafiya</t>
  </si>
  <si>
    <t>pm_child_sex15</t>
  </si>
  <si>
    <t>207. Experienced violence or physical restraint</t>
  </si>
  <si>
    <t>207. Victime de violence ou de contrainte physique</t>
  </si>
  <si>
    <t>PROMAP-ADKOUL</t>
  </si>
  <si>
    <t>207. Zalunci ko wata kallafawa na jiki</t>
  </si>
  <si>
    <t>pm_child_sex16</t>
  </si>
  <si>
    <t>208. Forced to engage in actions against my will</t>
  </si>
  <si>
    <t>208. Forcé de s'engager dans des actions contre ma volonté</t>
  </si>
  <si>
    <t>208. Tilastawa da aikata ayyukan da ba a so ba</t>
  </si>
  <si>
    <t>REVE</t>
  </si>
  <si>
    <t>225. Other, specify:</t>
  </si>
  <si>
    <t>225. Autre précisez:</t>
  </si>
  <si>
    <t>225. Sauran, bayar da cikakkun bayanai:</t>
  </si>
  <si>
    <t>226. What did you learn from your contacts that encouraged you to migrate?</t>
  </si>
  <si>
    <t xml:space="preserve">226. </t>
  </si>
  <si>
    <t>pm_child_sex17</t>
  </si>
  <si>
    <t>SNV</t>
  </si>
  <si>
    <t>209. Where did you experience or were threatened with the following situations?</t>
  </si>
  <si>
    <t>209. Où avez-vous vécu ou été menacé de faire face aux situations suivantes ?</t>
  </si>
  <si>
    <t>209. A ina kuka fuskanci ko aka yi muka barazana da waɗannan yanayi?</t>
  </si>
  <si>
    <t>pm_child_sex18</t>
  </si>
  <si>
    <t>210. Had passport or other papers taken away</t>
  </si>
  <si>
    <t>210. confisquer votre Passeport ou autres papiers</t>
  </si>
  <si>
    <t>210. Karɓar fasfo ko wasu takardu</t>
  </si>
  <si>
    <t>pm_child_sex19</t>
  </si>
  <si>
    <t>211. Been prevented from contacting friends or family</t>
  </si>
  <si>
    <t>211. Vous avez été empêché de contacter vos amis ou votre famille</t>
  </si>
  <si>
    <t>TATTALI IYALI</t>
  </si>
  <si>
    <t>211. Hana tuntuɓar abokai ko dangi</t>
  </si>
  <si>
    <t>pm_child_sex20</t>
  </si>
  <si>
    <t>212. Been paid less than promised or not paid when promised</t>
  </si>
  <si>
    <t>212. A été payé moins que promis ou n'a pas été payé lorsque promis</t>
  </si>
  <si>
    <t>212. Biya kasa da abin da aka yi alkawari ko kuma ba a biya ba lokacin da aka yi alkawari</t>
  </si>
  <si>
    <t>UNICEF</t>
  </si>
  <si>
    <t>213. Been forced to pay off a debt to my employer before I could leave</t>
  </si>
  <si>
    <t>213. A été obligé de payer une dette à mon employeur avant de pouvoir partir</t>
  </si>
  <si>
    <t>213. Tilasta biyan bashi ga mai gida kafin tafiya</t>
  </si>
  <si>
    <t>pm_spouse_name1</t>
  </si>
  <si>
    <t>214. Experienced violence or physical restraint</t>
  </si>
  <si>
    <t>214. Victime de violence ou de contrainte physique</t>
  </si>
  <si>
    <t>214. Zalunci ko wata kallafawa na jiki</t>
  </si>
  <si>
    <t>pm_spouse_name2</t>
  </si>
  <si>
    <t>Union Internationale pour la Conservation de la Nature (UICN)</t>
  </si>
  <si>
    <t>215. Forced to engage in actions against my will</t>
  </si>
  <si>
    <t>215. Forcé de s'engager dans des actions contre ma volonté</t>
  </si>
  <si>
    <t>215. Tilastawa da aikata ayyukan da ba a so ba</t>
  </si>
  <si>
    <t>237. Anger</t>
  </si>
  <si>
    <t>237. Colère</t>
  </si>
  <si>
    <t>237. Fushi</t>
  </si>
  <si>
    <t>230. If you migrate in ${pm_mig_length_lab}, what is your intended destination? 
Enumerator: Probe if in Niger or another country</t>
  </si>
  <si>
    <t>230. « Si vous migrez ${pm_mig_length_lab_fr}, quelle est votre destination prévue ?
Agent enquêteur : Sondez si vous êtes au Niger ou dans un autre pays »</t>
  </si>
  <si>
    <t>230. Idan zaku yi tahiya ${pm_mig_length_lab_hausa}, ina ne kuke nufin zuwa?
Mai bincike: Bincika idan a Nijar ne ko a wata ƙasa.</t>
  </si>
  <si>
    <t>WHH</t>
  </si>
  <si>
    <t>231. What is the name of the country you would move to?</t>
  </si>
  <si>
    <t>231. Quel est le nom du pays dans lequel vous migreriez ?</t>
  </si>
  <si>
    <t>231. Menene sunan ƙasar da kuke nufin zuwa?</t>
  </si>
  <si>
    <t>232. Where in Niger would you move?</t>
  </si>
  <si>
    <t>Word Vision</t>
  </si>
  <si>
    <t>232. Où migreriez-vous au Niger ?</t>
  </si>
  <si>
    <t>232. Ina za ku je a Nijar?</t>
  </si>
  <si>
    <t>pm_spouse_name3</t>
  </si>
  <si>
    <t>216. Since ${period}, was there ever a time when you planned to migrate but then had to cancel their plans?</t>
  </si>
  <si>
    <t>216. Depuis cette ${period_french}, y a-t-il déjà eu un moment où ${hoh_roster_name} avait prévu de migrer mais a ensuite dû annuler ses projets ?</t>
  </si>
  <si>
    <t>216. Tun daga wannan ${period_hausa}, akwai lokacin da ${hoh_roster_name} ya shirya zuwa biɗa amma sai ya soke shirinshi?</t>
  </si>
  <si>
    <t>pm_spouse_name4</t>
  </si>
  <si>
    <t>ZARES</t>
  </si>
  <si>
    <t>217. Where did they plan to migrate?</t>
  </si>
  <si>
    <t>217. Où envisageait-il de migrer ?</t>
  </si>
  <si>
    <t>217. Ina ya yi niyyar zuwa?</t>
  </si>
  <si>
    <t>pm_spouse_name5</t>
  </si>
  <si>
    <t>218. Specify other</t>
  </si>
  <si>
    <t>218. Autre à préciser</t>
  </si>
  <si>
    <t>218. Wani daban a Bayyana</t>
  </si>
  <si>
    <t>242. At times I think I am no good at all.</t>
  </si>
  <si>
    <t>242. Parfois, je pense que je ne suis utile à rien</t>
  </si>
  <si>
    <t>242. A wasu lokuta ina ganin ba ni da amfani.</t>
  </si>
  <si>
    <t>235. If you decide to migrate, when would you plan to leave ${pm_current_location}?</t>
  </si>
  <si>
    <t>235. Si vous décidez de migrer, quand comptez-vous quitter votre domicile ?</t>
  </si>
  <si>
    <t>235. Idan kun yanke shawarar zuwa bida, yaushe kuke ganin za ku barin gida?</t>
  </si>
  <si>
    <t>mig_countries</t>
  </si>
  <si>
    <t>236. If you decide to migrate, how long would you plan to stay at your destination (in months)?</t>
  </si>
  <si>
    <t>236. Si vous décidez de migrer, combien de temps prévoyez-vous de rester à destination (en mois) ?</t>
  </si>
  <si>
    <t>236. Idan kun yi niyyar yin tahiya, tsawon wane lokaci kuke nufin zama a inda kuka je (a cikin watanni)?</t>
  </si>
  <si>
    <t>pm_spouse_name6</t>
  </si>
  <si>
    <t>219. In ${pm_failed_country}, what was the name of the city or town that you planned to move to?</t>
  </si>
  <si>
    <t>219. Dans ${pm_failed_country}, quel était le nom de la ville ou du village dans lequel vous envisagez d'aller ?</t>
  </si>
  <si>
    <t>219. A cikin ${pm_failed_country}, menene sunan birni ko garin da ka yi niyyar zuwa?</t>
  </si>
  <si>
    <t>pm_spouse_name7</t>
  </si>
  <si>
    <t>220. Specify other</t>
  </si>
  <si>
    <t>220. Autre à préciser</t>
  </si>
  <si>
    <t>220. Wani daban a Bayyana</t>
  </si>
  <si>
    <t>pm_spouse_name8</t>
  </si>
  <si>
    <t>221. In ${pm_failed_country}, what was the name of the region that you planned to move to?</t>
  </si>
  <si>
    <t>221. Dans ${pm_failed_country}, quel était le nom de la région dans laquelle vous envisagez d'aller ?</t>
  </si>
  <si>
    <t>221. A ${pm_failed_country}, menene sunan yankin da ka yi niyyar zuwa?</t>
  </si>
  <si>
    <t>pm_spouse_name9</t>
  </si>
  <si>
    <t>222. Specify other</t>
  </si>
  <si>
    <t>222. Autre à préciser</t>
  </si>
  <si>
    <t>222. Wani daban a Bayyana</t>
  </si>
  <si>
    <t>pm_spouse_name10</t>
  </si>
  <si>
    <t>223. How many times did you plan to migrate to ${pm_failed_country} and fail?</t>
  </si>
  <si>
    <t>223. Combien de fois avez-vous prévu de migrer vers ${pm_failed_country} et avez-vous échoué ?</t>
  </si>
  <si>
    <t>223. Sau nawa ka shirya zuwa biɗa zuwa ${pm_failed_country} kuma ka kasa?</t>
  </si>
  <si>
    <t>pm_spouse_name11</t>
  </si>
  <si>
    <t>224. Why did you change your plans?</t>
  </si>
  <si>
    <t>224. Pourquoi avez-vous changé vos plans ?</t>
  </si>
  <si>
    <t>224. Me ya sa ka canza shirinka?</t>
  </si>
  <si>
    <t>pm_spouse_name12</t>
  </si>
  <si>
    <t>225. Specify other reason</t>
  </si>
  <si>
    <t>225. Précisez une autre raison</t>
  </si>
  <si>
    <t>225. Baiyana wani dalili daban</t>
  </si>
  <si>
    <t>242. Been paid less than promised or not paid when promised</t>
  </si>
  <si>
    <t>242. A été payé moins que promis ou n'a pas été payé lorsque promis</t>
  </si>
  <si>
    <t>242. Biya kasa da abin da aka yi alkawari ko kuma ba a biya ba lokacin da aka yi alkawari</t>
  </si>
  <si>
    <t>243. Been forced to pay off a debt to my employer before I could leave</t>
  </si>
  <si>
    <t>243. A été obligé de payer une dette à mon employeur avant de pouvoir partir</t>
  </si>
  <si>
    <t>243. Tilasta biyan bashi ga mai gida kafin tafiya</t>
  </si>
  <si>
    <t>244. Experienced violence or physical restraint</t>
  </si>
  <si>
    <t>244. Victime de violence ou de contrainte physique</t>
  </si>
  <si>
    <t>244. Zalunci ko wata kallafawa na jiki</t>
  </si>
  <si>
    <t>245. Forced to engage in actions against my will</t>
  </si>
  <si>
    <t>245. Forcé de s'engager dans des actions contre ma volonté</t>
  </si>
  <si>
    <t>245. Tilastawa da aikata ayyukan da ba a so ba</t>
  </si>
  <si>
    <t>253. How much money would you expect to share with your household each month in CFA?</t>
  </si>
  <si>
    <t>253. Combien d'argent vous attendez-vous à ce qu'il partage avec votre ménage chaque mois en CFA ?</t>
  </si>
  <si>
    <t>253. Nawa kuke tsammanin zaku aikawa gidanku a kowane wata a sefa?</t>
  </si>
  <si>
    <t>254. How much money would you expect to put aside to save for the future each month?</t>
  </si>
  <si>
    <t>254. Combien comptez-vous mettre de côté chaque mois pour épargner pour l’avenir ?</t>
  </si>
  <si>
    <t>254. Nawa ne kuke ganin zaku ajiye don gaba a kowane wata?</t>
  </si>
  <si>
    <t>246. Where did you experience the following situations?</t>
  </si>
  <si>
    <t>246. Où avez-vous vécu les situations suivantes ?</t>
  </si>
  <si>
    <t>246. A ina kuka fuskanci waɗannan halayen?</t>
  </si>
  <si>
    <t>pm_spouse_name13</t>
  </si>
  <si>
    <t>226. Now I will ask you about plans you may have for your future</t>
  </si>
  <si>
    <t>226. Maintenant, je vais vous poser des questions sur les plans que vous pourriez avoir pour votre avenir</t>
  </si>
  <si>
    <t>226. Yanzu zan tambaye ku game da tsare-tsaren da za ku iya yi ga makomarku</t>
  </si>
  <si>
    <t>pm_spouse_name14</t>
  </si>
  <si>
    <t>227. Counting from today how long do you plan to spend in ${pm_current_location} in the next 6 months (in months)?</t>
  </si>
  <si>
    <t>227. À partir d'aujourd'hui, combien de temps prévoyez-vous de passer à ${pm_current_location} au cours des 6 prochains mois (en mois) ?</t>
  </si>
  <si>
    <t>227. Lissafa daga yau yaushe tsawon wane lokaci kuke shirin zama a ${pm_current_location} a cikin watanni 6 masu zuwa (a cikin watanni)?</t>
  </si>
  <si>
    <t>pm_spouse_name15</t>
  </si>
  <si>
    <t>228. What country or countries outside of Niger are you interested in moving to (for at least one month)?</t>
  </si>
  <si>
    <t>228. Dans quel(s) pays en dehors du Niger souhaitez-vous vous installer (pour au moins un mois) ?</t>
  </si>
  <si>
    <t>228. Wace kasar waje ce kuke sha'awar zuwa (aƙalla wata ɗaya)?</t>
  </si>
  <si>
    <t>pm_spouse_name16</t>
  </si>
  <si>
    <t>229. Enumerator: Enter other country</t>
  </si>
  <si>
    <t>229. Enquêteur : Entrez un autre pays</t>
  </si>
  <si>
    <t>229. Ɗan bincike: Shigar da wata ƙasa</t>
  </si>
  <si>
    <t>251. Experienced violence or physical restraint</t>
  </si>
  <si>
    <t>251. Victime de violence ou de contrainte physique</t>
  </si>
  <si>
    <t>251. Zalunci ko wata kallafawa na jiki</t>
  </si>
  <si>
    <t>252. Forced to engage in actions against my will</t>
  </si>
  <si>
    <t>252. Forcé de s'engager dans des actions contre ma volonté</t>
  </si>
  <si>
    <t>252. Tilastawa da aikata ayyukan da ba a so ba</t>
  </si>
  <si>
    <t>259. Have you or your immediate family gathered resources in order to prepare for migration? This could include saving money, selling assets, or taking a loan.</t>
  </si>
  <si>
    <t>259. Est-ce que vous ou votre famille proche avez rassemblé des ressources pour vous préparer à la migration ? Il peut s'agir d'économiser de l'argent, de vendre des actifs ou de contracter un prêt.</t>
  </si>
  <si>
    <t>259. Ko kai ko ƴan gidanku kun yi tanadin guzuri don shirin zuwa biɗa? Wannan na iya haɗawa da ajiyar kuɗi, sayar da kadarori, ko ɗaukar lamuni.</t>
  </si>
  <si>
    <t>260. Have you or your immediate family prepared any legal paperwork, such as marriage documents, birth certificates, or proof of property to prepare for migration?</t>
  </si>
  <si>
    <t>260. Est-ce que vous ou votre famille immédiate avez préparé des documents juridiques, tels que des documents de mariage, des certificats de naissance ou une preuve de propriété pour vous préparer à la migration ?</t>
  </si>
  <si>
    <t>260. Shin kai ko ƴan gidanku kun shirya wasu takardun doka, kamar takardar aure, takardun haihuwa, ko shaidar dukiya don shiryawa zuwa biɗa?</t>
  </si>
  <si>
    <t>253. I am going to ask you now about other things you may have done during ${period}.</t>
  </si>
  <si>
    <t>253. Je vais maintenant vous poser des questions sur d'autres choses que vous avez pu faire de ${period_french}.</t>
  </si>
  <si>
    <t>253. Yanzu zan tambaye ku game da wasu abubuwan da ka samu damar yi a lokacin ${period_hausa}.</t>
  </si>
  <si>
    <t>pm_spouse_name17</t>
  </si>
  <si>
    <t>230. Which of these countries are you most interested in moving to?</t>
  </si>
  <si>
    <t>230. Dans lequel de ces pays aimeriez-vous le plus migrer ?</t>
  </si>
  <si>
    <t>230. A cikin waɗannan ƙasashen wanne kuka fi sha'awar zuwa?</t>
  </si>
  <si>
    <t>255. What language did you train in?</t>
  </si>
  <si>
    <t>255. Dans quelle langue avez-vous été formé ?</t>
  </si>
  <si>
    <t>255. A cikin wane yare ne aka horar da ku ?</t>
  </si>
  <si>
    <t>pm_spouse_name18</t>
  </si>
  <si>
    <t>231. Now I'd like to ask you about the individuals you contacted in the countries you are interested in migrating to.</t>
  </si>
  <si>
    <t xml:space="preserve">231. </t>
  </si>
  <si>
    <t>257. How much did you have to pay for this training?</t>
  </si>
  <si>
    <t>257. Combien avez-vous dû payer pour cette formation ?</t>
  </si>
  <si>
    <t>257. Nawa kuka biya don wannan horon?</t>
  </si>
  <si>
    <t>258. During ${period}, did you participate in any form of vocational training or education course?</t>
  </si>
  <si>
    <t>258. Au cours de la période de ${period_french}, avez-vous participé à une forme quelconque de formation professionnelle ou de cours ?</t>
  </si>
  <si>
    <t>258. A lokacin ${period_hausa}, kun shiga wani horo na kwarewa cikin wata sana'a ko wani karatu na ilimi?</t>
  </si>
  <si>
    <t>259. What type of training course(s) did you participate in (e.g. mechanic training, accounting, IT systems)?</t>
  </si>
  <si>
    <t>259. À quel(s) type(s) de formation(s) avez-vous participé (par exemple, formation mécanique, comptabilité, systèmes informatiques) ?</t>
  </si>
  <si>
    <t>259. Wane irin horo (s) kuka shiga (misali horon makanikanci, lissafin kuɗi, tsarin IT)?</t>
  </si>
  <si>
    <t>pm_spouse_name19</t>
  </si>
  <si>
    <t>232. ${pm_contact_lab}</t>
  </si>
  <si>
    <t>232. ${pm_contact_lab_fr}</t>
  </si>
  <si>
    <t>232. ${pm_contact_lab_ha}</t>
  </si>
  <si>
    <t>pm_spouse_name20</t>
  </si>
  <si>
    <t>233. In which countries that you indicated you wanted to go to have you contacted people?</t>
  </si>
  <si>
    <t>233. Dans quels pays dont avez-vous indiqué vouloir vous rendre où vous avez contacté des gens ?</t>
  </si>
  <si>
    <t>233. A waɗanne ƙasashe da ka nuna kana son zuwa ka tuntuɓi mutane?</t>
  </si>
  <si>
    <t>pm_spouse_age1</t>
  </si>
  <si>
    <t>234. Please select the countries you have contacted people in:</t>
  </si>
  <si>
    <t>234. Veuillez sélectionner les pays dans lesquels vous avez contacté des personnes :</t>
  </si>
  <si>
    <t>234. Da fatan za a zaɓi ƙasashen da ka tuntuɓi mutane :</t>
  </si>
  <si>
    <t>pm_spouse_age2</t>
  </si>
  <si>
    <t>235. Other, specify:</t>
  </si>
  <si>
    <t>235. Autre précisez:</t>
  </si>
  <si>
    <t>235. Sauran, bayar da cikakkun bayanai:</t>
  </si>
  <si>
    <t>pm_spouse_age3</t>
  </si>
  <si>
    <t>236. What did you ask your contacts about?</t>
  </si>
  <si>
    <t>236. Sur quoi avez-vous interrogé vos contacts ?</t>
  </si>
  <si>
    <t>236. Menene ka tambayi abokan hulɗarka?</t>
  </si>
  <si>
    <t>pm_spouse_age4</t>
  </si>
  <si>
    <t>237. Other, specify:</t>
  </si>
  <si>
    <t>237. Autre précisez:</t>
  </si>
  <si>
    <t>237. Sauran, bayar da cikakkun bayanai:</t>
  </si>
  <si>
    <t>pm_spouse_age5</t>
  </si>
  <si>
    <t>238. Did your interaction with your contacts encourage or discourage you from migration?</t>
  </si>
  <si>
    <t>238. Votre interaction avec vos contacts vous a-t-elle encouragé ou découragé à migrer ?</t>
  </si>
  <si>
    <t>238. Ko hirar ku da abokan hulɗarku ta ƙarfafa muka gwiwa ko ta hana ka zuwa biɗa?</t>
  </si>
  <si>
    <t>pm_spouse_age6</t>
  </si>
  <si>
    <t>239. What did you learn from your contacts that discouraged you to migrate?</t>
  </si>
  <si>
    <t>239. Qu'avez-vous appris de vos contacts qui vous ont découragé à migrer ?</t>
  </si>
  <si>
    <t>239. Wane labari ka samo daga abokan hulɗar ku da ya hana ka zuwa biɗa?</t>
  </si>
  <si>
    <t>pm_spouse_age7</t>
  </si>
  <si>
    <t>240. Other, specify:</t>
  </si>
  <si>
    <t>240. Autre précisez:</t>
  </si>
  <si>
    <t>240. Sauran, bayar da cikakkun bayanai:</t>
  </si>
  <si>
    <t>pm_spouse_age8</t>
  </si>
  <si>
    <t>241. What did you learn from your contacts that encouraged you to migrate?</t>
  </si>
  <si>
    <t>241. Qu'avez-vous appris de vos contacts qui vous ont encouragé à migrer ?</t>
  </si>
  <si>
    <t>241. Wane labari ka samo daga abokan hulɗar ku wanda ya ƙarfafa muka gwiwa zuwa biɗa?</t>
  </si>
  <si>
    <t>pm_spouse_age9</t>
  </si>
  <si>
    <t>242. Other, specify:</t>
  </si>
  <si>
    <t>242. Autre précisez:</t>
  </si>
  <si>
    <t>242. Sauran, bayar da cikakkun bayanai:</t>
  </si>
  <si>
    <t>271. Accidents and disasters</t>
  </si>
  <si>
    <t>271. Accidents et catastrophes</t>
  </si>
  <si>
    <t>271. Hatsari da bala'o'i</t>
  </si>
  <si>
    <t>266. During period, did you experience an emergency or urgent need that forced you to:</t>
  </si>
  <si>
    <t>266. Au cours de la période, avez-vous ressenti une urgence ou un besoin urgent qui vous a obligé à :</t>
  </si>
  <si>
    <t>266. A lokacin ${period_hausa}, ko gidanku ya fuskanci wani hali na gaggawa ko wata buƙatu ta gaggawa wanda ya tilasta muku:</t>
  </si>
  <si>
    <t>pm_spouse_age10</t>
  </si>
  <si>
    <t>243. Think about the next three months, starting from today. Do you plan to move somewhere other than ${pm_current_location} and remain there for more than a month?</t>
  </si>
  <si>
    <t>243. Pensez aux trois prochains mois, à partir d’aujourd’hui. Envisagez-vous d'aller ailleurs que ${pm_current_location} et d'y rester plus d'un mois ?</t>
  </si>
  <si>
    <t>243. Ku tuna da watanni uku masu zuwa, daga yau. Ko kuna shirin zuwa wani wuri ${pm_current_location} kuma ku zauna a can sama da wata ɗaya?</t>
  </si>
  <si>
    <t>pm_spouse_age11</t>
  </si>
  <si>
    <t>244. Think about the next year, starting with the upcoming harvest season. Do you plan to move somewhere other than where you are now for more than one month?</t>
  </si>
  <si>
    <t>244. Pensez à l'année prochaine, à commencer par la prochaine saison de récolte. Vous prévoyez de vous déplacer ailleurs que là où vous êtes maintenant depuis plus d'un mois?</t>
  </si>
  <si>
    <t>244. Ku tuna da shekara mai zuwa, fara da lokacin kaka mai zuwa. Ko kuna shirin zuwa wani wuri daban ba inda kake zaune a yanzu ba fiye da wata ɗaya?</t>
  </si>
  <si>
    <t>269. Spend savings</t>
  </si>
  <si>
    <t>269. Utiliser votre epargne</t>
  </si>
  <si>
    <t>269. Kashe kuɗin ajiyar ku</t>
  </si>
  <si>
    <t>276. Idleness of children or spouse</t>
  </si>
  <si>
    <t>276. L'oisiveté des enfants ou du conjoint</t>
  </si>
  <si>
    <t>276. Zaman banza na yara ko mata</t>
  </si>
  <si>
    <t>270. What type of event led you to sell assets or borrow money?</t>
  </si>
  <si>
    <t>270. Quel type d'événement vous a amené à vendre des actifs ou à emprunter de l'argent ?</t>
  </si>
  <si>
    <t>270. Wane irin lamari ne ya kai ku sayar da kadarori ko aron kudi?</t>
  </si>
  <si>
    <t>pm_spouse_age12</t>
  </si>
  <si>
    <t>245. If you migrate in ${pm_mig_length_lab}, what is your intended destination? 
Enumerator: Probe if in Niger or another country</t>
  </si>
  <si>
    <t>245. « Si vous migrez ${pm_mig_length_lab_fr}, quelle est votre destination prévue ?
Agent enquêteur : Sondez si vous êtes au Niger ou dans un autre pays »</t>
  </si>
  <si>
    <t>245. Idan zaku yi tahiya ${pm_mig_length_lab_hausa}, ina ne kuke nufin zuwa?
Mai bincike: Bincika idan a Nijar ne ko a wata ƙasa.</t>
  </si>
  <si>
    <t>pm_spouse_age13</t>
  </si>
  <si>
    <t>246. What is the name of the country you would move to?</t>
  </si>
  <si>
    <t>246. Quel est le nom du pays dans lequel vous migreriez ?</t>
  </si>
  <si>
    <t>246. Menene sunan ƙasar da kuke nufin zuwa?</t>
  </si>
  <si>
    <t>pm_spouse_age14</t>
  </si>
  <si>
    <t>247. Where in Niger would you move?</t>
  </si>
  <si>
    <t>247. Où migreriez-vous au Niger ?</t>
  </si>
  <si>
    <t>247. Ina za ku je a Nijar?</t>
  </si>
  <si>
    <t>pm_spouse_age15</t>
  </si>
  <si>
    <t>248. What is the name of the town you would move to?</t>
  </si>
  <si>
    <t>248. Quel est le nom de la ville dans laquelle vous migreriez ?</t>
  </si>
  <si>
    <t>248. Menene sunan garin da zaku koma?</t>
  </si>
  <si>
    <t>pm_spouse_age16</t>
  </si>
  <si>
    <t>249. Other, specify:</t>
  </si>
  <si>
    <t>249. Autre précisez:</t>
  </si>
  <si>
    <t>249. Sauran, bayar da cikakkun bayanai:</t>
  </si>
  <si>
    <t>276. Please tell me the extent do you agree/disagree:
If I had an emergency that required 5,000 CFA urgently (within 3 days), I would be able to find the money.</t>
  </si>
  <si>
    <t>276. Veuillez me dire dans quelle mesure êtes-vous d'accord/pas d'accord :
Si j'avais une urgence qui nécessitait 5 000 CFA en urgence (dans les 3 jours), je serais capable de trouver l'argent.</t>
  </si>
  <si>
    <t>276. Da fatan za a gaya mini matsayin yarda/rishin yarda da kowanne: 
 Idan wata buƙatar 5,000 CFA ta same ni cikin gaggawa (a cikin kwanaki 3), zan iya samun kuɗin.</t>
  </si>
  <si>
    <t>277. What type of person would you go to first for this money?</t>
  </si>
  <si>
    <t>277. Vers quel type de personne iriez-vous en premier pour cet argent ?</t>
  </si>
  <si>
    <t>277. Wane irin mutum ne za ku fara zuwa wurin shi don neman wannan kuɗin?</t>
  </si>
  <si>
    <t>pm_spouse_age17</t>
  </si>
  <si>
    <t>250. If you decide to migrate, when would you plan to leave ${pm_current_location}?</t>
  </si>
  <si>
    <t>250. Si vous décidez de migrer, quand comptez-vous quitter votre domicile ?</t>
  </si>
  <si>
    <t>250. Idan kun yanke shawarar zuwa bida, yaushe kuke ganin za ku barin gida?</t>
  </si>
  <si>
    <t>pm_spouse_age18</t>
  </si>
  <si>
    <t>251. If you decide to migrate, how long would you plan to stay at your destination (in months)?</t>
  </si>
  <si>
    <t>251. Si vous décidez de migrer, combien de temps prévoyez-vous de rester à destination (en mois) ?</t>
  </si>
  <si>
    <t>251. Idan kun yi niyyar yin tahiya, tsawon wane lokaci kuke nufin zama a inda kuka je (a cikin watanni)?</t>
  </si>
  <si>
    <t>279. I would like to ask you a few questions about your health and wellbeing</t>
  </si>
  <si>
    <t>279. Je voudrais vous poser quelques questions sur votre santé et votre bien-être</t>
  </si>
  <si>
    <t>279. Ina so in yi muku wasu ƴan tambayoyi bisa lafiyar ku da jin daɗin ku</t>
  </si>
  <si>
    <t>280. In general, how would you characterize your physical health?</t>
  </si>
  <si>
    <t>280. En général, comment caractériseriez-vous votre santé physique ?</t>
  </si>
  <si>
    <t>280. A taƙaice, yaya za ku siffanta lafiyar jikin ku?</t>
  </si>
  <si>
    <t>281. Do you currently suffer from any illness or disability that limits your ability to travel or work?</t>
  </si>
  <si>
    <t>281. Souffrez-vous actuellement d'une maladie ou d'un handicap qui limite votre capacité à voyager ou à travailler ?</t>
  </si>
  <si>
    <t>281. Ko a halin yanzu kuna fama da wata rashin lafiya ko naƙasa da ke kawo muku cikas bisa karfinku na yin tafiya ko yin aiki?</t>
  </si>
  <si>
    <t>282. What illness limits you in this way?</t>
  </si>
  <si>
    <t>282. Quelle maladie vous limite de cette manière ?</t>
  </si>
  <si>
    <t>282. Wace cuta ce ke tsaida ku a kan wannan?</t>
  </si>
  <si>
    <t>pm_spouse_age19</t>
  </si>
  <si>
    <t>252. What are the potential risks of migrating for the average migrant?</t>
  </si>
  <si>
    <t>252. Quels sont les risques potentiels de la migration pour le migrant moyen ?</t>
  </si>
  <si>
    <t>252. Menene haɗarin zuwa biɗ ga matsaƙaicin ƙarhia?</t>
  </si>
  <si>
    <t>pm_spouse_age20</t>
  </si>
  <si>
    <t>253. What are some things that you could do to mitigate some of the risks associated with traveling to a neighboring country to find work?</t>
  </si>
  <si>
    <t>253. Quelles mesures pourriez-vous prendre pour atténuer certains des risques associés au voyage dans un pays voisin pour trouver du travail ?</t>
  </si>
  <si>
    <t>253. Wadanne abubuwa ne za ka iya yi don rage wasu haɗurran da ke tattare da balaguro zuwa makwabciyar ƙasa don neman aiki?</t>
  </si>
  <si>
    <t>285. In the past 7 days have you cut the size of meals or skipped meals?</t>
  </si>
  <si>
    <t>285. Au cours des 7 derniers jours, avez-vous réduit la taille des repas ou sauté des repas ?</t>
  </si>
  <si>
    <t>285. A cikin kwanaki 7 da suka gabata kun rage yawan abincin da kuka saba ci ko kun tsallake shi gabaɗaya?</t>
  </si>
  <si>
    <t>286. How many days?</t>
  </si>
  <si>
    <t>286. Combien de jours ?</t>
  </si>
  <si>
    <t>286. Kwana nawa?</t>
  </si>
  <si>
    <t>287. In the past week how many days did you consume animal protein (fish, meat, poultry)?</t>
  </si>
  <si>
    <t>287. Au cours de la semaine écoulée, combien de fois avez-vous consommé des protéines animales (poisson, viande, volaille) ?</t>
  </si>
  <si>
    <t>287. A cikin makon da ya gabata sau nawa kuka ci abinci masu gina jiki kamar (kifi, nama, kaji)?</t>
  </si>
  <si>
    <t>pm_spouse_sex1</t>
  </si>
  <si>
    <t>254. I am going to ask you now about other things you may have done during ${period}.</t>
  </si>
  <si>
    <t>254. Je vais maintenant vous poser des questions sur d'autres choses que vous avez pu faire de ${period_french}.</t>
  </si>
  <si>
    <t>254. Yanzu zan tambaye ku game da wasu abubuwan da ka samu damar yi a lokacin ${period_hausa}.</t>
  </si>
  <si>
    <t>pm_spouse_sex2</t>
  </si>
  <si>
    <t>255. During ${period}, did you participate in any training to learn a new language?</t>
  </si>
  <si>
    <t>255. Au cours la période de ${period_french}, avez-vous participé à une formation pour apprendre une nouvelle langue ?</t>
  </si>
  <si>
    <t>255. A lokacin ${period_hausa}, kun halarci wani horo don koyon wani sabon yare/harshe?</t>
  </si>
  <si>
    <t>pm_spouse_sex3</t>
  </si>
  <si>
    <t>256. What language did you train in?</t>
  </si>
  <si>
    <t>256. Dans quelle langue avez-vous été formé ?</t>
  </si>
  <si>
    <t>256. A cikin wane yare ne aka horar da ku ?</t>
  </si>
  <si>
    <t>pm_spouse_sex4</t>
  </si>
  <si>
    <t>257. Specify other</t>
  </si>
  <si>
    <t>257. Autre à Préciser</t>
  </si>
  <si>
    <t>257. Wani daban a baiyana</t>
  </si>
  <si>
    <t>pm_spouse_sex5</t>
  </si>
  <si>
    <t>258. How much did you have to pay for this training?</t>
  </si>
  <si>
    <t>258. Combien avez-vous dû payer pour cette formation ?</t>
  </si>
  <si>
    <t>258. Nawa kuka biya don wannan horon?</t>
  </si>
  <si>
    <t>pm_spouse_sex6</t>
  </si>
  <si>
    <t>259. During ${period}, did you participate in any form of vocational training or education course?</t>
  </si>
  <si>
    <t>259. Au cours de la période de ${period_french}, avez-vous participé à une forme quelconque de formation professionnelle ou de cours ?</t>
  </si>
  <si>
    <t>259. A lokacin ${period_hausa}, kun shiga wani horo na kwarewa cikin wata sana'a ko wani karatu na ilimi?</t>
  </si>
  <si>
    <t>pm_spouse_sex7</t>
  </si>
  <si>
    <t>260. What type of training course(s) did you participate in (e.g. mechanic training, accounting, IT systems)?</t>
  </si>
  <si>
    <t>260. À quel(s) type(s) de formation(s) avez-vous participé (par exemple, formation mécanique, comptabilité, systèmes informatiques) ?</t>
  </si>
  <si>
    <t>260. Wane irin horo (s) kuka shiga (misali horon makanikanci, lissafin kuɗi, tsarin IT)?</t>
  </si>
  <si>
    <t>pm_spouse_sex8</t>
  </si>
  <si>
    <t>261. How much did you have to pay for this training?</t>
  </si>
  <si>
    <t>261. Combien avez-vous dû payer pour cette formation ?</t>
  </si>
  <si>
    <t>261. Nawa kuka biya don wannan horon?</t>
  </si>
  <si>
    <t>295. Physical pain</t>
  </si>
  <si>
    <t>295. Douleur physique</t>
  </si>
  <si>
    <t>295. ciwon jiki</t>
  </si>
  <si>
    <t>296. Loneliness</t>
  </si>
  <si>
    <t>296. Solitude</t>
  </si>
  <si>
    <t>296. kadaici</t>
  </si>
  <si>
    <t>pm_spouse_sex9</t>
  </si>
  <si>
    <t>262. Now I would like to ask you about different ways you may use money that you earn.</t>
  </si>
  <si>
    <t>262. Maintenant, je voudrais vous poser des questions sur les différentes façons dont vous pouvez utiliser l'argent que vous gagnez.</t>
  </si>
  <si>
    <t>262. Yanzu ina so in tambaye ku bisa hanyoyi daban-daban da kuke amfani da su wajen kashe kuɗin da kuke samu.</t>
  </si>
  <si>
    <t>pm_spouse_sex10</t>
  </si>
  <si>
    <t>263. Do you currently have savings of each of the following types that you have put aside for yourself, separate from your household?</t>
  </si>
  <si>
    <t>263. Avez-vous actuellement des économies de chacun des types suivants que vous avez mises de côté pour vous-même, séparément de votre ménage ?</t>
  </si>
  <si>
    <t>263. Ko a halin yanzu kuna da tanadi na kowane irin waɗannan abubuwan da kuka ware don kanku, daban da gidan ku?</t>
  </si>
  <si>
    <t>pm_spouse_sex11</t>
  </si>
  <si>
    <t>264. Specify other:</t>
  </si>
  <si>
    <t>264. Autre à préciser</t>
  </si>
  <si>
    <t>264. Wani daban a baiyana</t>
  </si>
  <si>
    <t>298. I feel I do not have much to be proud of.</t>
  </si>
  <si>
    <t>298. Je sens que je n'ai pas beaucoup de raisons d'être fier (comblé).</t>
  </si>
  <si>
    <t>298. Ina jin ba ni da hujjojin yin murna.</t>
  </si>
  <si>
    <t>299. At times I think I am no good at all.</t>
  </si>
  <si>
    <t>299. Parfois, je pense que je ne suis utile à rien</t>
  </si>
  <si>
    <t>299. A wasu lokuta ina ganin ba ni da amfani.</t>
  </si>
  <si>
    <t>pm_spouse_sex12</t>
  </si>
  <si>
    <t>265. Please share with us your best estimate of the value in CFA ${pm_savings_name}</t>
  </si>
  <si>
    <t>265. Veuillez partager avec nous votre meilleure estimation de la valeur en CFA ${pm_savings_name}</t>
  </si>
  <si>
    <t>265. Da fatan za ku gaya mana misalin ƙimar kuɗin a CFA ${pm_savings_name}</t>
  </si>
  <si>
    <t>300.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t>
  </si>
  <si>
    <t>300.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t>
  </si>
  <si>
    <t>300. A ce saman kuranga tana nuna mafi kyawun rayuwa a gare ku kuma kasan kuranga tana nuna mafi munin rayuwa a gareku. Idan matakin saman ya kasance 10 kuma matakin ƙasa shine 0, akan wane mataki na kurangar kake jin kai da kanka kake a halin yanzu?</t>
  </si>
  <si>
    <t>pm_spouse_sex13</t>
  </si>
  <si>
    <t>266. In the past month have you put aside any money for the future?</t>
  </si>
  <si>
    <t>266. Au cours du mois dernier, avez-vous mis de l'argent de côté pour l'avenir ?</t>
  </si>
  <si>
    <t>266. A cikin watan da ya gabata ko kun wata ajiyar kuɗi don gaba?</t>
  </si>
  <si>
    <t>301. I will now ask a few more questions about identity and health documents many people living here have.</t>
  </si>
  <si>
    <t>301. Je vais maintenant poser quelques questions supplémentaires sur les documents d'identité et de santé que possèdent de nombreuses personnes vivant ici.</t>
  </si>
  <si>
    <t>301. Yanzu zan muku yi ƙarin tambayoyi game da takardun ɗan kasa da kiwon lafiya da yawan mutane wanda ke zaune a nan suke da su.</t>
  </si>
  <si>
    <t>302. Do you have a national ID card?</t>
  </si>
  <si>
    <t>302. Avez-vous une carte d'identité nationale?</t>
  </si>
  <si>
    <t>302. Kuna da katin shaidar ɗan kasa?</t>
  </si>
  <si>
    <t>303. Did the respondent show you the national ID card they claimed to possess?</t>
  </si>
  <si>
    <t>303. Le répondant vous a-t-il montré la carte d'identité nationale qu'il prétendait posséder ?</t>
  </si>
  <si>
    <t>303. Ko mai bada amsa ya nuna maka katin shaidarshi na ɗan ƙasa ?</t>
  </si>
  <si>
    <t>306. People of a different sect of Islam</t>
  </si>
  <si>
    <t>306. Les gens d'une autre secte de l'Islam</t>
  </si>
  <si>
    <t>306. Mabiya wasu ɗarikun musulunci</t>
  </si>
  <si>
    <t>304. Do you have a vaccination booklet?</t>
  </si>
  <si>
    <t>304. Avez-vous un carnet de vaccination ?</t>
  </si>
  <si>
    <t>304. Kuna da takardar rigakafi?</t>
  </si>
  <si>
    <t>pm_spouse_sex14</t>
  </si>
  <si>
    <t>267. During period, did you experience an emergency or urgent need that forced you to:</t>
  </si>
  <si>
    <t>267. Au cours de la période, avez-vous ressenti une urgence ou un besoin urgent qui vous a obligé à :</t>
  </si>
  <si>
    <t>267. A lokacin ${period_hausa}, ko gidanku ya fuskanci wani hali na gaggawa ko wata buƙatu ta gaggawa wanda ya tilasta muku:</t>
  </si>
  <si>
    <t>pm_spouse_sex15</t>
  </si>
  <si>
    <t>268. Sell assets</t>
  </si>
  <si>
    <t>268. Vendre des actifs</t>
  </si>
  <si>
    <t>268. Saida kadarori</t>
  </si>
  <si>
    <t>pm_spouse_sex16</t>
  </si>
  <si>
    <t>269. Borrow money</t>
  </si>
  <si>
    <t>269. Emprunter de l'argent</t>
  </si>
  <si>
    <t>269. Bashin kudi</t>
  </si>
  <si>
    <t>pm_spouse_sex17</t>
  </si>
  <si>
    <t>270. Spend savings</t>
  </si>
  <si>
    <t>270. Utiliser votre epargne</t>
  </si>
  <si>
    <t>270. Kashe kuɗin ajiyar ku</t>
  </si>
  <si>
    <t>307. I would like to understand what you would expect to happen if you decided to travel to a neighboring country for work for at least one month.</t>
  </si>
  <si>
    <t>307. J'aimerais comprendre ce à quoi vous vous attendriez si vous décidiez de vous rendre dans un pays voisin pour travailler pendant au moins un mois.</t>
  </si>
  <si>
    <t>307. Ina so in fahimci abin da kuke tsammanin zai faru idan kun yanke shawarar tafiya na akalla wata ɗaya zuwa wata makwabciyar ƙasa don aiki.</t>
  </si>
  <si>
    <t>pm_spouse_sex18</t>
  </si>
  <si>
    <t>271. What type of event led you to sell assets or borrow money?</t>
  </si>
  <si>
    <t>271. Quel type d'événement vous a amené à vendre des actifs ou à emprunter de l'argent ?</t>
  </si>
  <si>
    <t>271. Wane irin lamari ne ya kai ku sayar da kadarori ko aron kudi?</t>
  </si>
  <si>
    <t>pm_spouse_sex19</t>
  </si>
  <si>
    <t>272. Please briefly describe the event that led you to sell assets or borrow money</t>
  </si>
  <si>
    <t>272. Veuillez décrire brièvement l'événement qui vous a amené à vendre des actifs ou à emprunter de l'argent</t>
  </si>
  <si>
    <t>272. Ina son ku bani taƙaitaccen bayani bisa abin da ya sa ku saida kadarori ko karɓar kuɗin bashi</t>
  </si>
  <si>
    <t>pm_spouse_sex20</t>
  </si>
  <si>
    <t>273. What was the value of assets you sold (in CFA)?</t>
  </si>
  <si>
    <t>273. Quelle était la valeur des actifs que vous avez vendus ?</t>
  </si>
  <si>
    <t>273. Misalin nawa ne ƙimar kadarorin da kuka saida?</t>
  </si>
  <si>
    <t>hoh_roster_label</t>
  </si>
  <si>
    <t>Create line separate list of hh members</t>
  </si>
  <si>
    <t>travel</t>
  </si>
  <si>
    <t>bus</t>
  </si>
  <si>
    <t>274. What was the value of the loan you took (in CFA)?</t>
  </si>
  <si>
    <t>274. Quelle était la valeur du prêt que vous avez contracté ?</t>
  </si>
  <si>
    <t>274. Nawa ne kuɗin rancen da kuka ɗauko?</t>
  </si>
  <si>
    <t>hoh_hhmem_index</t>
  </si>
  <si>
    <t>bas</t>
  </si>
  <si>
    <t>275. What was the value of the savings you spent (in CFA)?</t>
  </si>
  <si>
    <t>275. Quelle était la valeur de l'epargne que vous avez utilisé ?</t>
  </si>
  <si>
    <t>275. Nawa kuɗin ajiyar da kuka kashe?</t>
  </si>
  <si>
    <t>hoh_hhmem_name</t>
  </si>
  <si>
    <t>276. Think about all of the credit or money you have borrowed. What is the approximate total value of all money you owe to other people (in CFA)?</t>
  </si>
  <si>
    <t>276. Pensez à tout le crédit ou l'argent que vous avez emprunté. Quelle est la valeur totale approximative de tout l'argent que vous devez à d'autres personnes ?</t>
  </si>
  <si>
    <t>276. Ku tuna da duk bashi ko kuɗin da kuka aro. Nawa ne kimar jimillar duk kuɗin da wasu mutanne ke binku?</t>
  </si>
  <si>
    <t>hoh_hhmem_age</t>
  </si>
  <si>
    <t>277. Please tell me the extent do you agree/disagree:
If I had an emergency that required 5,000 CFA urgently (within 3 days), I would be able to find the money.</t>
  </si>
  <si>
    <t>taxi</t>
  </si>
  <si>
    <t>277. Veuillez me dire dans quelle mesure êtes-vous d'accord/pas d'accord :
Si j'avais une urgence qui nécessitait 5 000 CFA en urgence (dans les 3 jours), je serais capable de trouver l'argent.</t>
  </si>
  <si>
    <t>Taxi</t>
  </si>
  <si>
    <t>277. Da fatan za a gaya mini matsayin yarda/rishin yarda da kowanne: 
 Idan wata buƙatar 5,000 CFA ta same ni cikin gaggawa (a cikin kwanaki 3), zan iya samun kuɗin.</t>
  </si>
  <si>
    <t>hoh_hhmem_sex</t>
  </si>
  <si>
    <t>278. What type of person would you go to first for this money?</t>
  </si>
  <si>
    <t>278. Vers quel type de personne iriez-vous en premier pour cet argent ?</t>
  </si>
  <si>
    <t>278. Wane irin mutum ne za ku fara zuwa wurin shi don neman wannan kuɗin?</t>
  </si>
  <si>
    <t>hoh_hhmem</t>
  </si>
  <si>
    <t>on foot</t>
  </si>
  <si>
    <t>à pied</t>
  </si>
  <si>
    <t>a kafa</t>
  </si>
  <si>
    <t>279. Specify your relationship with this person</t>
  </si>
  <si>
    <t>279. Précisez votre relation avec cette personne</t>
  </si>
  <si>
    <t>279. Faɗi dangantakar ku da wannan mutumen</t>
  </si>
  <si>
    <t>314. Have you and ${shm_name} discussed your plans or desire to travel to another country to find work in the past month?</t>
  </si>
  <si>
    <t>314. Avez-vous discuté vous et ${shm_name} de vos projets ou de votre désir de voyager dans un autre pays pour trouver du travail au cours du mois dernier ?</t>
  </si>
  <si>
    <t>314. ko kun tattauna ku da ${shm_name} kan shirye-shiryenku ko sha'awarku ta tafiya wata ƙasa don neman aiki a cikin watan da ya gabata?</t>
  </si>
  <si>
    <t>motorcycle</t>
  </si>
  <si>
    <t>moto</t>
  </si>
  <si>
    <t>315. Have you discussed with your household how your household responsibilities would be managed during your migration?</t>
  </si>
  <si>
    <t>babur</t>
  </si>
  <si>
    <t>315. Avez-vous discuté avec votre ménage de la manière dont vos responsabilités familiales seraient gérées pendant votre migration ?</t>
  </si>
  <si>
    <t>315. Ko kun tattauna da ƴan gidanku yadda za a gudanar da ayyukanku na gida a lokacin da baka gida ?</t>
  </si>
  <si>
    <t>316. Have you or your immediate family gathered resources in order to prepare for migration? This could include saving money, selling assets, or taking a loan.</t>
  </si>
  <si>
    <t>316. Est-ce que vous ou votre famille proche avez rassemblé des ressources pour vous préparer à la migration ? Il peut s'agir d'économiser de l'argent, de vendre des actifs ou de contracter un prêt.</t>
  </si>
  <si>
    <t>316. Ko kai ko ƴan gidanku kun yi tanadin guzuri don shirin zuwa biɗa? Wannan na iya haɗawa da ajiyar kuɗi, sayar da kadarori, ko ɗaukar lamuni.</t>
  </si>
  <si>
    <t>317. Have you or your immediate family prepared any legal paperwork, such as marriage documents, birth certificates, or proof of property to prepare for migration?</t>
  </si>
  <si>
    <t>317. Est-ce que vous ou votre famille immédiate avez préparé des documents juridiques, tels que des documents de mariage, des certificats de naissance ou une preuve de propriété pour vous préparer à la migration ?</t>
  </si>
  <si>
    <t>317. Shin kai ko ƴan gidanku kun shirya wasu takardun doka, kamar takardar aure, takardun haihuwa, ko shaidar dukiya don shiryawa zuwa biɗa?</t>
  </si>
  <si>
    <t>280. I would like to ask you a few questions about your health and wellbeing</t>
  </si>
  <si>
    <t>280. Je voudrais vous poser quelques questions sur votre santé et votre bien-être</t>
  </si>
  <si>
    <t>280. Ina so in yi muku wasu ƴan tambayoyi bisa lafiyar ku da jin daɗin ku</t>
  </si>
  <si>
    <t>hoh_roster_list</t>
  </si>
  <si>
    <t>281. In general, how would you characterize your physical health?</t>
  </si>
  <si>
    <t>281. En général, comment caractériseriez-vous votre santé physique ?</t>
  </si>
  <si>
    <t>281. A taƙaice, yaya za ku siffanta lafiyar jikin ku?</t>
  </si>
  <si>
    <t>hoh_roster_above16_list</t>
  </si>
  <si>
    <t>282. Do you currently suffer from any illness or disability that limits your ability to travel or work?</t>
  </si>
  <si>
    <t>282. Souffrez-vous actuellement d'une maladie ou d'un handicap qui limite votre capacité à voyager ou à travailler ?</t>
  </si>
  <si>
    <t>282. Ko a halin yanzu kuna fama da wata rashin lafiya ko naƙasa da ke kawo muku cikas bisa karfinku na yin tafiya ko yin aiki?</t>
  </si>
  <si>
    <t>283. What illness limits you in this way?</t>
  </si>
  <si>
    <t>283. Quelle maladie vous limite de cette manière ?</t>
  </si>
  <si>
    <t>283. Wace cuta ce ke tsaida ku a kan wannan?</t>
  </si>
  <si>
    <t>hhmem1</t>
  </si>
  <si>
    <t>reason_nowork</t>
  </si>
  <si>
    <t>Health reasons</t>
  </si>
  <si>
    <t>Raisons de santé</t>
  </si>
  <si>
    <t>284. Other, specify:</t>
  </si>
  <si>
    <t>284. Autre précisez:</t>
  </si>
  <si>
    <t>Dalilan lafiya</t>
  </si>
  <si>
    <t>284. Sauran, bayar da cikakkun bayanai:</t>
  </si>
  <si>
    <t>hhmem2</t>
  </si>
  <si>
    <t>285. Now I want to ask you about the past week (7 days)</t>
  </si>
  <si>
    <t>285. Maintenant, je veux vous poser des questions sur la semaine dernière (7 jours)</t>
  </si>
  <si>
    <t>285. Yanzu ina so in muku tambayoyi kan makon da ya gabata (kwana 7)</t>
  </si>
  <si>
    <t>hhmem3</t>
  </si>
  <si>
    <t>286. In the past 7 days have you cut the size of meals or skipped meals?</t>
  </si>
  <si>
    <t>286. Au cours des 7 derniers jours, avez-vous réduit la taille des repas ou sauté des repas ?</t>
  </si>
  <si>
    <t>286. A cikin kwanaki 7 da suka gabata kun rage yawan abincin da kuka saba ci ko kun tsallake shi gabaɗaya?</t>
  </si>
  <si>
    <t>hhmem4</t>
  </si>
  <si>
    <t>Studies / school</t>
  </si>
  <si>
    <t>Études / école</t>
  </si>
  <si>
    <t>Karatu / makaranta</t>
  </si>
  <si>
    <t>287. How many days?</t>
  </si>
  <si>
    <t>287. Combien de jours ?</t>
  </si>
  <si>
    <t>287. Kwana nawa?</t>
  </si>
  <si>
    <t>hhmem5</t>
  </si>
  <si>
    <t>288. In the past week how many days did you consume animal protein (fish, meat, poultry)?</t>
  </si>
  <si>
    <t>288. Au cours de la semaine écoulée, combien de fois avez-vous consommé des protéines animales (poisson, viande, volaille) ?</t>
  </si>
  <si>
    <t>288. A cikin makon da ya gabata sau nawa kuka ci abinci masu gina jiki kamar (kifi, nama, kaji)?</t>
  </si>
  <si>
    <t>hhmem6</t>
  </si>
  <si>
    <t>Took time off for leisure</t>
  </si>
  <si>
    <t>A pris du temps pour les loisirs</t>
  </si>
  <si>
    <t>Ya ɗauki lokaci don nashaɗi</t>
  </si>
  <si>
    <t>289. How many hours of sleep per night did you get on average in the last seven days?</t>
  </si>
  <si>
    <t>289. Combien d'heures de sommeil par nuit avez-vous dormi en moyenne au cours des sept derniers jours ?</t>
  </si>
  <si>
    <t>289. Sa'o'i nawa kuka yi barci a kowane dare a taƙaice cikin kwanaki bakwai da suka wuce?</t>
  </si>
  <si>
    <t>327. If you want to travel to Nigeria to find work, how long can you work there without getting a formal work authorization (in months)?</t>
  </si>
  <si>
    <t>327. Si vous souhaitez vous rendre au Nigeria pour trouver du travail, combien de temps pouvez-vous y travailler sans obtenir une autorisation de travail formelle (en mois) ?</t>
  </si>
  <si>
    <t>327. Idan kuna son tafiya Najeriya don neman aiki, tsawon wane lokaci za ku iya yin aiki a can ba tare da samun izinin aiki na yau da kullun ba (a cikin watanni)?</t>
  </si>
  <si>
    <t>hhmem7</t>
  </si>
  <si>
    <t>Could not find work</t>
  </si>
  <si>
    <t>Je n'ai pas trouvé de travail</t>
  </si>
  <si>
    <t>Ban samu aiki ba</t>
  </si>
  <si>
    <t>290. In the past week, how often did you experience the following feelings?</t>
  </si>
  <si>
    <t>290. Au cours de la semaine dernière, à quelle fréquence avez-vous ressenti les sentiments suivants ?</t>
  </si>
  <si>
    <t>290. A cikin satin da ya wuce, sau nawa kuka ji irin waɗannan abubuwan a ranku?</t>
  </si>
  <si>
    <t>hhmem8</t>
  </si>
  <si>
    <t>291. Enjoyment</t>
  </si>
  <si>
    <t>291. Plaisir</t>
  </si>
  <si>
    <t>291. jin daɗi</t>
  </si>
  <si>
    <t>hhmem9</t>
  </si>
  <si>
    <t>292. Happiness</t>
  </si>
  <si>
    <t>292. Bonheur</t>
  </si>
  <si>
    <t>292. Farin ciki</t>
  </si>
  <si>
    <t>hhmem10</t>
  </si>
  <si>
    <t>293. Stress</t>
  </si>
  <si>
    <t>293. Babbar Damuwa</t>
  </si>
  <si>
    <t>hhmem11</t>
  </si>
  <si>
    <t>294. Worry</t>
  </si>
  <si>
    <t>294. Inquiétude</t>
  </si>
  <si>
    <t>294. Damuwa</t>
  </si>
  <si>
    <t>hhmem12</t>
  </si>
  <si>
    <t>295. Anger</t>
  </si>
  <si>
    <t>295. Colère</t>
  </si>
  <si>
    <t>295. Fushi</t>
  </si>
  <si>
    <t>hhmem13</t>
  </si>
  <si>
    <t>docs</t>
  </si>
  <si>
    <t>296. Physical pain</t>
  </si>
  <si>
    <t>296. Douleur physique</t>
  </si>
  <si>
    <t>296. ciwon jiki</t>
  </si>
  <si>
    <t>hhmem14</t>
  </si>
  <si>
    <t>297. Loneliness</t>
  </si>
  <si>
    <t>297. Solitude</t>
  </si>
  <si>
    <t>297. kadaici</t>
  </si>
  <si>
    <t>Birth certificate</t>
  </si>
  <si>
    <t>Extrait de naissance</t>
  </si>
  <si>
    <t>Takardar shaidar haihuwa</t>
  </si>
  <si>
    <t>329. Now I am going to ask you about the areas of your life that worry you.</t>
  </si>
  <si>
    <t>329. Je voudrais maintenant vous poser des questions sur les choses qui vous inquiètent dans votre vie.</t>
  </si>
  <si>
    <t>329. Yanzu ina son in tambaye ku bisa abubuwan da ke damun ku a cikin rayuwar ku.</t>
  </si>
  <si>
    <t>330. How stressed are you about the following areas of your life?</t>
  </si>
  <si>
    <t>330. Dans quelle mesure êtes-vous stressé par les domaines suivants de votre vie ?</t>
  </si>
  <si>
    <t>330. Yaya damuwarku game da abubuwa na rayuwarku da zan zana?</t>
  </si>
  <si>
    <t>Passport</t>
  </si>
  <si>
    <t>Passeport</t>
  </si>
  <si>
    <t>hhmem15</t>
  </si>
  <si>
    <t>Fasfo</t>
  </si>
  <si>
    <t>298. I will now read out several statements. You should tell me whether these statements are true for you by using the following scale.</t>
  </si>
  <si>
    <t>298. Je vais maintenant lire plusieurs déclarations. Vous devez me dire si ces affirmations sont vraies pour vous en utilisant l'échelle suivante.</t>
  </si>
  <si>
    <t>298. Yanzu zan karanta wasu maganganu da yawa. Za ku gaya mini ko waɗannan maganganun sun yi daidai da ku ta hanyar yin amfani da kuranga mai zuwa.</t>
  </si>
  <si>
    <t>hhmem16</t>
  </si>
  <si>
    <t>299. I feel I do not have much to be proud of.</t>
  </si>
  <si>
    <t>National ID card</t>
  </si>
  <si>
    <t>299. Je sens que je n'ai pas beaucoup de raisons d'être fier (comblé).</t>
  </si>
  <si>
    <t>Carte d'identité nationale</t>
  </si>
  <si>
    <t>299. Ina jin ba ni da hujjojin yin murna.</t>
  </si>
  <si>
    <t>Katin ID na kasa</t>
  </si>
  <si>
    <t>hhmem17</t>
  </si>
  <si>
    <t>300. At times I think I am no good at all.</t>
  </si>
  <si>
    <t>300. Parfois, je pense que je ne suis utile à rien</t>
  </si>
  <si>
    <t>300. A wasu lokuta ina ganin ba ni da amfani.</t>
  </si>
  <si>
    <t>334. Problems with people in other ethnic groups</t>
  </si>
  <si>
    <t>334. Problèmes avec les personnes d'autres groupes ethniques</t>
  </si>
  <si>
    <t>334. Matsaloli da mutanen wasu kabilu daban</t>
  </si>
  <si>
    <t>Vaccine booklet</t>
  </si>
  <si>
    <t>hhmem18</t>
  </si>
  <si>
    <t>Carnet de vaccins</t>
  </si>
  <si>
    <t>Littafin rigakafi</t>
  </si>
  <si>
    <t>301.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t>
  </si>
  <si>
    <t>301.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t>
  </si>
  <si>
    <t>301. A ce saman kuranga tana nuna mafi kyawun rayuwa a gare ku kuma kasan kuranga tana nuna mafi munin rayuwa a gareku. Idan matakin saman ya kasance 10 kuma matakin ƙasa shine 0, akan wane mataki na kurangar kake jin kai da kanka kake a halin yanzu?</t>
  </si>
  <si>
    <t>336. Not being able to educate all children</t>
  </si>
  <si>
    <t>336. Ne pas pouvoir scolariser tous les enfants</t>
  </si>
  <si>
    <t>336. Rashin iya rubuta dukkan yara a makarantar boko</t>
  </si>
  <si>
    <t>ECOWAS ID card</t>
  </si>
  <si>
    <t>Carte d'identité CEDEAO</t>
  </si>
  <si>
    <t>Katin ID na ECOWAS</t>
  </si>
  <si>
    <t>337. Difficulty finding work</t>
  </si>
  <si>
    <t>337. Difficulté à trouver du travail</t>
  </si>
  <si>
    <t>337. Wahalar neman aiki</t>
  </si>
  <si>
    <t>338. Idleness of children or spouse</t>
  </si>
  <si>
    <t>338. L'oisiveté des enfants ou du conjoint</t>
  </si>
  <si>
    <t>338. Zaman banza na yara ko mata</t>
  </si>
  <si>
    <t>339. Alcohol comsumption of children or spouse</t>
  </si>
  <si>
    <t>339. Consommation d'alcool des enfants ou du conjoint</t>
  </si>
  <si>
    <t>339. Shan giya na yara ko mata</t>
  </si>
  <si>
    <t>hhmem19</t>
  </si>
  <si>
    <t>Travel visa</t>
  </si>
  <si>
    <t>Visa de voyage</t>
  </si>
  <si>
    <t>Visa ta balaguro</t>
  </si>
  <si>
    <t>302. I will now ask a few more questions about identity and health documents many people living here have.</t>
  </si>
  <si>
    <t>302. Je vais maintenant poser quelques questions supplémentaires sur les documents d'identité et de santé que possèdent de nombreuses personnes vivant ici.</t>
  </si>
  <si>
    <t>302. Yanzu zan muku yi ƙarin tambayoyi game da takardun ɗan kasa da kiwon lafiya da yawan mutane wanda ke zaune a nan suke da su.</t>
  </si>
  <si>
    <t>hhmem20</t>
  </si>
  <si>
    <t>303. Do you have a national ID card?</t>
  </si>
  <si>
    <t>303. Avez-vous une carte d'identité nationale?</t>
  </si>
  <si>
    <t>303. Kuna da katin shaidar ɗan kasa?</t>
  </si>
  <si>
    <t>hhmem21</t>
  </si>
  <si>
    <t>304. Did the respondent show you the national ID card they claimed to possess?</t>
  </si>
  <si>
    <t>304. Le répondant vous a-t-il montré la carte d'identité nationale qu'il prétendait posséder ?</t>
  </si>
  <si>
    <t>304. Ko mai bada amsa ya nuna maka katin shaidarshi na ɗan ƙasa ?</t>
  </si>
  <si>
    <t>hhmem22</t>
  </si>
  <si>
    <t>305. Do you have a vaccination booklet?</t>
  </si>
  <si>
    <t>305. Avez-vous un carnet de vaccination ?</t>
  </si>
  <si>
    <t>305. Kuna da takardar rigakafi?</t>
  </si>
  <si>
    <t>hhmem23</t>
  </si>
  <si>
    <t>306. Did the respondent show you the vaccination booklet they claimed to possess?</t>
  </si>
  <si>
    <t>306. L'enquêté vous a-t-il montré le carnet de vaccination qu'il prétendait posséder ?</t>
  </si>
  <si>
    <t>306. Ko mai bada amsa ya nuna maka takardar rigakafinshi?</t>
  </si>
  <si>
    <t>hhmem24</t>
  </si>
  <si>
    <t>307. Do you agree or disagree with the following statement: when crossing borders, it is important to travel with the required identification and documents.</t>
  </si>
  <si>
    <t>307. Etes-vous d'accord ou pas d'accord avec l'affirmation suivante : lors du passage des frontières, il est important de voyager avec les pièces d'identité et les documents requis.</t>
  </si>
  <si>
    <t>307. Ko ka yarda ko baka yarda da wannan magana ba: lokacin ketare iyakoki, yana da mahimmanci tafiya tare da takadar ɗan ƙasa da kuma takaddun da ake buƙata.</t>
  </si>
  <si>
    <t>hhmem25</t>
  </si>
  <si>
    <t>308. I would like to understand what you would expect to happen if you decided to travel to a neighboring country for work for at least one month.</t>
  </si>
  <si>
    <t>308. J'aimerais comprendre ce à quoi vous vous attendriez si vous décidiez de vous rendre dans un pays voisin pour travailler pendant au moins un mois.</t>
  </si>
  <si>
    <t>308. Ina so in fahimci abin da kuke tsammanin zai faru idan kun yanke shawarar tafiya na akalla wata ɗaya zuwa wata makwabciyar ƙasa don aiki.</t>
  </si>
  <si>
    <t>hhmem26</t>
  </si>
  <si>
    <t>309. How much money would you expect to earn each month (before paying your expenses) in CFA?</t>
  </si>
  <si>
    <t>309. Combien d'argent espérez-vous qu'il gagne chaque mois (sans depense) en CFA ?</t>
  </si>
  <si>
    <t>309. Nawa kuke tsammanin samu kowane wata (kafin ku biya kuɗin ku) a sefa?</t>
  </si>
  <si>
    <t>hhmem27</t>
  </si>
  <si>
    <t>310. Imagine that five years from now you are living in another West African country like Cote d'Ivoire or Nigeria. How much money do you think you would earn per month?</t>
  </si>
  <si>
    <t>310. Imaginez que dans cinq ans vous vivez dans un autre pays d'Afrique de l'Ouest comme la Côte d'Ivoire ou le Nigeria. Combien d'argent pensez-vous que vous gagneriez par mois en CFA ?</t>
  </si>
  <si>
    <t>310. Ku ƙaddara cewa shekaru biyar masu zuwa kuna zaune a wata ƙasa ta yammacin Afirka kamar Cote d'Ivoire ko Najeriya. Nawa kuke tunanin samu a kowane wata a sefa?</t>
  </si>
  <si>
    <t>hhmem28</t>
  </si>
  <si>
    <t>311. How much money would you expect to share with your household each month in CFA?</t>
  </si>
  <si>
    <t>311. Combien d'argent vous attendez-vous à ce qu'il partage avec votre ménage chaque mois en CFA ?</t>
  </si>
  <si>
    <t>311. Nawa kuke tsammanin zaku aikawa gidanku a kowane wata a sefa?</t>
  </si>
  <si>
    <t>hhmembers_above16</t>
  </si>
  <si>
    <t>312. How much money would you expect to put aside to save for the future each month?</t>
  </si>
  <si>
    <t>312. Combien comptez-vous mettre de côté chaque mois pour épargner pour l’avenir ?</t>
  </si>
  <si>
    <t>312. Nawa ne kuke ganin zaku ajiye don gaba a kowane wata?</t>
  </si>
  <si>
    <t>313. How many times would you expect to contact members of your household each month?</t>
  </si>
  <si>
    <t>313. Combien de fois vous attendriez-vous à ce qu'il contacte les membres de votre ménage chaque mois ?</t>
  </si>
  <si>
    <t>313. Sau nawa kuke tsammanin tuntuɓar ƴan gidan ku kowane wata ?</t>
  </si>
  <si>
    <t>350. Whether the husband will migrate to find work</t>
  </si>
  <si>
    <t>350. Si le mari va migrer pour trouver du travail</t>
  </si>
  <si>
    <t>350. Ko mijin zai yi tahiya don neman aiki</t>
  </si>
  <si>
    <t>351. Who to vote for in local elections?</t>
  </si>
  <si>
    <t>351. Pour qui voter aux élections municipales ?</t>
  </si>
  <si>
    <t>351. Wanene za'a zaɓa a zaɓen ƙananan hukumomi?</t>
  </si>
  <si>
    <t>352. To whom your daughter should marry?</t>
  </si>
  <si>
    <t>352. Avec qui votre fille devrait-elle se marier ?</t>
  </si>
  <si>
    <t>352. Wa ya kamata ƴarku ta aura?</t>
  </si>
  <si>
    <t>pm_family_rel</t>
  </si>
  <si>
    <t>314. Now I will ask about things you or your family may have done in preparation for your migration. Consider all migration preparations since ${period}.</t>
  </si>
  <si>
    <t>314. Je vais maintenant vous poser des questions sur les choses que vous ou votre famille avez pu faire pour préparer votre migration. Prenez en compte tous les préparatifs de migration depuis ${period_french}.</t>
  </si>
  <si>
    <t>314. Yanzu zan yi tambayoyi game da abubuwan da ku ko ƴan gidan ku kuka yi a shirye-shiryen zuwanku bulaguro. Ku yi la'aƙari da duk shirye-shiryen tahiya tun ${period_hausa}.</t>
  </si>
  <si>
    <t>pm_family_rel_note</t>
  </si>
  <si>
    <t>Before we begin, we'd like to ask you a few questions about your immediate family.</t>
  </si>
  <si>
    <t>Avant de commencer, nous aimerions vous poser quelques questions sur votre famille immédiate.</t>
  </si>
  <si>
    <t>Kafin mu fara, muna so mu yi muku ƴan tambayoyi game da ƴan gidan ku ma kusata.</t>
  </si>
  <si>
    <t>pm_children</t>
  </si>
  <si>
    <t>Do you have children?</t>
  </si>
  <si>
    <t>Avez-vous des enfants?</t>
  </si>
  <si>
    <t>Ko kuna da yara?</t>
  </si>
  <si>
    <t>nopay</t>
  </si>
  <si>
    <t>Family business / land</t>
  </si>
  <si>
    <t>Entreprise familiale / terre</t>
  </si>
  <si>
    <t>Kasuwancin iyali / ƙasa</t>
  </si>
  <si>
    <t>select_multiple potential_child</t>
  </si>
  <si>
    <t>pm_family_rel_child</t>
  </si>
  <si>
    <t>Please identify your children from the following list of household members:</t>
  </si>
  <si>
    <t>Veuillez identifier vos enfants à partir de la liste suivante des membres du ménage :</t>
  </si>
  <si>
    <t>Da fatan za ku gano yaranku daga jerin sunayen ƴan gida masu zuwa:</t>
  </si>
  <si>
    <t>pm_num_child_not_in_list</t>
  </si>
  <si>
    <t>How many children were not in the list?</t>
  </si>
  <si>
    <t>Combien d’enfants ne figuraient pas sur la liste ?</t>
  </si>
  <si>
    <t>Yara nawa ne ba su cikin jerin sunayen?</t>
  </si>
  <si>
    <t>Employer refused to pay me</t>
  </si>
  <si>
    <t>L'employeur a refusé de me payer</t>
  </si>
  <si>
    <t>Mai gida ya ƙi biya na</t>
  </si>
  <si>
    <t>pm_child_not_in_list</t>
  </si>
  <si>
    <t>Children not in list</t>
  </si>
  <si>
    <t>319. Who have you spoken with outside of your household about whether you should migrate or where you should go?</t>
  </si>
  <si>
    <t>319. Avec qui avez-vous parlé en dehors de votre ménage pour savoir si vous devriez émigrer ou du lieu où vous devriez aller ?</t>
  </si>
  <si>
    <t>319. Wane ne kuka yi magana da shi a wajen gidanku, a kan ko za ku je biɗa ko kuma inda za ku je?</t>
  </si>
  <si>
    <t>pm_child_not_in_list_index</t>
  </si>
  <si>
    <t>320. What kinds of information did you discuss with these people?</t>
  </si>
  <si>
    <t>320. De quels types d'informations avez-vous discuté avec ces personnes ?</t>
  </si>
  <si>
    <t>320. Wane irin bayani kuka tattauna da waɗannan mutane?</t>
  </si>
  <si>
    <t>pm_child_o_name</t>
  </si>
  <si>
    <t>What is the name of child #${pm_child_not_in_list_index}?</t>
  </si>
  <si>
    <t>Quel est le nom de l'enfant #${pm_child_not_in_list_index} ?</t>
  </si>
  <si>
    <t>Paid out debt through work</t>
  </si>
  <si>
    <t>Menene sunan yaro #${pm_child_not_in_list_index}?</t>
  </si>
  <si>
    <t>Rembourser la dette par le travail</t>
  </si>
  <si>
    <t>Biyan bashi ta hanyar aiki</t>
  </si>
  <si>
    <t>pm_child_o_age</t>
  </si>
  <si>
    <t>How old is ${pm_child_o_name}?</t>
  </si>
  <si>
    <t>Quel âge a ${pm_child_o_name} ?</t>
  </si>
  <si>
    <t>Shekarun ${pm_child_o_name} nawa?</t>
  </si>
  <si>
    <t>Self-employed but did not earn profit</t>
  </si>
  <si>
    <t>Indépendant mais n'a pas réalisé de profit</t>
  </si>
  <si>
    <t>Mai aikin kansa amma bai samu riba ba</t>
  </si>
  <si>
    <t>323. Do you know anyone who participated in the TSARI or other Mercy Corps programs in Tahoua?</t>
  </si>
  <si>
    <t>323. Connaissez-vous quelqu'un qui a participé au programme TSARI ou à d'autres programmes de Mercy Corp à Tahoua ?</t>
  </si>
  <si>
    <t>323. Ko ka san wani wanda ya shiga cikin shirin TSARI ko wasu shirye-shiryen Mercy Corp a Tahoua?</t>
  </si>
  <si>
    <t>pm_married</t>
  </si>
  <si>
    <t>52. Êtes-vous marié?</t>
  </si>
  <si>
    <t>52. Ko kana da aure?</t>
  </si>
  <si>
    <t>Apprenticeship</t>
  </si>
  <si>
    <t>Apprentissage</t>
  </si>
  <si>
    <t>Koyo</t>
  </si>
  <si>
    <t>361. Do you and members of your household ever disagree about any of these topics?</t>
  </si>
  <si>
    <t>361. Vous et votre conjoint êtes-vous déjà en désaccord sur ces sujets ?</t>
  </si>
  <si>
    <t>361. Ko kai da matarka kun taɓa samun saɓani game da waɗannan batutuwa?</t>
  </si>
  <si>
    <t>select_multiple potential_spouse</t>
  </si>
  <si>
    <t>pm_family_rel_spouse</t>
  </si>
  <si>
    <t>Please identify your spouse from the following list of female household members:</t>
  </si>
  <si>
    <t>Veuillez identifier votre conjoint à partir de la liste des membres féminins suivants du ménage :</t>
  </si>
  <si>
    <t>Da fatan za ka bayyana sunan matar ka daga cikin jerin sunayen ƴan gidan ku mata masu zuwa:</t>
  </si>
  <si>
    <t>pm_num_spouse_not_in_list</t>
  </si>
  <si>
    <t>How many spouse were not in the list?</t>
  </si>
  <si>
    <t>Combien de conjoints ne figuraient pas sur la liste ?</t>
  </si>
  <si>
    <t>Ma'aurata nawa ne babu su cikin jerin sunayen?</t>
  </si>
  <si>
    <t>pm_spouse_not_in_list</t>
  </si>
  <si>
    <t>Spouse not in list</t>
  </si>
  <si>
    <t>327. Suppose you instead want to travel to Libya, what documents would you need to bring with you to travel there legally?</t>
  </si>
  <si>
    <t>327. Supposons que vous vouliez plutôt vous rendre en Libye, quels documents devriez-vous apporter avec vous pour vous y rendre légalement ?</t>
  </si>
  <si>
    <t>327. A ce a maimakon haka kuna son tafiya Libya, waɗanne takardu za ku buƙaci kawo tare da ku don tafiya can bisa doka?</t>
  </si>
  <si>
    <t>pm_spouse_not_in_list_index</t>
  </si>
  <si>
    <t>328. If you want to travel to Nigeria to find work, how long can you work there without getting a formal work authorization (in months)?</t>
  </si>
  <si>
    <t>328. Si vous souhaitez vous rendre au Nigeria pour trouver du travail, combien de temps pouvez-vous y travailler sans obtenir une autorisation de travail formelle (en mois) ?</t>
  </si>
  <si>
    <t>328. Idan kuna son tafiya Najeriya don neman aiki, tsawon wane lokaci za ku iya yin aiki a can ba tare da samun izinin aiki na yau da kullun ba (a cikin watanni)?</t>
  </si>
  <si>
    <t>pm_spouse_o_name</t>
  </si>
  <si>
    <t>What is the name of spouse #${pm_spouse_not_in_list_index}?</t>
  </si>
  <si>
    <t>Quel est le nom du conjoint #${pm_spouse_not_in_list_index} ?</t>
  </si>
  <si>
    <t>Menene sunan matar #${pm_spouse_not_in_list_index}?</t>
  </si>
  <si>
    <t>364. Could you tell me your general feeling about each group of people is positive or negative on a scale of 0 to 10 where 0 is very negative and 10 is very positive</t>
  </si>
  <si>
    <t>364. Pourriez-vous me dire votre sentiment général sur chaque groupe de personnes s'il est positif ou négatif sur une échelle de 0 à 10 où 0 est très négatif et 10 est très positif</t>
  </si>
  <si>
    <t>364. Ko za ku iya gaya mini yanda kuke gani game da kowane gungun mutane, yana da kyau ko baya da kyau akan kuranga 0 zuwa 10 inda 0 ba shi da kyau sosai kuma 10 yana da inganci sosai.</t>
  </si>
  <si>
    <t>365. Followers of other religions</t>
  </si>
  <si>
    <t>365. Adeptes d'autres religions</t>
  </si>
  <si>
    <t>365. Mabiya wasu addinai</t>
  </si>
  <si>
    <t>employer</t>
  </si>
  <si>
    <t>Self-employed</t>
  </si>
  <si>
    <t>Travailleur indépendant</t>
  </si>
  <si>
    <t>Aikin-kai</t>
  </si>
  <si>
    <t>366. People of different ethnic groups</t>
  </si>
  <si>
    <t>366. Personnes de différents groupes ethniques</t>
  </si>
  <si>
    <t>366. Mutanen wasu kabilu daban</t>
  </si>
  <si>
    <t>367. Immigrants who come to Niger as foreign workers</t>
  </si>
  <si>
    <t>367. Les immigrés qui viennent au Niger en tant que travailleurs étrangers</t>
  </si>
  <si>
    <t>367. Baƙin haure masu zuwa Nijar a matsayin ma'aikata ƴan ƙasashen waje</t>
  </si>
  <si>
    <t>Employed by individual</t>
  </si>
  <si>
    <t>368. People of a different sect of Islam</t>
  </si>
  <si>
    <t>368. Les gens d'une autre secte de l'Islam</t>
  </si>
  <si>
    <t>Employé par un particulier</t>
  </si>
  <si>
    <t>368. Mabiya wasu ɗarikun musulunci</t>
  </si>
  <si>
    <t>Mutum wani mutum mai gida</t>
  </si>
  <si>
    <t>369. Imagine one of your daughters wanted to marry someone of a different religious faith, would you give them your permission?</t>
  </si>
  <si>
    <t>369. Imaginez qu'une de vos filles veuille épouser quelqu'un d'une confession religieuse différente, leur donneriez-vous votre permission ?</t>
  </si>
  <si>
    <t>369. Ku ƙaddara da wata ɗiyarku ta na son ta auri wani mai bin wani addini daban, za ku bada izininku?</t>
  </si>
  <si>
    <t>370. Imagine one of your sons wanted to marry someone of a different religious faith, would you give them your permission?</t>
  </si>
  <si>
    <t>370. Imaginez que l'un de vos fils veuille épouser quelqu'un d'une confession religieuse différente, leur donneriez-vous votre permission ?</t>
  </si>
  <si>
    <t>370. Ku ƙaddara da wani ɗanku ya na son ya auri wata ƴar addini daban, za ku bada izininku?</t>
  </si>
  <si>
    <t>371. Imagine one of your daughters wanted to marry someone of a different ethnic group, would you give them your permission?</t>
  </si>
  <si>
    <t>371. Imaginez qu'une de vos filles veuille épouser quelqu'un d'un groupe ethnique différent, leur donneriez-vous votre permission ?</t>
  </si>
  <si>
    <t>371. Ku ƙaddara da wata ɗiyarka ta son ta auri ɗan wata kabila daban, za ku bada izininku?</t>
  </si>
  <si>
    <t>Employed by private businesss</t>
  </si>
  <si>
    <t>Employé par des entreprises privées</t>
  </si>
  <si>
    <t>Yin aiki da kamfanoni masu zaman kansu</t>
  </si>
  <si>
    <t>372. Imagine one of your sons wanted to marry someone of a different ethnic group, would you give them your permission?</t>
  </si>
  <si>
    <t>372. Imaginez que l'un de vos fils veuille épouser quelqu'un d'un groupe ethnique différent, leur donneriez-vous votre permission ?</t>
  </si>
  <si>
    <t>372. Ku ƙaddara da wani ɗanku ya na son ya auri wani ɗan wata ƙabila daban, za ku bada izininku?</t>
  </si>
  <si>
    <t>373. I will read you three statements. Please tell me which of these statements is closest to your opinion: 
1) Democracy is preferable to any other kind of government 
2) In some circumstances a non-democratic government can be preferable 
3) For someone like me, it doesn't matter what kind of government we have</t>
  </si>
  <si>
    <t>373. Je vais vous lire trois déclarations. Veuillez me dire laquelle de ces déclarations est la plus proche de votre opinion :
1) La démocratie est préférable à tout autre type de gouvernement
2) Dans certaines circonstances, un gouvernement non démocratique peut être préférable
3) Pour quelqu'un comme moi, peu importe le type de gouvernement que nous avons</t>
  </si>
  <si>
    <t>373. 1) Tsarin dimoraɗiyya ta fi kowace irin tsari mulki
 2) A wani yanayi ana iya fifita gwamnatin da ba ta dimokraɗiyya ba
 3) Ga mai irina, ba ruwanmu da wace irin gwamnati muke da ita”.</t>
  </si>
  <si>
    <t>Employed by public sector</t>
  </si>
  <si>
    <t>Employé par le secteur public</t>
  </si>
  <si>
    <t>374. I will read you two statements. Which of the following statements is closest to your view? Choose Statement 1 or Statement 
 A government that enjoys the support of the people should be free to do whatever the people want, even if it is outside the law.
 The actions of any government, no matter how popular it is, must always follow the law.</t>
  </si>
  <si>
    <t>Ma'aikaci na gwamnati</t>
  </si>
  <si>
    <t>374. Je vais vous lire deux déclarations. Laquelle des déclarations suivantes est la plus proche de votre point de vue ? Choisissez la déclaration 1 ou la déclaration 
 Un gouvernement qui bénéficie du soutien du peuple devrait être libre de faire ce que le peuple veut, même si cela n'est pas prévu par la loi.
 Les actions de tout gouvernement, aussi populaire soit-il, doivent toujours respecter la loi.</t>
  </si>
  <si>
    <t>374. Zan karanta muku wasu maganganu guda biyu, a cikin waɗannan maganganu wanne ne ya fi kusa da ra'ayinku? Zabi Bayani na 1 ko Bayani na 
 Gwamnatin da ke samun goyon bayan al’umma tana da ƴancin yin duk abin da jama’a ke so, ko da ba bisa doka ba ne.
 Ayyukan kowane gwamnati komai farin jininta, dole ne ta bi doka.</t>
  </si>
  <si>
    <t>375. I will read you two statements. Which of the following statements is closest to your view? Choose Statement 1 or Statement 
 Using violence to accomplish your goals is never justified, no matter how worthy your cause
 It is sometime necessary to use violence in pursuit of a good cause.</t>
  </si>
  <si>
    <t>375. Je vais vous lire deux déclarations. Laquelle des déclarations suivantes est la plus proche de votre point de vue ? Choisissez la déclaration 1 ou la déclaration 
 Utiliser la violence pour atteindre vos objectifs n'est jamais justifié, quelle que soit la valeur de votre cause
 Il est parfois nécessaire de recourir à la violence dans la poursuite d'une bonne cause.</t>
  </si>
  <si>
    <t>375. Zan karanta muku maganganu guda biyu. A cikin wadannan maganganun wanne ne ya fi kusa da ra'ayin ku? Zabi Bayani na 1 ko Bayani na 
 Yin amfani da ƙarfi don cimma burinku ba zai taɓa zama daidai ba, komai cancantar dalilanku
 Wani lokaci ya zama dole a yi amfani da ƙarfi wajen neman manufa mai kyau.</t>
  </si>
  <si>
    <t>pm_spouse_o_age</t>
  </si>
  <si>
    <t>How old is ${pm_spouse_o_name}?</t>
  </si>
  <si>
    <t>Quel âge a ${pm_spouse_o_name} ?</t>
  </si>
  <si>
    <t>Shekarun ${pm_spouse_o_name} nawa2?</t>
  </si>
  <si>
    <t>331. How stressed are you about the following areas of your life?</t>
  </si>
  <si>
    <t>331. Dans quelle mesure êtes-vous stressé par les domaines suivants de votre vie ?</t>
  </si>
  <si>
    <t>331. Yaya damuwarku game da abubuwa na rayuwarku da zan zana?</t>
  </si>
  <si>
    <t>purpose</t>
  </si>
  <si>
    <t>For work</t>
  </si>
  <si>
    <t>Pour le travail</t>
  </si>
  <si>
    <t>Don aiki</t>
  </si>
  <si>
    <t>332. Your own health problems, illness</t>
  </si>
  <si>
    <t>332. Vos propres problèmes de santé</t>
  </si>
  <si>
    <t>332. Matsalolin lafiyar jikinku</t>
  </si>
  <si>
    <t>speedcheck_pm_fam_rel_end</t>
  </si>
  <si>
    <t>For social reasons (visit family/friends, attend ceremony)</t>
  </si>
  <si>
    <t>Pour des raisons sociales (visiter famille/amis, assister à une cérémonie)</t>
  </si>
  <si>
    <t>333. Problems at home and with relatives</t>
  </si>
  <si>
    <t>333. Problèmes dans le ménage et avec les proches</t>
  </si>
  <si>
    <t>333. Matsaloli na cikin gida da na dangi</t>
  </si>
  <si>
    <t>Don dalilai na zamantakewa (ziyarci dangi/abokai, halartar bikin)</t>
  </si>
  <si>
    <t>dur_pm_fam_rel</t>
  </si>
  <si>
    <t>334. Accidents and disasters</t>
  </si>
  <si>
    <t>334. Accidents et catastrophes</t>
  </si>
  <si>
    <t>334. Hatsari da bala'o'i</t>
  </si>
  <si>
    <t>Accompany/reunify with spouse</t>
  </si>
  <si>
    <t>335. Problems with people in other ethnic groups</t>
  </si>
  <si>
    <t>335. Problèmes avec les personnes d'autres groupes ethniques</t>
  </si>
  <si>
    <t>Accompagner/réunifier avec le conjoint</t>
  </si>
  <si>
    <t>335. Matsaloli da mutanen wasu kabilu daban</t>
  </si>
  <si>
    <t>Rakiya/sake haduwa da miji</t>
  </si>
  <si>
    <t>speedcheck_pm_loc_start</t>
  </si>
  <si>
    <t>336. Not enough money for basic needs (sucha as food and clothing)</t>
  </si>
  <si>
    <t>336. Pas assez d'argent pour les besoins de base (tels que la nourriture et les vêtements)</t>
  </si>
  <si>
    <t>336. Rashin isassun kuɗi don buƙatun asali (kamar abinci da sutura)</t>
  </si>
  <si>
    <t>pm_locations_note</t>
  </si>
  <si>
    <t>Now we'd like to ask you about your whereabouts.</t>
  </si>
  <si>
    <t>Nous aimerions maintenant vous demander où vous vous trouvez.</t>
  </si>
  <si>
    <t>Yanzu muna so mu tambaye ku game da inda kuke.</t>
  </si>
  <si>
    <t>For studies</t>
  </si>
  <si>
    <t>Pour les études</t>
  </si>
  <si>
    <t>Domin karatu</t>
  </si>
  <si>
    <t>51. Think back to the beginning of ${period_bl}, were you living at home in ${pm_home_location}?</t>
  </si>
  <si>
    <t>51. Repensez au début de ${period_french_bl}, étiez-vous chez vous à ${pm_home_location} ?</t>
  </si>
  <si>
    <t>51. Ku tunada watanni a farkon ${period_hausa_bl}, ko kana nan gida a garin ${pm_home_location}?</t>
  </si>
  <si>
    <t>53. Where were you living at this time?
  Enumerator: Is location in Niger?</t>
  </si>
  <si>
    <t>For medical reasons</t>
  </si>
  <si>
    <t>53. Où étiez-vous à cette époque ?
  Enquêteur : La localité est-elle au Niger ?</t>
  </si>
  <si>
    <t>Pour des raisons médicales</t>
  </si>
  <si>
    <t>53. A ina kake a wannan lokacin?
  Ɗan bincike : Ko wurin a cikin Nijar ne?</t>
  </si>
  <si>
    <t>Transit (on my way somewhere else)</t>
  </si>
  <si>
    <t>Transit (en route ailleurs)</t>
  </si>
  <si>
    <t>Tafiya (a kan hanya ta zuwa wani wuri)</t>
  </si>
  <si>
    <t>other</t>
  </si>
  <si>
    <t>autre</t>
  </si>
  <si>
    <t>363. Is ${hoh_roster_name} currently enrolled in school?</t>
  </si>
  <si>
    <t>363. Est-ce que ${hoh_roster_name} est actuellement inscrit à l'école ?</t>
  </si>
  <si>
    <t>363. Ko ${hoh_roster_name} yana yin lakwal a halin yanzu?</t>
  </si>
  <si>
    <t>364. What kind of school is ${hoh_roster_name} enrolled in?</t>
  </si>
  <si>
    <t>364. Dans quel type d'école est inscrit ${hoh_roster_name} ?</t>
  </si>
  <si>
    <t>364. Wace irin makaranta aka rubuta ${hoh_roster_name}?</t>
  </si>
  <si>
    <t>384. How much did you share with ${pm_mem_rel_out} (in CFA)?</t>
  </si>
  <si>
    <t>384. Combien avez-vous donné à ${pm_mem_rel_out} (en CFA)?</t>
  </si>
  <si>
    <t>384. Nawa kuka ba ${pm_mem_rel_out} (a cikin CFA)?</t>
  </si>
  <si>
    <t>stay</t>
  </si>
  <si>
    <t>Home (owned by own household)</t>
  </si>
  <si>
    <t>Maison (appartenant à son propre ménage)</t>
  </si>
  <si>
    <t>Gida (mallakar gidan kansa)</t>
  </si>
  <si>
    <t>58. Other, specify:</t>
  </si>
  <si>
    <t>58. Autre précisez:</t>
  </si>
  <si>
    <t>58. Wani daban baiyana:</t>
  </si>
  <si>
    <t>368. Is ${hoh_roster_name} married?</t>
  </si>
  <si>
    <t>368. Est-ce que ${hoh_roster_name} est marié ?</t>
  </si>
  <si>
    <t>368. Ko ${hoh_roster_name} yanada aure?</t>
  </si>
  <si>
    <t>Home of friends/familiy (no cost)</t>
  </si>
  <si>
    <t>Maison d'amis/famille (sans frais)</t>
  </si>
  <si>
    <t>Gidan abokai/iyali (ba farashi)</t>
  </si>
  <si>
    <t>387. How much do you think they spent on [...]?</t>
  </si>
  <si>
    <t xml:space="preserve">387. </t>
  </si>
  <si>
    <t>388. Food</t>
  </si>
  <si>
    <t xml:space="preserve">388. </t>
  </si>
  <si>
    <t>389. Other household expenditure</t>
  </si>
  <si>
    <t xml:space="preserve">389. </t>
  </si>
  <si>
    <t>Rented accomodation alone</t>
  </si>
  <si>
    <t>Logement loué seul</t>
  </si>
  <si>
    <t>Gidan haya shi kaɗai</t>
  </si>
  <si>
    <t>345. The next set of questions are about your opinions regarding the roles that women and men play</t>
  </si>
  <si>
    <t>345. La prochaine série de questions porte sur vos opinions concernant les rôles que jouent les femmes et les hommes</t>
  </si>
  <si>
    <t>345. Tambayoyi na gaba sun ta'allaƙa ne da ra'ayoyin ku game da rawar da mata da maza suke takawa.</t>
  </si>
  <si>
    <t>346. How often, if ever do you talk about the role of women in society with other people?</t>
  </si>
  <si>
    <t>346. À quelle fréquence, si jamais cela arrive, parlez-vous du rôle des femmes dans la société avec d'autres personnes ?</t>
  </si>
  <si>
    <t>346. Sau nawa, idan ya na faruwa, kuke yin magana game da taka rawan mata a cikin al'umma tare da sauran mutane?</t>
  </si>
  <si>
    <t>Rented accomodation with others</t>
  </si>
  <si>
    <t>Logement en location avec d'autres</t>
  </si>
  <si>
    <t>Hayar gida tare da wasu</t>
  </si>
  <si>
    <t>347. In your opinion, how much influence a wife should have over the following decisions within a couple?</t>
  </si>
  <si>
    <t>347. Selon vous, quelle influence une épouse devrait-elle avoir sur les décisions suivantes au sein d'un couple ?</t>
  </si>
  <si>
    <t>347. A ra'ayinka, wane tasiri mace ya kamata ta yi bisa yanke shawarwari da zan zana a tsakanin ta da mijinta?</t>
  </si>
  <si>
    <t>348. Daily household expenses (Less than 500 CFA)</t>
  </si>
  <si>
    <t>348. Dépenses quotidiennes du ménage (Moins de 500 CFA)</t>
  </si>
  <si>
    <t>348. Kashe kashen kuɗin gida na yau da kullun ( Kasa da dala ɗari)</t>
  </si>
  <si>
    <t>349. Household purchases worth more than 500 CFA</t>
  </si>
  <si>
    <t>349. Achats des ménages d'une valeur supérieure à 500 CFA</t>
  </si>
  <si>
    <t>349. Sayayyar gida na sama da ɗari</t>
  </si>
  <si>
    <t>Street</t>
  </si>
  <si>
    <t>Rue</t>
  </si>
  <si>
    <t>Titi</t>
  </si>
  <si>
    <t>59. Ko kana zaune a wurin na da a yanzu?</t>
  </si>
  <si>
    <t>60. Where are you living?
 Enumerator: Is location in Niger?</t>
  </si>
  <si>
    <t>60. Où habites-tu?
  Énquêteur: le lieu est-il au Niger?</t>
  </si>
  <si>
    <t>60. Ina kake zaune?
  Dan bincike: Ko wurin a Nijar ne?</t>
  </si>
  <si>
    <t>Shelter (mosque, association)</t>
  </si>
  <si>
    <t>Abri (mosquée, association)</t>
  </si>
  <si>
    <t>Matsuguni (masallaci, ƙungiya)</t>
  </si>
  <si>
    <t>Hotel</t>
  </si>
  <si>
    <t>Hôtel</t>
  </si>
  <si>
    <t>Otal</t>
  </si>
  <si>
    <t>63. Enumerator: Enter other country</t>
  </si>
  <si>
    <t>63. Enquêteur : Entrez un autre pays</t>
  </si>
  <si>
    <t>63. Ɗan bincike: Shigar da wata ƙasa</t>
  </si>
  <si>
    <t>Employer provided room</t>
  </si>
  <si>
    <t>Chambre fournie par l'employeur</t>
  </si>
  <si>
    <t>Maigida ya ba da daki</t>
  </si>
  <si>
    <t>399. ENUMERATOR: The total amount spent on the above categories (${pm_cash_shared_out_tot}) is not equal to the amount the respondent shared (${pm_cash_share_out_amt}). Please return and correct responses.</t>
  </si>
  <si>
    <t xml:space="preserve">399. </t>
  </si>
  <si>
    <t>376. How much is ${hoh_livestock_name} worth in CFA?</t>
  </si>
  <si>
    <t>376. Combien vaut ${hoh_livestock_name} en CFA ?</t>
  </si>
  <si>
    <t>376. Nawa ne kuɗin ${hoh_livestock_name} a sefa?</t>
  </si>
  <si>
    <t>65. Other, specify:</t>
  </si>
  <si>
    <t>65. Autre précisez:</t>
  </si>
  <si>
    <t>65. Wani daba baiyana:</t>
  </si>
  <si>
    <t>357. Things that happen in the community?</t>
  </si>
  <si>
    <t>357. Des choses qui se passent dans la communauté ?</t>
  </si>
  <si>
    <t>357. Abubuwan da ke faruwa a cikin al'umma?</t>
  </si>
  <si>
    <t>358. Who to vote for in local elections?</t>
  </si>
  <si>
    <t>358. Pour qui voter aux élections municipales ?</t>
  </si>
  <si>
    <t>358. Wanene za'a zaɓa a zaɓen ƙananan hukumomi?</t>
  </si>
  <si>
    <t>359. How to you invest your money such as whether to improve your house</t>
  </si>
  <si>
    <t>359. Comment investir votre argent, par exemple pour améliorer votre maison</t>
  </si>
  <si>
    <t>359. adda za ku kashe kuɗin ku, kamar gyaran gidanku</t>
  </si>
  <si>
    <t>360. Family planning (when to have children)</t>
  </si>
  <si>
    <t>360. Planification familiale (quand avoir des enfants)</t>
  </si>
  <si>
    <t>360. Tsarin iyali (lokacin ɗaukan ciki)</t>
  </si>
  <si>
    <t>361. Household members decisions to migrate</t>
  </si>
  <si>
    <t>361. Planification familiale (quand avoir des enfants)</t>
  </si>
  <si>
    <t>361. Tsarin iyali (lokacin ɗaukan ciki)</t>
  </si>
  <si>
    <t>362. Do you and members of your household ever disagree about any of these topics?</t>
  </si>
  <si>
    <t>362. Vous et votre conjoint êtes-vous déjà en désaccord sur ces sujets ?</t>
  </si>
  <si>
    <t>362. Ko kai da matarka kun taɓa samun saɓani game da waɗannan batutuwa?</t>
  </si>
  <si>
    <t>363. Do these conversations ever get contentious?</t>
  </si>
  <si>
    <t>363. Ces conversations deviennent-elles parfois controversées ?</t>
  </si>
  <si>
    <t>363. Ko waɗannan hirarrakin sun taɓa zama sabani?</t>
  </si>
  <si>
    <t>382. Specify other reason</t>
  </si>
  <si>
    <t>382. Précisez une autre raison</t>
  </si>
  <si>
    <t>382. Baiyana wani dalili daban</t>
  </si>
  <si>
    <t>407. Food</t>
  </si>
  <si>
    <t xml:space="preserve">407. </t>
  </si>
  <si>
    <t>408. Other household expenditure</t>
  </si>
  <si>
    <t xml:space="preserve">408. </t>
  </si>
  <si>
    <t>409. Investments in agriculture and/or business</t>
  </si>
  <si>
    <t xml:space="preserve">409. </t>
  </si>
  <si>
    <t>410. Savings</t>
  </si>
  <si>
    <t xml:space="preserve">410. </t>
  </si>
  <si>
    <t>364. Now I wil ask you about your opinions about the type of society you want to live in.</t>
  </si>
  <si>
    <t>364. Maintenant, je vais vous demander votre opinion sur le type de société dans laquelle vous souhaitez vivre.</t>
  </si>
  <si>
    <t>364. Yanzu zan tambaye ra'ayinku game da wasu mutane daban da ku, da kuma irin al'ummar da kuke son rayuwa a ciki.</t>
  </si>
  <si>
    <t>365. Could you tell me your general feeling about each group of people is positive or negative on a scale of 0 to 10 where 0 is very negative and 10 is very positive</t>
  </si>
  <si>
    <t>365. Pourriez-vous me dire votre sentiment général sur chaque groupe de personnes s'il est positif ou négatif sur une échelle de 0 à 10 où 0 est très négatif et 10 est très positif</t>
  </si>
  <si>
    <t>365. Ko za ku iya gaya mini yanda kuke gani game da kowane gungun mutane, yana da kyau ko baya da kyau akan kuranga 0 zuwa 10 inda 0 ba shi da kyau sosai kuma 10 yana da inganci sosai.</t>
  </si>
  <si>
    <t>select_one yesnodk</t>
  </si>
  <si>
    <t>pm_shm_home</t>
  </si>
  <si>
    <t>66. Est-ce que ${shm_name} vit actuellement dans votre ménage?</t>
  </si>
  <si>
    <t>66. Ko ${shm_name} yana zaune a gidan ku a halin yanzu?</t>
  </si>
  <si>
    <t>pm_shm_in_niger</t>
  </si>
  <si>
    <t>67. Où habites-tu?
  Énquêteur: le lieu est-il au Niger?</t>
  </si>
  <si>
    <t>67. Ina kake zaune?
  Dan bincike: Ko wurin a Nijar ne?</t>
  </si>
  <si>
    <t>pm_shm_region</t>
  </si>
  <si>
    <t>pm_shm_country</t>
  </si>
  <si>
    <t>pm_shm_country_o</t>
  </si>
  <si>
    <t>pm_shm_town</t>
  </si>
  <si>
    <t>pm_shm_town_o</t>
  </si>
  <si>
    <t>pm_shm_home_2w</t>
  </si>
  <si>
    <t>73. Est-ce que ${shm_name} sera dans le ménage au cours des deux prochaines semaines ?</t>
  </si>
  <si>
    <t>73. Ko ${shm_name} zai kasance a gidan nan a cikin sati biyu masu zuwa?</t>
  </si>
  <si>
    <t>select_one members</t>
  </si>
  <si>
    <t>pm_alt_shm</t>
  </si>
  <si>
    <t>If the ${shm_name} moved out of the household, who would be in the best position to answer the Secondary Household Member (SHM) survey?</t>
  </si>
  <si>
    <t>Si ${shm_name} quittait le ménage, qui serait le mieux placé pour répondre à l'enquête du second membre du ménage(SHM) ?</t>
  </si>
  <si>
    <t>Idan ${shm_name} ba ya gidan, wa zai fi dacewa ya bada amsa ga binciken ɗan gida na biyu (SHM)?</t>
  </si>
  <si>
    <t>pm_hh_contact</t>
  </si>
  <si>
    <t>speedcheck_pm_loc_end</t>
  </si>
  <si>
    <t>376. I will read you two statements. Which of the following statements is closest to your view? Choose Statement 1 or Statement 
 Using violence to accomplish your goals is never justified, no matter how worthy your cause
 It is sometime necessary to use violence in pursuit of a good cause.</t>
  </si>
  <si>
    <t>376. Je vais vous lire deux déclarations. Laquelle des déclarations suivantes est la plus proche de votre point de vue ? Choisissez la déclaration 1 ou la déclaration 
 Utiliser la violence pour atteindre vos objectifs n'est jamais justifié, quelle que soit la valeur de votre cause
 Il est parfois nécessaire de recourir à la violence dans la poursuite d'une bonne cause.</t>
  </si>
  <si>
    <t>376. Zan karanta muku maganganu guda biyu. A cikin wadannan maganganun wanne ne ya fi kusa da ra'ayin ku? Zabi Bayani na 1 ko Bayani na 
 Yin amfani da ƙarfi don cimma burinku ba zai taɓa zama daidai ba, komai cancantar dalilanku
 Wani lokaci ya zama dole a yi amfani da ƙarfi wajen neman manufa mai kyau.</t>
  </si>
  <si>
    <t>394. How much did your household spend on the following types of expenses during the last agricultural season in CFA?</t>
  </si>
  <si>
    <t>394. Combien votre ménage a-t-il dépensé pour les types de dépenses suivantes au cours de la dernière saison agricole (en CFA) ?</t>
  </si>
  <si>
    <t>394. Nawa ne gidanku ya kashe akan waɗannan abubuwan a lokacin noman da ya wuce (a sefa)?</t>
  </si>
  <si>
    <t>388. How many ${hoh_livestock_name} does your household own?</t>
  </si>
  <si>
    <t>388. Combien de ${hoh_livestock_name} votre ménage possède-t-il ?</t>
  </si>
  <si>
    <t>388. ${hoh_livestock_name} Nawa gidan ku ya mallaka ?</t>
  </si>
  <si>
    <t>419. You mentioned that you shared ${pm_cash_share_amt}, which is greater than the amount you received (${pm_cash_amt}). Please reassess your responses.</t>
  </si>
  <si>
    <t>419. Vous avez mentionné que vous aviez partagé ${pm_cash_share_amt}, ce qui est supérieur au montant que vous avez gardé pour vous (${pm_cash_amt}). Veuillez revoir vos réponses.</t>
  </si>
  <si>
    <t>419. Kun ambaci cewa kun raba ${pm_cash_share_amt}, wanda ya fi yawan kuɗin da kuka ajiye don kanku (${pm_cash_amt}). Da fatan za ku sake duba amsarku.</t>
  </si>
  <si>
    <t>397. Renting machines and tools (i.e. for plowing or spraying)</t>
  </si>
  <si>
    <t>397. Location de machines et d'outils (c'est-à-dire pour labourer ou pulvériser)</t>
  </si>
  <si>
    <t>397. Hayar injina da kayan aiki ( don noma ko feshi)</t>
  </si>
  <si>
    <t>420. With the money you kept for yourself (${pm_cash_resid}), how much did you use for each of the following:</t>
  </si>
  <si>
    <t>420. Avec l'argent que vous avez gardé pour vous (${pm_cash_resid}) , combien avez-vous utilisé pour chacun des éléments suivants:</t>
  </si>
  <si>
    <t>420. Game da Kuɗin da kuka ajiye wa kanku (${pm_cash_resid}), nawa kuka yi amfani kan kowane ɗayan cikin abubuwa nan masu zuwa:</t>
  </si>
  <si>
    <t>dur_pm_loc</t>
  </si>
  <si>
    <t>377. We would now like to ask you a few questions about a cash transfer you may have recently received from Mercy Corps</t>
  </si>
  <si>
    <t>377. Nous aimerions maintenant vous poser quelques questions sur un transfert en espèces que vous avez peut-être récemment reçu de Mercy Corps.</t>
  </si>
  <si>
    <t>377. Yanzu muna son mu muku wasu ƴan tambayoyi game da wani aiken kuɗi da wataƙila kuka samu a cikin kwanan nan daga Mercy Corps</t>
  </si>
  <si>
    <t>378. How much cash in CFA did you receive from Mercy Corps in the last distribution?</t>
  </si>
  <si>
    <t>378. Combien avez-vous reçu en CFA de Mercy Corps au dernier transfert?</t>
  </si>
  <si>
    <t>378. Nawa kuka samu daga Mercy corps a zubin ƙarshe?</t>
  </si>
  <si>
    <t>423. Investments in agriculture and/or business</t>
  </si>
  <si>
    <t xml:space="preserve">423. </t>
  </si>
  <si>
    <t>pm_mig_concerns</t>
  </si>
  <si>
    <t>379. Was the amount you received equal to, less than, or more than the amount you were told you would receive?</t>
  </si>
  <si>
    <t>379. Le montant que vous avez reçu était égal, inférieur ou supérieur au montant promis?</t>
  </si>
  <si>
    <t>379. Ko kuɗin da kuka samu daidai yake ko ƙasa ko yahi wanda aka muku alƙawali?</t>
  </si>
  <si>
    <t>speedcheck_pm_migconcerns_start</t>
  </si>
  <si>
    <t>380. You mentioned that this Mercy Corps program gave you ${pm_cash_amt} CFA for the last cash transfer.</t>
  </si>
  <si>
    <t>380. Vous avez mentionné que ce programme Mercy Corps vous a donné ${pm_cash_amt} CFA pour le dernier transfert d'argent.</t>
  </si>
  <si>
    <t>380. Kun ce wannan shirin na Mercy corps ya muku zubin ${pm_cash_amt} CFA a zubin ƙarshe.</t>
  </si>
  <si>
    <t>pm_mig_concerns_note</t>
  </si>
  <si>
    <t>75. You told us when we visited you in ${period_bl} that you were interested in migrating. In the past six months, as you considered whether to migrate, were you very concerned that:</t>
  </si>
  <si>
    <t>75. Lors de notre visite en ${period_french_bl}, vous nous avez dit que vous souhaitiez migrer. Au cours des six derniers mois, quand vous pensez à la migration, vous sentez vous préoccupé par les questions suivantes :</t>
  </si>
  <si>
    <t>75. Lokacin da muka ziyarce ku a ${period_hausa_bl} kun ce mana kuna sha'awar zuwa wurin biɗa[baseline period]. A cikin watanni shida da suka gabata, yayin da kuke tunanin ko za ku je biɗa, ko kun damu da:</t>
  </si>
  <si>
    <t>pm_mig_concerns_funds</t>
  </si>
  <si>
    <t>paytype</t>
  </si>
  <si>
    <t>Cash</t>
  </si>
  <si>
    <t>Especes</t>
  </si>
  <si>
    <t>Kuɗi fari</t>
  </si>
  <si>
    <t>pm_mig_concerns_cashdelay</t>
  </si>
  <si>
    <t>77. you thought you would have enough funds, but couldn’t access the cash you needed to migrate in time to travel</t>
  </si>
  <si>
    <t>77. vous pensiez avoir suffisamment de fonds, mais vous n’avez pas pu accéder à l’argent dont vous aviez besoin pour migrer à temps.</t>
  </si>
  <si>
    <t>77. Kun yi tunanin za ku samu isassun kuɗi, amma ba ku samun dama ba kuɗin suka shiga hannu a lokacin tafiyar.</t>
  </si>
  <si>
    <t>pm_mig_concerns_fam</t>
  </si>
  <si>
    <t>In-kind</t>
  </si>
  <si>
    <t>Nature</t>
  </si>
  <si>
    <t>Wani kaya</t>
  </si>
  <si>
    <t>430. Ceremonies</t>
  </si>
  <si>
    <t xml:space="preserve">430. </t>
  </si>
  <si>
    <t>431. Other</t>
  </si>
  <si>
    <t xml:space="preserve">431. </t>
  </si>
  <si>
    <t>pm_mig_concerns_comm</t>
  </si>
  <si>
    <t>79. Al'ummar yankinku ba za su goyi bayan sha'awarar ka na zuwa biɗa ba</t>
  </si>
  <si>
    <t>pm_mig_concerns_dangroute</t>
  </si>
  <si>
    <t>80. it would be dangerous for you on the route</t>
  </si>
  <si>
    <t>80. ce serait dangereux pour vous sur la route</t>
  </si>
  <si>
    <t>80. Zai iya zame muku haɗari a kan hanya</t>
  </si>
  <si>
    <t>benefits</t>
  </si>
  <si>
    <t>Housing</t>
  </si>
  <si>
    <t>Logement</t>
  </si>
  <si>
    <t>pm_mig_concerns_dang</t>
  </si>
  <si>
    <t>Gidaje</t>
  </si>
  <si>
    <t>81. it would be dangerous for you at your preferred destination</t>
  </si>
  <si>
    <t>81. ce serait dangereux pour vous à votre destination préférée</t>
  </si>
  <si>
    <t>81. Zai iya zama hadari gare ku a wurin da kuka fi so</t>
  </si>
  <si>
    <t>434. Did the assistance you received from Mercy Corps allow you to spend money on something you normally would not have spent money on?</t>
  </si>
  <si>
    <t>434. L'assistance que vous avez reçue du Mercy Corps vous a permis de dépenser de l'argent pour quelque chose sur lequel vous n'auriez normalement pas dépensé de l'argent?</t>
  </si>
  <si>
    <t>434. Ko taimakon da kuka samu daga Mercy Corps ya baku damar kashe kuɗi a kan abinda baku yi niyyar kashe kudi ba?</t>
  </si>
  <si>
    <t>pm_mig_concerns_borderclosed</t>
  </si>
  <si>
    <t>82. the border would be closed and I would not be able to leave Niger</t>
  </si>
  <si>
    <t>82. la frontière serait fermée et je ne pourrais pas quitter le Niger</t>
  </si>
  <si>
    <t>82. Za a rufe iyaka, Ba zan iya barin Nijar ba</t>
  </si>
  <si>
    <t>Food</t>
  </si>
  <si>
    <t>Nourriture</t>
  </si>
  <si>
    <t>Abinci</t>
  </si>
  <si>
    <t>pm_mig_concerns_housingwork</t>
  </si>
  <si>
    <t>83. Ba za ku iya samun wurin zama ko aiki ba a wurin da kuka fi so.</t>
  </si>
  <si>
    <t>Phone Credit</t>
  </si>
  <si>
    <t>Crédit téléphonique</t>
  </si>
  <si>
    <t>Kuɗin kira/Kiredi</t>
  </si>
  <si>
    <t>pm_mig_concerns_foodsec</t>
  </si>
  <si>
    <t>84. Ƴan gidanku ba za su samu isasshen abinci ba idan babu kai a Tahoua.</t>
  </si>
  <si>
    <t>pm_mig_concerns_workhome</t>
  </si>
  <si>
    <t>85. Ƴan gidan ku ba za su samu isassun mutanen da za su yi aiki ba a Tahoua idan ba ka nan</t>
  </si>
  <si>
    <t>392. Savings</t>
  </si>
  <si>
    <t>392. Épargne</t>
  </si>
  <si>
    <t>392. Ajiya</t>
  </si>
  <si>
    <t>pm_mig_concerns_fam_object</t>
  </si>
  <si>
    <t>86. Did your family actually object to your potential migration?</t>
  </si>
  <si>
    <t>86. Votre famille s’est-elle réellement opposée à votre éventuelle migration ?</t>
  </si>
  <si>
    <t>86. Ko lalle da gaske ƴan gidan ku sun ƙi amincewa da zuwa biɗar ka ?</t>
  </si>
  <si>
    <t>select_multiple concerns</t>
  </si>
  <si>
    <t>pm_mig_concern_fam_why</t>
  </si>
  <si>
    <t>87. Why did they object to this decision?</t>
  </si>
  <si>
    <t>87. Pourquoi se sont-ils opposés à cette décision ?</t>
  </si>
  <si>
    <t>87. Me ya sa suka ƙi wannan shawarar?</t>
  </si>
  <si>
    <t>pm_mig_concern_fam_why_o</t>
  </si>
  <si>
    <t>88. Other, specify:</t>
  </si>
  <si>
    <t>88. Autre précisez:</t>
  </si>
  <si>
    <t>88. Wani daban, baiyana:</t>
  </si>
  <si>
    <t>select_multiple who_concerned_fam</t>
  </si>
  <si>
    <t>pm_mig_concern_fam_who</t>
  </si>
  <si>
    <t>89. Who in your family was most concerned?</t>
  </si>
  <si>
    <t>89. Qui dans votre famille était le plus inquiet ?</t>
  </si>
  <si>
    <t>89. Wanene ya fi damuwa a cikin gidan ku?</t>
  </si>
  <si>
    <t>select_multiple who_concerned_comm</t>
  </si>
  <si>
    <t>pm_mig_concern_comm_who</t>
  </si>
  <si>
    <t>pm_mig_concern_comm_who_o</t>
  </si>
  <si>
    <t>91. Other, specify:</t>
  </si>
  <si>
    <t>91. Autre précisez:</t>
  </si>
  <si>
    <t>91. Wani daban, baiyana:</t>
  </si>
  <si>
    <t>experience</t>
  </si>
  <si>
    <t>No did not experience</t>
  </si>
  <si>
    <t>Non je n'ai pas fait l'expérience</t>
  </si>
  <si>
    <t>A'a ban taɓa godawa ba</t>
  </si>
  <si>
    <t>speedcheck_pm_migconcerns_end</t>
  </si>
  <si>
    <t>399. Other</t>
  </si>
  <si>
    <t>399. Autres</t>
  </si>
  <si>
    <t>399. Wasu</t>
  </si>
  <si>
    <t>410. Renting machines and tools (i.e. for plowing or spraying)</t>
  </si>
  <si>
    <t>410. Location de machines et d'outils (c'est-à-dire pour labourer ou pulvériser)</t>
  </si>
  <si>
    <t>410. Hayar injina da kayan aiki ( don noma ko feshi)</t>
  </si>
  <si>
    <t>411. Water</t>
  </si>
  <si>
    <t>411. Eau</t>
  </si>
  <si>
    <t>411. Ruwa</t>
  </si>
  <si>
    <t>dur_pm_migconcerns</t>
  </si>
  <si>
    <t>Threatened</t>
  </si>
  <si>
    <t>Menacé</t>
  </si>
  <si>
    <t>Barazana</t>
  </si>
  <si>
    <t>400. ENUMERATOR: The total amount spent on the above categories (${pm_cash_shared_out_tot}) is not equal to the amount the respondent shared (${pm_cash_share_out_amt}). Please return and correct responses.</t>
  </si>
  <si>
    <t xml:space="preserve">400. </t>
  </si>
  <si>
    <t>401. Did you share information you learned in the PPM program with people outside your household?</t>
  </si>
  <si>
    <t>401. Avez-vous partagé les informations que vous avez apprises dans le cadre du programme PPM avec des personnes extérieures à votre ménage ?</t>
  </si>
  <si>
    <t>401. Ko ka bada bayanin da ka koya a cikin shirin PPM tare da mutanen da ke wajen gidanku?</t>
  </si>
  <si>
    <t>speedcheck_pm_pastmig_start</t>
  </si>
  <si>
    <t>402. What information did you share with them?</t>
  </si>
  <si>
    <t>402. Quelles informations avez-vous partagées avec eux ?</t>
  </si>
  <si>
    <t>402. Wane bayani ka ba su?</t>
  </si>
  <si>
    <t>414. Think about a typical week during the last agricultural season. How many days were people working in your fields? This includes work by people who are members of your household and those who are not members of your household.</t>
  </si>
  <si>
    <t>414. Pensez à une semaine typique au cours de la dernière saison agricole. Combien de jours les gens ont-ils travaillé dans vos champs par semaine ? Cela inclut le travail des personnes qui sont membres de votre ménage et celles qui ne le sont pas.</t>
  </si>
  <si>
    <t>414. Ku tuna da mako guda na lokacin damana ta ƙarshe. Kwanaki nawa mutane suke aiki a gonkinku a cikin kowane sati? Wannan ya haɗa da aikin mutanen da ke cikin gidan ku da waɗanda ba 'yan gidan ku ba ne.</t>
  </si>
  <si>
    <t>Experienced</t>
  </si>
  <si>
    <t>Vécu</t>
  </si>
  <si>
    <t>Kwarewa</t>
  </si>
  <si>
    <t>438. A household is a group of people, related or unrelated, who live together in the same housing, pool their resources together, share their meals and recognize the authority of the same one person who is the head of household.</t>
  </si>
  <si>
    <t>438. Un ménage est l’ensemble des personnes apparentées ou non qui vivent habituellement dans un même logement, mettent en commun leurs ressources, partagent leurs repas, et reconnaissent l’autorité d’une seule et même personne appelée chef de ménage.</t>
  </si>
  <si>
    <t>438. Gida shine mutanen da ko dangi ko a'a wanda suke rayuwa cikin gida guda, sun sa dukiyar su tare, suna cin abinci tare, kuma sun yarda da shugabancin mutum ɗaya wanda a ke ce ma mai gida.</t>
  </si>
  <si>
    <t>speedcheck_pm_reportlocs_start</t>
  </si>
  <si>
    <t>403. Did you share the cash with anyone within the Household?</t>
  </si>
  <si>
    <t>403. Avez-vous partagé l'argent avec quelqu'un au sein du ménage ?</t>
  </si>
  <si>
    <t>403. Ko kun raba kuɗin tare da kowa a cikin Gidan?</t>
  </si>
  <si>
    <t>pm_prev_locations</t>
  </si>
  <si>
    <t>404. Who did you share with?</t>
  </si>
  <si>
    <t>404. Avec qui avez-vous partagé l'argent?</t>
  </si>
  <si>
    <t>404. Wanene kuka ba wannan kudin?</t>
  </si>
  <si>
    <t>415. Can you estimate how many days ${hoh_labor_name} worked in field?</t>
  </si>
  <si>
    <t>415. Pouvez-vous estimer le nombre de jours que ${hoh_labor_name} a travaillé sur le terrain ?</t>
  </si>
  <si>
    <t>415. Za ka iya misalta kwanaki nawa ne ${hoh_labor_name} yayi aiki a cikin gonar?</t>
  </si>
  <si>
    <t>416. Now we'll ask about income generating activity from animal husbandry in the past three months</t>
  </si>
  <si>
    <t>416. Maintenant, nous allons poser des questions sur l'activité génératrice de revenus liée à l'élevage au cours des trois derniers mois</t>
  </si>
  <si>
    <t>416. Yanzu za mu yi hira game da ayyukan samar da kuɗaɗen shiga na kiwo a cikin watanni uku da suka gabata</t>
  </si>
  <si>
    <t>pm_prev_locations_count</t>
  </si>
  <si>
    <t>405. How much did you share with ${pm_mem_rel_in} (in CFA)?</t>
  </si>
  <si>
    <t>405. Combien avez-vous donné à ${pm_mem_rel_in} (en CFA)?</t>
  </si>
  <si>
    <t>405. Nawa kuka ba ${pm_mem_rel_in} (a cikin CFA)?</t>
  </si>
  <si>
    <t>pm_prev_location1</t>
  </si>
  <si>
    <t>406. With the money you shared with ${pm_mem_rel_in} (${pm_cash_share_in_amt}), what do you think they spent it on?</t>
  </si>
  <si>
    <t>406. Avec l'argent que vous avez partagé avec ${pm_mem_rel_in} (${pm_cash_share_in_amt}), en quoi pensez-vous qu'ils l'ont dépensé ?</t>
  </si>
  <si>
    <t>406. Da kuɗin da ka raba da ${pm_mem_rel_in} (${pm_cash_share_in_amt}), a kan me kake ganin suka kashe kuɗin?</t>
  </si>
  <si>
    <t>pm_prev_location2</t>
  </si>
  <si>
    <t>407. Other, specify:</t>
  </si>
  <si>
    <t>407. Autre précisez:</t>
  </si>
  <si>
    <t>407. Sauran, bayar da cikakkun bayanai:</t>
  </si>
  <si>
    <t>418. How many days did each laborer work in your fields?</t>
  </si>
  <si>
    <t>418. Combien de jours chaque ouvrier a-t-il travaillé dans vos champs ?</t>
  </si>
  <si>
    <t>418. Kwanaki nawa kowane ma'aikaci yayi aiki a gonakinku?</t>
  </si>
  <si>
    <t>pm_prev_location3</t>
  </si>
  <si>
    <t>408. Food</t>
  </si>
  <si>
    <t>408. Nourriture</t>
  </si>
  <si>
    <t>408. Abinci</t>
  </si>
  <si>
    <t>pm_prev_location4</t>
  </si>
  <si>
    <t>409. Other household expenditure</t>
  </si>
  <si>
    <t>409. Autres dépenses des ménages</t>
  </si>
  <si>
    <t>409. Sauran kuɗaɗen gida</t>
  </si>
  <si>
    <t>pm_prev_location5</t>
  </si>
  <si>
    <t>410. Investments in agriculture and/or business</t>
  </si>
  <si>
    <t>410. Investissements dans l'agriculture et/ou les affaires</t>
  </si>
  <si>
    <t>410. Zuba jari a harkar noma da/ko kasuwanci</t>
  </si>
  <si>
    <t>pm_leave</t>
  </si>
  <si>
    <t>83. Now please think about the time since ${period}. Did you spend at least one week (7 days) anywhere other than ${pm_loc_beg_initial} since ${period}?</t>
  </si>
  <si>
    <t>83. Maintenant, pensez au temps passé depuis ${period}. Avez-vous passé au moins une semaine (7 jours) ailleurs que ${pm_loc_beg_initial} depuis ${period_french} ?</t>
  </si>
  <si>
    <t>83. Yanzu da fatan za a yi tunani game da lokaci tun ${period}. Shin kun kashe aƙalla mako ɗaya (kwana 7) a ko'ina ban da ${pm_loc_beg_initial} tun daga ${period_hausa}?</t>
  </si>
  <si>
    <t>health</t>
  </si>
  <si>
    <t>Very poor</t>
  </si>
  <si>
    <t>Très faible</t>
  </si>
  <si>
    <t>Babu kyau</t>
  </si>
  <si>
    <t>412. Debt repayment</t>
  </si>
  <si>
    <t>412. Remboursement des dettes</t>
  </si>
  <si>
    <t>412. Biyan bashi</t>
  </si>
  <si>
    <t>pm_locations_new</t>
  </si>
  <si>
    <t>84. Please list all of the places you spent more than one week during ${period} other than ${pm_loc_beg_initial}. How many places?</t>
  </si>
  <si>
    <t>84. Veuillez énumérer tous les lieux où vous avez passé plus d'une semaine entre ${period_french} autre que ${pm_loc_beg_initial_fr}. Combien de lieux ?</t>
  </si>
  <si>
    <t>84. Ko za ku gaya mini duk wuraren da kuka zauna sama da sati guda a lokacin ${period_hausa} da ba ${pm_loc_beg_initial_hausa}. Wurare nawa?</t>
  </si>
  <si>
    <t>pm_locations</t>
  </si>
  <si>
    <t>Poor</t>
  </si>
  <si>
    <t>Faible</t>
  </si>
  <si>
    <t>Babu kyau sosai</t>
  </si>
  <si>
    <t>414. Education/Training payments</t>
  </si>
  <si>
    <t>414. Paiements pour études/formation</t>
  </si>
  <si>
    <t>414. Biyan kuɗi na ilimi / horo</t>
  </si>
  <si>
    <t>pm_loc_confirm_label</t>
  </si>
  <si>
    <t>415. Health expenditures</t>
  </si>
  <si>
    <t>415. Dépenses de santé</t>
  </si>
  <si>
    <t>415. Kuɗin kiwon lafiya</t>
  </si>
  <si>
    <t>pm_loc_confirm_label_fr</t>
  </si>
  <si>
    <t>416. Migration cost payments</t>
  </si>
  <si>
    <t>416. Paiement des frais de migration</t>
  </si>
  <si>
    <t>416. Kashe kuɗin zuwa biɗa</t>
  </si>
  <si>
    <t>pm_loc_confirm_label_ha</t>
  </si>
  <si>
    <t>Neither good nor poor</t>
  </si>
  <si>
    <t>Ni bonne ni faible</t>
  </si>
  <si>
    <t>Ba mai kyau ba kuma ba maras kyau ba</t>
  </si>
  <si>
    <t>417. Ceremonies</t>
  </si>
  <si>
    <t>417. Cérémonies</t>
  </si>
  <si>
    <t>417. Bukukuwa</t>
  </si>
  <si>
    <t>pm_locations_confirm</t>
  </si>
  <si>
    <t>85. We will ask you questions about each of these locations. Can you confirm that you spent more than one week in ${pm_locations_new} locations since ${period}? ${pm_loc_confirm_label}</t>
  </si>
  <si>
    <t>85. Nous vous poserons des questions sur chacun de ces endroits. Pouvez-vous confirmer que vous avez passé plus d'une semaine dans ${pm_locations_new} endroit depuis ${period_french}? ${pm_loc_confirm_label_fr}</t>
  </si>
  <si>
    <t>85. Za mu yi muku tambayoyi game da kowane ɗayan waɗannan wuraren. Shin za ku iya tabbatar da cewa kun zauna a wurare ${pm_locations_new} fiye da mako guda tun ${period_french}? ${pm_loc_confirm_label_ha}</t>
  </si>
  <si>
    <t>Good</t>
  </si>
  <si>
    <t>Bonne</t>
  </si>
  <si>
    <t>Da kyau</t>
  </si>
  <si>
    <t>428. In a typical week, how many days did they do this job?</t>
  </si>
  <si>
    <t>428. Au cours d'une semaine normale, combien de jours ont-ils fait ce travail ?</t>
  </si>
  <si>
    <t>428. A cikin mako, kwana nawa suka yi wannan aikin?</t>
  </si>
  <si>
    <t>425. Thinking about the last agricultural season, did you need to pay other expenses we did not ask you about?</t>
  </si>
  <si>
    <t>425. En pensant à la dernière saison agricole, avez-vous dû faire d'autres dépenses dont nous n'avons pas parlé ?</t>
  </si>
  <si>
    <t>425. A tunaninka a lokacin noman da ya gabata, akwai wasu kashe kashen kuɗi da kuka yi wanda ba mu yi zancen su ba?</t>
  </si>
  <si>
    <t>select_multiple pm_prev_locations_opt</t>
  </si>
  <si>
    <t>pm_prev_confirm</t>
  </si>
  <si>
    <t>86. You mentioned previously that you travelled to ${pm_prev_locations}, ${period_bl_fu4}. 
Please confirm that you stayed for at least a week (7 days) in the locations you previously reported:</t>
  </si>
  <si>
    <t>Very good</t>
  </si>
  <si>
    <t>Vous avez précédemment mentionné que vous aviez voyagé à ${pm_prev_locations}, ${period_french_bl_fu4}.
Veuillez confirmer que vous avez séjourné au moins une semaine (7 jours) dans les endroits que vous avez précédemment signalés :</t>
  </si>
  <si>
    <t>Très bonne</t>
  </si>
  <si>
    <t>Kun faɗi cewa a baya kun yi tafiya zuwa ${pm_prev_locations}, ${period_hausa_bl_fu4} 
Za ku tabbatar da cewa kun zauna aƙalla mako guda (kwana 7) a wuraren da kuka zana a baya:</t>
  </si>
  <si>
    <t>Da kyau sosai</t>
  </si>
  <si>
    <t>427. What was the approximate value of ${hoh_ag_exp_other_name} in CFA?</t>
  </si>
  <si>
    <t>427. Quelle était la valeur approximative de ${hoh_ag_exp_other_name} en CFA ?</t>
  </si>
  <si>
    <t>427. Nawa farashin ${hoh_ag_exp_other_name} a wacan lokacin a sefa?</t>
  </si>
  <si>
    <t>432. In the past three months, what is the total revenue from rent of land or other property in CFA?</t>
  </si>
  <si>
    <t>432. Au cours des trois derniers mois, quel a été le revenu total provenant de la location d'un terrain ou d'une autre propriété en CFA?</t>
  </si>
  <si>
    <t>432. A cikin watanni uku da suka gabata, menene jimillar kuɗin da aka samu ta hanyar hayan filaye ko wasu kadarori (a sefa)?</t>
  </si>
  <si>
    <t>433. In the past three months, what is the total value of interest from loans you have given to others in CFA?</t>
  </si>
  <si>
    <t>433. Au cours des trois derniers mois, quelle est la valeur totale des intérêts des prêts que vous avez accordés à d'autres en CFA?</t>
  </si>
  <si>
    <t>433. A cikin watanni uku da suka gabata, nawa ne jimillar kudin ruwan basussuka da kuka baiwa wasu (a sefa)?</t>
  </si>
  <si>
    <t>434. Does anyone in the household fully, or partly own and operate an income generating activity that is not farming or herding? (i.e. a shop where you sell goods, restaurant, butcher shop)?</t>
  </si>
  <si>
    <t>434. Quelqu'un dans le ménage possède-t-il entièrement ou partiellement une activité génératrice de revenus autre que l'agriculture ou l'élevage ? (C'est-à-dire un magasin où vous vendez des marchandises, un restaurant, une boucherie) ?</t>
  </si>
  <si>
    <t>434. Ko akwai wani ɗan gidanku mai sana'a wanda jarin gaba daya nashi ko na hadin gwiwa ne banda noma da kiyo? ( kantin saida kaya, gidan abinci, fawa)?</t>
  </si>
  <si>
    <t>pm_prev_confirm_no</t>
  </si>
  <si>
    <t>87. Please explain why you reported locations in previous surveys that you did not travel to:</t>
  </si>
  <si>
    <t>agree_likert</t>
  </si>
  <si>
    <t>87. Veuillez expliquer pourquoi vous avez indiqué des lieux dans des enquêtes précédentes où vous ne vous êtes pas rendu :</t>
  </si>
  <si>
    <t>87. Da fatan za a bayyana dalilin da ya sa kuka ba da rahoton wurare a cikin binciken da ba ku yi tafiya zuwa ba:</t>
  </si>
  <si>
    <t>Strongly Disagree</t>
  </si>
  <si>
    <t>Pas du tout d'accord</t>
  </si>
  <si>
    <t>Ban yarda ba sam sam</t>
  </si>
  <si>
    <t>436. Specify other</t>
  </si>
  <si>
    <t>436. Autre à préciser :</t>
  </si>
  <si>
    <t>436. Baiyana wani abu daban:</t>
  </si>
  <si>
    <t>Disagree</t>
  </si>
  <si>
    <t>Pas D'accord</t>
  </si>
  <si>
    <t>Ban yarda ba</t>
  </si>
  <si>
    <t>437. Do you have a permanent location (i.e. building)?</t>
  </si>
  <si>
    <t>437. Avez-vous un emplacement permanent (c'est-à-dire un bâtiment) ?</t>
  </si>
  <si>
    <t>437. Kuna da wurin dindindin (kamar gini)?</t>
  </si>
  <si>
    <t>438. How many people outside of your household do you employ in this business?</t>
  </si>
  <si>
    <t>438. Combien de personnes en dehors de votre ménage employez-vous dans cette entreprise ?</t>
  </si>
  <si>
    <t>438. Mutane nawa ne kuka dauka aiki banda ƴan gidan a wannan kasuwancin?</t>
  </si>
  <si>
    <t>Neither agree nor disagree</t>
  </si>
  <si>
    <t>pm_prev_add_lab</t>
  </si>
  <si>
    <t>Ni d'accord ni en désaccord</t>
  </si>
  <si>
    <t>Babu yarda ko rashin yarda</t>
  </si>
  <si>
    <t>421. With the money you kept for yourself (${pm_cash_resid}), how much did you use for each of the following:</t>
  </si>
  <si>
    <t>421. Avec l'argent que vous avez gardé pour vous (${pm_cash_resid}) , combien avez-vous utilisé pour chacun des éléments suivants:</t>
  </si>
  <si>
    <t>421. Game da Kuɗin da kuka ajiye wa kanku (${pm_cash_resid}), nawa kuka yi amfani kan kowane ɗayan cikin abubuwa nan masu zuwa:</t>
  </si>
  <si>
    <t>pm_prev_add_lab_fr</t>
  </si>
  <si>
    <t>Agree</t>
  </si>
  <si>
    <t>D'accord</t>
  </si>
  <si>
    <t>422. Food</t>
  </si>
  <si>
    <t>Na yarda</t>
  </si>
  <si>
    <t>422. Nourriture</t>
  </si>
  <si>
    <t>422. Abinci</t>
  </si>
  <si>
    <t>pm_prev_add_lab_ha</t>
  </si>
  <si>
    <t>423. Other household expenditure</t>
  </si>
  <si>
    <t>423. Autres dépenses des ménages</t>
  </si>
  <si>
    <t>423. Sauran kuɗaɗen gida</t>
  </si>
  <si>
    <t>pm_prev_add</t>
  </si>
  <si>
    <t>88. ${pm_prev_add_lab}</t>
  </si>
  <si>
    <t>88. ${pm_prev_add_lab_fr}</t>
  </si>
  <si>
    <t>88. ${pm_prev_add_lab_ha}</t>
  </si>
  <si>
    <t>Strongly Agree</t>
  </si>
  <si>
    <t>Totalement d'accord</t>
  </si>
  <si>
    <t>Na yarda sosai</t>
  </si>
  <si>
    <t>pm_prev_add_num</t>
  </si>
  <si>
    <t>89. How many places?</t>
  </si>
  <si>
    <t>89. Combien de places ?</t>
  </si>
  <si>
    <t>89. Wurare nawa?</t>
  </si>
  <si>
    <t>pm_locations_confirm_add</t>
  </si>
  <si>
    <t>90. Can you confirm that there were exactly ${pm_prev_add_num} locations that you traveled to ${period_bl_fu4} that you failed to report in previous surveys?</t>
  </si>
  <si>
    <t>90. Pouvez-vous confirmer qu'il y avait exactement ${pm_prev_add_num} endroits où vous avez voyagé ${period_french_bl_fu4} que vous n'avez pas signalés dans les enquêtes précédentes ?</t>
  </si>
  <si>
    <t>90. Shin za ku iya tabbatar da cewa akwai daidai wuraren ${pm_prev_add_num} da kuka yi tafiya ${period_hausa_bl_fu4} da kuka kasa bayar da rahoto a binciken da aka yi a baya?</t>
  </si>
  <si>
    <t>worries</t>
  </si>
  <si>
    <t>Not at all worried</t>
  </si>
  <si>
    <t>Pas du tout inquiet</t>
  </si>
  <si>
    <t>Ba damuwa ko kadan</t>
  </si>
  <si>
    <t>427. Housing cost payments</t>
  </si>
  <si>
    <t>427. Paiement des frais de logement</t>
  </si>
  <si>
    <t>427. Biyan kuɗin haya</t>
  </si>
  <si>
    <t>pm_locations_info</t>
  </si>
  <si>
    <t>Locations</t>
  </si>
  <si>
    <t>Not very worried</t>
  </si>
  <si>
    <t>Pas très inquiet</t>
  </si>
  <si>
    <t>Ba damuwa sosai</t>
  </si>
  <si>
    <t>428. Education/Training payments</t>
  </si>
  <si>
    <t>428. Paiements pour études/formation</t>
  </si>
  <si>
    <t>428. Biyan kuɗi na ilimi / horo</t>
  </si>
  <si>
    <t>pm_locations_list_index</t>
  </si>
  <si>
    <t>429. Health expenditures</t>
  </si>
  <si>
    <t>429. Dépenses de santé</t>
  </si>
  <si>
    <t>429. Kuɗin kiwon lafiya</t>
  </si>
  <si>
    <t>pm_prev_location_dum</t>
  </si>
  <si>
    <t>Somewhat worried</t>
  </si>
  <si>
    <t>Un peu inquiet</t>
  </si>
  <si>
    <t>Dan damuwa</t>
  </si>
  <si>
    <t>430. Migration cost payments</t>
  </si>
  <si>
    <t>430. Paiement des frais de migration</t>
  </si>
  <si>
    <t>430. Kashe kuɗin zuwa biɗa</t>
  </si>
  <si>
    <t>pm_prev_location_index</t>
  </si>
  <si>
    <t>431. Ceremonies</t>
  </si>
  <si>
    <t>431. Cérémonies</t>
  </si>
  <si>
    <t>431. Bukukuwa</t>
  </si>
  <si>
    <t>pm_previous_answer</t>
  </si>
  <si>
    <t>Very worried</t>
  </si>
  <si>
    <t>Très inquiet</t>
  </si>
  <si>
    <t>Damuwa sosai</t>
  </si>
  <si>
    <t>432. Other</t>
  </si>
  <si>
    <t>432. Autres</t>
  </si>
  <si>
    <t>432. Wasu daban</t>
  </si>
  <si>
    <t>456. Is ${hoh_roster_name} currently living in Niger?</t>
  </si>
  <si>
    <t>456. Est-ce que ${hoh_roster_name} vit actuellement au Niger ?</t>
  </si>
  <si>
    <t>456. Ko ${hoh_roster_name} yana zaune a Nijar a halin yanzu?</t>
  </si>
  <si>
    <t>457. What region is ${hoh_roster_name} currently living in?</t>
  </si>
  <si>
    <t>457. Dans quelle région vit actuellement ${hoh_roster_name} ?</t>
  </si>
  <si>
    <t>457. A cikin wace jaha ce ${hoh_roster_name} yake zaune a yanzu?</t>
  </si>
  <si>
    <t>pm_previous_answer_fr</t>
  </si>
  <si>
    <t>433. You spent ${pm_cash_resid_exp_other} CFA on "other" categories. Please describe them:</t>
  </si>
  <si>
    <t xml:space="preserve">433. </t>
  </si>
  <si>
    <t>pm_previous_answer_hausa</t>
  </si>
  <si>
    <t>434. You mentioned that you spent ${pm_cash_resid_use}, which is greater than the amount you kept for yourself (${pm_cash_resid}). Please reassess your responses.</t>
  </si>
  <si>
    <t>434. Vous avez mentionné que vous aviez partagé ${pm_cash_resid_use}, ce qui est supérieur au montant que vous avez gardé pour vous (${pm_cash_resid}). Veuillez revoir vos réponses.</t>
  </si>
  <si>
    <t>434. Kun ambaci cewa kun raba ${pm_cash_resid_use}, wanda ya fi yawan kuɗin da kuka ajiye don kanku (${pm_cash_resid}). Da fatan za ku sake duba amsarku.</t>
  </si>
  <si>
    <t>state_likert</t>
  </si>
  <si>
    <t>460. Enumerator: Select town</t>
  </si>
  <si>
    <t>Strongly agree with Statement 1</t>
  </si>
  <si>
    <t>460. Enquêteur : Sélectionnez la ville</t>
  </si>
  <si>
    <t>460. Ɗan bincike: Zaɓi gari</t>
  </si>
  <si>
    <t>Tout à fait d'accord avec l'énoncé 1</t>
  </si>
  <si>
    <t>Amincewa sosai da Bayanin 1</t>
  </si>
  <si>
    <t>461. Specify other</t>
  </si>
  <si>
    <t>461. Autre à préciser</t>
  </si>
  <si>
    <t>461. Wani daban a Bayyana</t>
  </si>
  <si>
    <t>pm_previous_in_niger</t>
  </si>
  <si>
    <t>92. Where were you ${pm_previous_answer}
Enumerator: Is location in Niger?</t>
  </si>
  <si>
    <t>92. Où étiez-vous ${pm_previous_answer_fr} 
Enquêteur : La localité est-elle au Niger ?</t>
  </si>
  <si>
    <t>92. A ina kuka ${pm_previous_answer_hausa}
Ɗan bincike : Ko wurin a Nijar ne?</t>
  </si>
  <si>
    <t>pm_previous_region</t>
  </si>
  <si>
    <t>93. Enumerator: Select region in Niger</t>
  </si>
  <si>
    <t>93. Enquêteur : Sélectionnez une région au Niger</t>
  </si>
  <si>
    <t>93. Ɗan bincike: Zaɓi Jaha ɗaya a Nijar</t>
  </si>
  <si>
    <t>Agree with Statement 1</t>
  </si>
  <si>
    <t>D'accord avec l'énoncé 1</t>
  </si>
  <si>
    <t>Amincewa da Bayanin 1</t>
  </si>
  <si>
    <t>pm_previous_country</t>
  </si>
  <si>
    <t>94. Enumerator: Select country</t>
  </si>
  <si>
    <t>94. Enquêteur : sélectionnez le pays</t>
  </si>
  <si>
    <t>94. Ɗan bincike: Zaɓi ƙasa</t>
  </si>
  <si>
    <t>464. Other, specify:</t>
  </si>
  <si>
    <t>464. Autre précisez:</t>
  </si>
  <si>
    <t>Agree with Statement 2</t>
  </si>
  <si>
    <t>464. Sauran, bayar da cikakkun bayanai:</t>
  </si>
  <si>
    <t>D'accord avec l'énoncé 2</t>
  </si>
  <si>
    <t>Amincewa da Bayanin 2</t>
  </si>
  <si>
    <t>465. Does ${hoh_roster_name} have children?</t>
  </si>
  <si>
    <t>465. Est-ce que ${hoh_roster_name} a des enfants ?</t>
  </si>
  <si>
    <t>465. ko ${hoh_roster_name} yana da yara?</t>
  </si>
  <si>
    <t>466. How many children is ${hoh_roster_name} responsible for?</t>
  </si>
  <si>
    <t>Strongly agree with Statement 2</t>
  </si>
  <si>
    <t>466. De combien d'enfants ${hoh_roster_name} est-il responsable ?</t>
  </si>
  <si>
    <t>Tout à fait d'accord avec l'énoncé 2</t>
  </si>
  <si>
    <t>466. Yara nawa ne ${hoh_roster_name} yake ɗauke da Nauyinsu?</t>
  </si>
  <si>
    <t>467. What is the highest level of education that ${hoh_roster_name} has completed?</t>
  </si>
  <si>
    <t>467. Quel est le plus haut niveau d'études atteint par ${hoh_roster_name} ?</t>
  </si>
  <si>
    <t>467. Menene mafi girman mastayin ilimi da ${hoh_roster_name} ya kai?</t>
  </si>
  <si>
    <t>468. Is ${hoh_roster_name} currently enrolled in school?</t>
  </si>
  <si>
    <t>468. Est-ce que ${hoh_roster_name} est actuellement inscrit à l'école ?</t>
  </si>
  <si>
    <t>468. Ko ${hoh_roster_name} yana yin lakwal a halin yanzu?</t>
  </si>
  <si>
    <t>469. What kind of school is ${hoh_roster_name} enrolled in?</t>
  </si>
  <si>
    <t>469. Dans quel type d'école est inscrit ${hoh_roster_name} ?</t>
  </si>
  <si>
    <t>469. Wace irin makaranta aka rubuta ${hoh_roster_name}?</t>
  </si>
  <si>
    <t>470. What is the cost of school fees for the current academic year in CFA?</t>
  </si>
  <si>
    <t>470. Quel est le coût des frais de scolarité pour l'année scolaire en cours (en CFA) ?</t>
  </si>
  <si>
    <t>470. Nawa ne kuɗin makaranta na wannan shekarar (a sefa)?</t>
  </si>
  <si>
    <t>471. In the past month (four weeks) how many days has ${hoh_roster_name} missed school for health reasons?</t>
  </si>
  <si>
    <t>471. Au cours du dernier mois (quatre semaines), combien de jours ${hoh_roster_name} a-t-il manqué l'école pour des raisons de santé ?</t>
  </si>
  <si>
    <t>471. A cikin watan da ya gabata (sati hudu), kwanaki nawa ${hoh_roster_name} yayi fashin zuwa makaranta saboda wata rishin lafiya?</t>
  </si>
  <si>
    <t>statement</t>
  </si>
  <si>
    <t>472. In the past month (four weeks) how many days has ${hoh_roster_name} missed school for work or other reasons?</t>
  </si>
  <si>
    <t>Statement 1</t>
  </si>
  <si>
    <t>472. Au cours du dernier mois (quatre semaines), combien de jours ${hoh_roster_name} a-t-il manqué l'école pour le travail ou pour d'autres raisons ?</t>
  </si>
  <si>
    <t>472. A cikin watan da ya gabata (makonni hudu), kwanaki nawa ${hoh_roster_name} yayi fashin makaranta saboda aiki ko wasu dalilai?</t>
  </si>
  <si>
    <t>Énoncé 1</t>
  </si>
  <si>
    <t>Bayanin 1</t>
  </si>
  <si>
    <t>473. Is ${hoh_roster_name} married?</t>
  </si>
  <si>
    <t>473. Est-ce que ${hoh_roster_name} est marié ?</t>
  </si>
  <si>
    <t>473. Ko ${hoh_roster_name} yanada aure?</t>
  </si>
  <si>
    <t>474. How many wives does ${hoh_new_mem_name} have?</t>
  </si>
  <si>
    <t>474. Combien de femmes a ${hoh_roster_name} ?</t>
  </si>
  <si>
    <t>474. Mata nawa ${hoh_roster_name} yake da su?</t>
  </si>
  <si>
    <t>Statement 2</t>
  </si>
  <si>
    <t>Énoncé 2</t>
  </si>
  <si>
    <t>pm_previous_country_o</t>
  </si>
  <si>
    <t>Bayanin 2</t>
  </si>
  <si>
    <t>95. Enumerator: Enter other country</t>
  </si>
  <si>
    <t>95. Enquêteur : Entrez un autre pays</t>
  </si>
  <si>
    <t>95. Ɗan bincike: Shigar da wata ƙasa</t>
  </si>
  <si>
    <t>Statement 3</t>
  </si>
  <si>
    <t>Énoncé 3</t>
  </si>
  <si>
    <t>Bayanin 3</t>
  </si>
  <si>
    <t>459. In the past three months, have you or anyone in your household received money from someone who is not a member of your household and who lives in a foreign country (outside of Niger)?</t>
  </si>
  <si>
    <t>459. Au cours des trois derniers mois, vous ou un membre de votre ménage avez-vous reçu &lt;b&gt;de l'argent&lt;/b&gt; d'une personne qui n'est pas membre de votre ménage et qui habite &lt;b&gt;à l'extérieur du Niger&lt;/b&gt; (dans un autre pays)?</t>
  </si>
  <si>
    <t>459. A cikin watanni uku da suka wuce, kai ko dan gidanku kun samu kuɗi daga wanda ba dan gidanku ba da ke zaune a ƙetaren Nijar (a wata kasa)?</t>
  </si>
  <si>
    <t>460. How much in total did members of your household receive from people out of Niger?</t>
  </si>
  <si>
    <t>460. Combien au total les membres de votre ménage ont-ils reçu des personnes qui ne sont pas au Niger ?</t>
  </si>
  <si>
    <t>460. Nawa ne yan gidanku ya samu daga mutanen da ke zaune a ƙasar waje ba Nijar ba?</t>
  </si>
  <si>
    <t>475. We would now like to ask you about the migration history of ${hoh_roster_name}.</t>
  </si>
  <si>
    <t xml:space="preserve">475. </t>
  </si>
  <si>
    <t>476. Since ${period}, has ${hoh_roster_name} spent more than a week (7 days) away from home?</t>
  </si>
  <si>
    <t xml:space="preserve">476. </t>
  </si>
  <si>
    <t>477. Since ${period}, in which of the following countries has ${hoh_roster_name} spent more than one week? Select all that apply</t>
  </si>
  <si>
    <t xml:space="preserve">477. </t>
  </si>
  <si>
    <t>save_or_share</t>
  </si>
  <si>
    <t>1. Save the surplus for the future</t>
  </si>
  <si>
    <t>478. Specify other</t>
  </si>
  <si>
    <t>478. Autre à préciser</t>
  </si>
  <si>
    <t>1. Économisez le surplus pour l'avenir</t>
  </si>
  <si>
    <t>478. Wani daban a Bayyana</t>
  </si>
  <si>
    <t>1. Ajiyar ƙarin don gaba</t>
  </si>
  <si>
    <t>465. How were these goods transmitted to your household?</t>
  </si>
  <si>
    <t>465. Comment ces biens ont-ils été envoyé à votre ménage ?</t>
  </si>
  <si>
    <t>465. Ta yaya aka aika waɗannan kayan zuwa gidanku?</t>
  </si>
  <si>
    <t>456. Thinking about all the revenue and expense related to this business during the past three months, you said that the net income from this business for your household is ${hoh_biz_income}. Is that correct?</t>
  </si>
  <si>
    <t>456. En pensant à tous les revenus de cette entreprise et à toutes les dépenses, vous dites que la bénéfice net de cette entreprise au cours des trois derniers mois est ${hoh_biz_income}, est-ce exact ?</t>
  </si>
  <si>
    <t>456. Ku tuna da dukkan kuɗaɗen shiga da kashe kashen kuɗi da suka shafi wannan kasuwancin a cikin watanni uku da suka wuce. Kun ce yawan riban wannan kasuwancin shine ${hoh_biz_income}. Ko hakan daidai ne?</t>
  </si>
  <si>
    <t>2. Share its surplus with less fortunate households in the village</t>
  </si>
  <si>
    <t>2. Partager son surplus avec les ménages moins fortunés du village</t>
  </si>
  <si>
    <t>2. Raba ƙarin da sauran gidaje marasa galihu a garin</t>
  </si>
  <si>
    <t>457. We have discussed work done by members of your household in agriculture, in husbandry, in a business owned by your family.</t>
  </si>
  <si>
    <t>457. Nous avons discuté du travail effectué par les membres de votre ménage dans l'agriculture, l'élevage, dans une entreprise appartenant à votre famille.</t>
  </si>
  <si>
    <t>457. “Mun tattauna bisa ayyukan da ƴan gidanku suka yi a harakar noma da kiwo, kasuwancin da ƴan gidanku suka mallaka.</t>
  </si>
  <si>
    <t>pm_previous_country_code</t>
  </si>
  <si>
    <t>439. A household is a group of people, related or unrelated, who live together in the same housing, pool their resources together, share their meals and recognize the authority of the same one person who is the head of household.</t>
  </si>
  <si>
    <t>439. Un ménage est l’ensemble des personnes apparentées ou non qui vivent habituellement dans un même logement, mettent en commun leurs ressources, partagent leurs repas, et reconnaissent l’autorité d’une seule et même personne appelée chef de ménage.</t>
  </si>
  <si>
    <t>439. Gida shine mutanen da ko dangi ko a'a wanda suke rayuwa cikin gida guda, sun sa dukiyar su tare, suna cin abinci tare, kuma sun yarda da shugabancin mutum ɗaya wanda a ke ce ma mai gida.</t>
  </si>
  <si>
    <t>pm_previous_town</t>
  </si>
  <si>
    <t>96. Enumerator: Select town</t>
  </si>
  <si>
    <t>96. Enquêteur : Sélectionnez la ville</t>
  </si>
  <si>
    <t>96. Ɗan bincike: Zaɓi gari</t>
  </si>
  <si>
    <t>pm_previous_town_o</t>
  </si>
  <si>
    <t>97. Enumerator: enter town</t>
  </si>
  <si>
    <t>97. Enquêteur : indiquez la ville</t>
  </si>
  <si>
    <t>97. Mai bincike: bayyana gari</t>
  </si>
  <si>
    <t>attitude</t>
  </si>
  <si>
    <t>1. The entire way our society is organized must be radically changed by revolutionary action</t>
  </si>
  <si>
    <t>1. Toute la manière dont notre société est organisée doit être radicalement changée par l'action révolutionnaire</t>
  </si>
  <si>
    <t>1. Dukkanin yadda al'ummarmu take da tsari dole ne a canza su ta hanyar juyin juya hali</t>
  </si>
  <si>
    <t>458. In the past three months, did ${hoh_member_act_name} earn money from any other activity?</t>
  </si>
  <si>
    <t>458. Au cours des trois derniers mois, ${hoh_member_act_name} a-t-il gagné de l'argent grâce à une autre activité ?</t>
  </si>
  <si>
    <t>458. A cikin watanni uku da suka gabata, ${hoh_member_act_name} ya samu kuɗi daga yin wani aiki?</t>
  </si>
  <si>
    <t>2. Our society must be gradually improved by reforms</t>
  </si>
  <si>
    <t>2. Notre société doit être progressivement améliorée par des réformes</t>
  </si>
  <si>
    <t>2. Dole ne a inganta al'ummarmu a hankali ta hanyar gyara</t>
  </si>
  <si>
    <t>459. What was the activity?</t>
  </si>
  <si>
    <t>459. Quelle était l'activité ?</t>
  </si>
  <si>
    <t>459. Menene aikin?</t>
  </si>
  <si>
    <t>460. Specify the activity</t>
  </si>
  <si>
    <t>460. Précisez l'activité</t>
  </si>
  <si>
    <t>460. Baiyana aikin</t>
  </si>
  <si>
    <t>3. Our present society must be valiantly defended against all subversive forces</t>
  </si>
  <si>
    <t>3. Notre société actuelle doit être vaillamment défendue contre toutes les forces subversives</t>
  </si>
  <si>
    <t>479. In ${hoh_destination}, what was the name of the city or town that ${hoh_roster_name} moved to?</t>
  </si>
  <si>
    <t>3. Dole ne al'ummarmu ta yanzu ta kasance da jajircewa wajen kare kai daga duk wani yunkuri na zagon kasa</t>
  </si>
  <si>
    <t>479. À ${hoh_destination}, quel était le nom de la ville dans laquelle ${hoh_roster_name} il a séjourné ?</t>
  </si>
  <si>
    <t>479. A ${hoh_destination}, menene sunan birnin da ${hoh_roster_name} ya zauna?</t>
  </si>
  <si>
    <t>480. Specify other</t>
  </si>
  <si>
    <t>480. Autre à préciser</t>
  </si>
  <si>
    <t>480. Wani daban a Bayyana</t>
  </si>
  <si>
    <t>481. In ${hoh_destination}, what was the name of the region that ${hoh_roster_name} moved to?</t>
  </si>
  <si>
    <t xml:space="preserve">481. </t>
  </si>
  <si>
    <t>482. Specify other</t>
  </si>
  <si>
    <t>482. Autre à préciser</t>
  </si>
  <si>
    <t>482. Wani daban a Bayyana</t>
  </si>
  <si>
    <t>pm_previous_town_id</t>
  </si>
  <si>
    <t>442. What is the last name of ${hoh_hhtext}?</t>
  </si>
  <si>
    <t>442. Quel est le nom de ${hoh_hhtextfrench} ?</t>
  </si>
  <si>
    <t>442. Menene sunan uban ${hoh_hhtexthausa}?</t>
  </si>
  <si>
    <t>pm_previous_town_name</t>
  </si>
  <si>
    <t>customs</t>
  </si>
  <si>
    <t>1. I feel constrained by the number of customs and habits that exist in my society</t>
  </si>
  <si>
    <t>1. Je me sens contraint par le nombre des us et coutumes qui existent dans ma société</t>
  </si>
  <si>
    <t>1. Ina jin takura da yawan al'adu da dabi'un da ke cikin al'ummata</t>
  </si>
  <si>
    <t>443. What is the first name of ${hoh_hhtext}?</t>
  </si>
  <si>
    <t>443. Quel est le prenom de cette personne ${hoh_hhtextfrench} ?</t>
  </si>
  <si>
    <t>443. Menene sunan ${hoh_hhtexthausa}?</t>
  </si>
  <si>
    <t>480. What was the value of the goods members of your household sent to people out of Niger?</t>
  </si>
  <si>
    <t>480. Quel était le valeur au total des biens que les membres de votre ménage ont envoyé aux personnes qui sont quelques part hors du Niger ?</t>
  </si>
  <si>
    <t>480. Nawa ne kimar kayan da ƴan gidanku suka aikawa wasu mutane da ke wani wuri ba a Nijar ba?</t>
  </si>
  <si>
    <t>2. There are not enough customs and habits in my society to guide me</t>
  </si>
  <si>
    <t>2. Il n'y a pas assez des us et coutumes dans ma société pour me guider</t>
  </si>
  <si>
    <t>2. Babu isassun al'adu da ɗabi'a a cikin al'ummata da za su jagorance ni</t>
  </si>
  <si>
    <t>464. In the past three months, have you or anyone in your household received money from someone who is not a member of your household and who lives elsewhere in Niger (outside your village)?</t>
  </si>
  <si>
    <t>464. Au cours des trois derniers mois, vous ou un membre de votre ménage avez reçu &lt;b&gt;de l'argent&lt;/b&gt; d'une personne qui n'est pas membre de votre ménage et qui habite &lt;b&gt;ailleurs au Niger&lt;/b&gt; (en dehors de votre village)?</t>
  </si>
  <si>
    <t>464. A cikin watanni uku da suka wuce, kai ko ɗan gidanku kun samu kuɗi daga wani da ba ɗan gidanku ba wanda yake zaune a wani gari a Nijar (wajen kauyenku)?</t>
  </si>
  <si>
    <t>pm_location</t>
  </si>
  <si>
    <t>444. What is ${hoh_new_mem_name}'s relationship to you, the household head?</t>
  </si>
  <si>
    <t>444. Quelle est la relation entre ${hoh_new_mem_name} et vous, le chef de ménage ?</t>
  </si>
  <si>
    <t>444. Menene alaƙa tsakanin ${hoh_new_mem_name} da, mai gida?</t>
  </si>
  <si>
    <t>pm_dom_mig_ind</t>
  </si>
  <si>
    <t>3. There are just about the right amount of customs and habits in my society</t>
  </si>
  <si>
    <t>3. Il y a à peu près ce qu'il faut des us et coutumes dans ma société</t>
  </si>
  <si>
    <t>3. Akwai daidai adadin al'adu da halaye a cikin al'ummata</t>
  </si>
  <si>
    <t>445. What is ${hoh_new_mem_name}'s sex?</t>
  </si>
  <si>
    <t>445. Quel est le sexe de ${hoh_new_mem_name} ?</t>
  </si>
  <si>
    <t>445. Menene jinsin ${hoh_new_mem_name}?</t>
  </si>
  <si>
    <t>pm_border_cross_ind</t>
  </si>
  <si>
    <t>446. What is ${hoh_new_mem_name}'s age?</t>
  </si>
  <si>
    <t>446. Quel âge a ${hoh_new_mem_name} ?</t>
  </si>
  <si>
    <t>446. ${hoh_new_mem_name} Shekarun shi/ta nawa?</t>
  </si>
  <si>
    <t>468. In the past three months, have you or anyone in your household received goods (payment in kind) from someone who is not a member of your household and who lives elsewhere in Niger (outside your village)?</t>
  </si>
  <si>
    <t>468. Au cours des trois derniers mois, vous ou un membre de votre ménage avez reçu &lt;b&gt;des biens&lt;/b&gt; (paiement en nature) d'une personne qui n'est pas membre de votre ménage et qui habite &lt;b&gt;ailleurs au Niger&lt;/b&gt; (en dehors de votre village)?</t>
  </si>
  <si>
    <t>468. A cikin watanni ukun da suka wuce, kai ko wani a cikin gidanku kun karɓi kaya (a matsayin biya) daga wani wanda ba ɗan gidanku ba ne kuma yana zaune a wani wuri a Nijar (Ba'a garinku ba)?</t>
  </si>
  <si>
    <t>469. What was the value of the goods members of your household receive from people elsewhere in Niger (in CFA)?</t>
  </si>
  <si>
    <t>469. Quel était la valeur au totale des biens que les membres de votre ménage ont reçu des personnes qui sont quelques part au Niger 
(en USD)?</t>
  </si>
  <si>
    <t>469. Nawa kimar kayayyakin da ƴan gidanku suka karba daga wasu mutane a wasu wurare a Nijar (in CFA)?</t>
  </si>
  <si>
    <t>470. How were these goods transmitted to your household?</t>
  </si>
  <si>
    <t>470. Comment ces biens ont-ils été envoyé à votre ménage ?</t>
  </si>
  <si>
    <t>470. Ta yaya aka aika waɗannan kayayyakin zuwa gidanku?</t>
  </si>
  <si>
    <t>husbandwife</t>
  </si>
  <si>
    <t>Only wife decides</t>
  </si>
  <si>
    <t>Seule la femme décide</t>
  </si>
  <si>
    <t>Mace ce kawai ta yanke shawara</t>
  </si>
  <si>
    <t>471. Specify other transfer method</t>
  </si>
  <si>
    <t>471. Précisez la méthode du transfert</t>
  </si>
  <si>
    <t>471. Wani daban a Bayyana</t>
  </si>
  <si>
    <t>487. In ${hoh_failed_country}, what was the name of the city or town that ${hoh_roster_name} planned to move to?</t>
  </si>
  <si>
    <t xml:space="preserve">487. </t>
  </si>
  <si>
    <t>pm_border_cross_ecowas_ind</t>
  </si>
  <si>
    <t>Somewhat more than the husband</t>
  </si>
  <si>
    <t>Un peu plus que le mari</t>
  </si>
  <si>
    <t>Da ɗan fiye da mijin</t>
  </si>
  <si>
    <t>447. I want to ask a few questions about the members of your household who are currently residing here.</t>
  </si>
  <si>
    <t>447. Je veux poser quelques questions sur les membres de votre ménage qui résident actuellement ici.</t>
  </si>
  <si>
    <t>447. Ina so in muku ƴan tambayoyi bisa yan gidanku da ke zaune a gida a yanzu.</t>
  </si>
  <si>
    <t>489. In ${hoh_failed_country}, what was the name of the region that ${hoh_roster_name} planned to move to?</t>
  </si>
  <si>
    <t xml:space="preserve">489. </t>
  </si>
  <si>
    <t>Equal to husband</t>
  </si>
  <si>
    <t>490. Specify other</t>
  </si>
  <si>
    <t>Égal au mari</t>
  </si>
  <si>
    <t>490. Autre à préciser</t>
  </si>
  <si>
    <t>490. Wani daban a Bayyana</t>
  </si>
  <si>
    <t>Daidai da miji</t>
  </si>
  <si>
    <t>491. How many times did they plan to migrate to ${hoh_failed_country} and fail?</t>
  </si>
  <si>
    <t xml:space="preserve">491. </t>
  </si>
  <si>
    <t>Somewhat less than husband</t>
  </si>
  <si>
    <t>Un peu moins que le mari</t>
  </si>
  <si>
    <t>492. Why did they change their plans?</t>
  </si>
  <si>
    <t>Kasan miji</t>
  </si>
  <si>
    <t>492. Pourquoi a-t-il changé son plan?</t>
  </si>
  <si>
    <t>492. Me yasa ya fasa tafiyar?</t>
  </si>
  <si>
    <t>493. Specify other reason</t>
  </si>
  <si>
    <t>493. Précisez une autre raison</t>
  </si>
  <si>
    <t>493. Baiyana wani dalili daban</t>
  </si>
  <si>
    <t>Only husband decides</t>
  </si>
  <si>
    <t>Seul le mari décide</t>
  </si>
  <si>
    <t>479. Specify other transfer method</t>
  </si>
  <si>
    <t>Miji ne kawai ya yanke shawara</t>
  </si>
  <si>
    <t>479. Précisez la méthode du transfert</t>
  </si>
  <si>
    <t>479. Wani daban a Bayyana</t>
  </si>
  <si>
    <t>480. In the past three months, have you or anyone in your household shared or sent money to someone who is not a member of your household and who lives elsewhere in Niger (outside your village)?</t>
  </si>
  <si>
    <t>480. Au cours des trois derniers mois, vous ou quelqu'un de votre ménage avez-vous partagé ou envoyé &lt;b&gt;de l'argent&lt;/b&gt; à quelqu'un qui n'est pas membre de votre ménage et qui habite &lt;b&gt;ailleurs au Niger&lt;/b&gt;(en dehors de votre village)</t>
  </si>
  <si>
    <t>480. A cikin watanni uku da suka wuce, kai ko wani a cikin gidanku kun bada ko kun aika kuɗi ga wani wanda ba dan gidanku ba da ke zaune a wani wuri a Nijar (wajen garinku)</t>
  </si>
  <si>
    <t>481. How much did your household send to people elsewhere in Niger?</t>
  </si>
  <si>
    <t>481. Combien votre ménage a-t-il envoyé à des personnes qui sont quelque part au Niger ?</t>
  </si>
  <si>
    <t>481. Nawa ne gidanku ya aikawa mutanen da ke wasu wurare a Nijar?</t>
  </si>
  <si>
    <t>482. How did you transmit the money to the recipient?</t>
  </si>
  <si>
    <t>482. Comment avez-vous envoyé l'argent au destinataire ?</t>
  </si>
  <si>
    <t>482. Ta wace hanya kuka aika kuɗin ga mai karɓa?</t>
  </si>
  <si>
    <t>483. Specify other transfer method</t>
  </si>
  <si>
    <t>483. Précisez la méthode du transfert</t>
  </si>
  <si>
    <t>483. Wani daban a Bayyana</t>
  </si>
  <si>
    <t>live_home</t>
  </si>
  <si>
    <t>Will surely live at home</t>
  </si>
  <si>
    <t>Est presque sûr de toujours habiter ici</t>
  </si>
  <si>
    <t>Tabbas zai rayu a gida</t>
  </si>
  <si>
    <t>484. In the past three months, have you or anyone in your household shared or sent goods (payment in kind) to someone who is not a member of your household and who lives elsewhere in Niger (outside your village)?</t>
  </si>
  <si>
    <t>484. Au cours des trois derniers mois, vous ou quelqu'un de votre ménage avez-vous partagé ou envoyé &lt;b&gt;des biens&lt;/b&gt; (paiement en nature) à quelqu'un qui n'est pas membre de votre ménage et qui habite &lt;b&gt;ailleurs au Niger&lt;/b&gt; (en dehors de votre village) ?</t>
  </si>
  <si>
    <t>484. A cikin watanni uku da suka wuce, kai ko wani a cikin gidanku kun bada ko kun aika kaya (a matsayin biya) ga wanda ba dan giɗanku ba da ke zaune a wani wuri a cikin Nijar (Ba'a garinku ba)?</t>
  </si>
  <si>
    <t>485. What was the value of the goods members of your household sent to people elsewhere in Niger?</t>
  </si>
  <si>
    <t>485. Quel était la valeur au totale des biens que les membres de votre ménage ont envoyé aux personnes qui sont quelques part au Niger ?</t>
  </si>
  <si>
    <t>485. Nawa ne kimar kayan da ƴan gidanku suka aika wa mutane a wasu wurare a cikin Nijar?</t>
  </si>
  <si>
    <t>Very likely to live at home</t>
  </si>
  <si>
    <t>Est probable de toujours habiter ici'</t>
  </si>
  <si>
    <t>486. How were these goods transmitted to the recipient?</t>
  </si>
  <si>
    <t>486. Comment ces biens ont-ils été envoyé au destinataire ?</t>
  </si>
  <si>
    <t>486. Ta yaya aka aika waɗannan kayayyaki zuwa ga mai karɓa?</t>
  </si>
  <si>
    <t>Yiwuwar zama a gida</t>
  </si>
  <si>
    <t>448. ${hoh_roster_name}
Sex: ${hoh_roster_sex}
Age: ${hoh_roster_age}</t>
  </si>
  <si>
    <t>speedcheck_pm_reportlocs_end</t>
  </si>
  <si>
    <t>More likely than not to live at home</t>
  </si>
  <si>
    <t>Plus probable de toujours habiter ici qu'ailleurs</t>
  </si>
  <si>
    <t>Mafi kusantar zama a gida</t>
  </si>
  <si>
    <t>449. Is ${hoh_roster_name} a Nigerien national?</t>
  </si>
  <si>
    <t>449. ${hoh_roster_name} est-il un citoyen(ne) du Niger ?</t>
  </si>
  <si>
    <t>449. Ko ${hoh_roster_name} ɗan ƙasar Nijar ne?</t>
  </si>
  <si>
    <t>dur_pm_reprotlocs</t>
  </si>
  <si>
    <t>450. Where are they a cititzen of?</t>
  </si>
  <si>
    <t>450. D'où sont-ils citoyens ?</t>
  </si>
  <si>
    <t>450. Ƴan wace ƙasa ce?</t>
  </si>
  <si>
    <t>pm_locations_list_new</t>
  </si>
  <si>
    <t>More likely than not to live elsewhere</t>
  </si>
  <si>
    <t>Plus probable d'habiter ailleurs qu'ici</t>
  </si>
  <si>
    <t>Mai yuwuwa fiye da kada ku zauna a wani wuri</t>
  </si>
  <si>
    <t>451. Please enter the nationality of ${hoh_roster_name}</t>
  </si>
  <si>
    <t>451. Veuillez saisir la nationalité de ${hoh_roster_name}</t>
  </si>
  <si>
    <t>451. Da fatan za a shigar da ƙasar ${hoh_roster_name}</t>
  </si>
  <si>
    <t>pm_countries_new</t>
  </si>
  <si>
    <t>452. Is ${hoh_roster_name} still a member of this household?</t>
  </si>
  <si>
    <t>452. ${hoh_roster_name} est-il toujours membre de ce ménage ?</t>
  </si>
  <si>
    <t>452. Ko suna yana cikin ƴan gidan nan?</t>
  </si>
  <si>
    <t>pm_locations_list_old</t>
  </si>
  <si>
    <t>Very likely to live elsewhere</t>
  </si>
  <si>
    <t>Est probable d'habiter ailleurs</t>
  </si>
  <si>
    <t>453. Why are they not a member of this household?</t>
  </si>
  <si>
    <t>Yiwuwar zama wani wuri</t>
  </si>
  <si>
    <t>453. Pourquoi ne font-ils pas partie de ce ménage ?</t>
  </si>
  <si>
    <t>453. Me ya sa ba su cikin ƴan gidan nan ?</t>
  </si>
  <si>
    <t>pm_countries_old</t>
  </si>
  <si>
    <t>454. Other, specify:</t>
  </si>
  <si>
    <t>454. Autre précisez:</t>
  </si>
  <si>
    <t>454. Sauran, bayar da cikakkun bayanai:</t>
  </si>
  <si>
    <t>Will surely live elsewhere</t>
  </si>
  <si>
    <t>Est presque sûr d'habiter ailleurs</t>
  </si>
  <si>
    <t>Tabbas zai rayu a wani wuri</t>
  </si>
  <si>
    <t>455. Enumerator: Record any details about the death of the family member</t>
  </si>
  <si>
    <t>455. Enqueteur: Veuillez noter toute information pertinente concernant le décès</t>
  </si>
  <si>
    <t>pm_locations_list</t>
  </si>
  <si>
    <t>list of most recent to beginning of period locations</t>
  </si>
  <si>
    <t>456. Is ${hoh_roster_name} currently living in your household?</t>
  </si>
  <si>
    <t>456. Est-ce que ${hoh_roster_name} vit actuellement dans votre ménage ?</t>
  </si>
  <si>
    <t>456. Ko ${hoh_roster_name} yana zaune a gidanku a halin yanzu ?</t>
  </si>
  <si>
    <t>pm_countries</t>
  </si>
  <si>
    <t>list of locations countries</t>
  </si>
  <si>
    <t>457. Is ${hoh_roster_name} currently living in Niger?</t>
  </si>
  <si>
    <t>457. Est-ce que ${hoh_roster_name} vit actuellement au Niger ?</t>
  </si>
  <si>
    <t>457. Ko ${hoh_roster_name} yana zaune a Nijar a halin yanzu?</t>
  </si>
  <si>
    <t>pm_location1</t>
  </si>
  <si>
    <t>458. What region is ${hoh_roster_name} currently living in?</t>
  </si>
  <si>
    <t>458. Dans quelle région vit actuellement ${hoh_roster_name} ?</t>
  </si>
  <si>
    <t>458. A cikin wace jaha ce ${hoh_roster_name} yake zaune a yanzu?</t>
  </si>
  <si>
    <t>live_away</t>
  </si>
  <si>
    <t>Will surely live in Niger</t>
  </si>
  <si>
    <t>pm_location2</t>
  </si>
  <si>
    <t>Est presque sûr de toujours habiter au Niger</t>
  </si>
  <si>
    <t>Tabbas ya fi son ya zauna ya rayu a Nijar</t>
  </si>
  <si>
    <t>459. What country is ${hoh_roster_name} currently living in?</t>
  </si>
  <si>
    <t>459. Dans quel pays vit actuellement ${hoh_roster_name} ?</t>
  </si>
  <si>
    <t>459. A cikin wace kasa ce ${hoh_roster_name} yake zaune a yanzu?</t>
  </si>
  <si>
    <t>pm_location3</t>
  </si>
  <si>
    <t>460. Specify other</t>
  </si>
  <si>
    <t>460. Autre à préciser</t>
  </si>
  <si>
    <t>460. Wani daban a Bayyana</t>
  </si>
  <si>
    <t>Very likely to live in Niger</t>
  </si>
  <si>
    <t>Est probable de toujours habiter au Niger</t>
  </si>
  <si>
    <t>pm_location4</t>
  </si>
  <si>
    <t>Ya fi son sosai ya zauna ya rayu a Nijar</t>
  </si>
  <si>
    <t>461. Enumerator: Select town</t>
  </si>
  <si>
    <t>461. Enquêteur : Sélectionnez la ville</t>
  </si>
  <si>
    <t>461. Ɗan bincike: Zaɓi gari</t>
  </si>
  <si>
    <t>pm_location5</t>
  </si>
  <si>
    <t>More likely than not to live in Niger</t>
  </si>
  <si>
    <t>462. Specify other</t>
  </si>
  <si>
    <t>Plus probable de toujours habiter au Niger qu'ailleurs</t>
  </si>
  <si>
    <t>462. Autre à préciser</t>
  </si>
  <si>
    <t>Ya fi son zama a Nijar fiye da wani wuri</t>
  </si>
  <si>
    <t>462. Wani daban a Bayyana</t>
  </si>
  <si>
    <t>499. How many ${hoh_livestock_name} does your household own?</t>
  </si>
  <si>
    <t>499. Combien de ${hoh_livestock_name} votre ménage possède-t-il ?</t>
  </si>
  <si>
    <t>499. ${hoh_livestock_name} Nawa gidan ku ya mallaka ?</t>
  </si>
  <si>
    <t>pm_location6</t>
  </si>
  <si>
    <t>More likely than not to live in another country</t>
  </si>
  <si>
    <t>Plus probable d'habiter ailleurs que Niger</t>
  </si>
  <si>
    <t>Ya fi son sosai ya zauna ya rayu a wani wuri</t>
  </si>
  <si>
    <t>463. Does ${hoh_roster_name} currently suffer from any illness or disability that limits their ability to travel or work?</t>
  </si>
  <si>
    <t>463. Est-ce que ${hoh_roster_name} souffre actuellement d'une maladie ou d'un handicap qui limite sa capacité à voyager ou à travailler ?</t>
  </si>
  <si>
    <t>463. ko a halin yanzu ${hoh_roster_name} yana da rashin lafiya ko naƙasa wanda ke iya hanashi zuwa balaguro ko yin aiki?</t>
  </si>
  <si>
    <t>Very likely to live in another country</t>
  </si>
  <si>
    <t>pm_location7</t>
  </si>
  <si>
    <t>464. What illness limits ${hoh_roster_name} in this way?</t>
  </si>
  <si>
    <t>464. Quelle maladie limite ${hoh_roster_name} de cette manière ?</t>
  </si>
  <si>
    <t>464. Wace rashin lafiya ke tsaida ${hoh_roster_name} ta haka ?</t>
  </si>
  <si>
    <t>pm_country1</t>
  </si>
  <si>
    <t>465. Other, specify:</t>
  </si>
  <si>
    <t>Will surely live in another country</t>
  </si>
  <si>
    <t>465. Autre précisez:</t>
  </si>
  <si>
    <t>465. Sauran, bayar da cikakkun bayanai:</t>
  </si>
  <si>
    <t>Tabbas ya zauna ya rayu a wani wuri</t>
  </si>
  <si>
    <t>pm_country2</t>
  </si>
  <si>
    <t>466. Does ${hoh_roster_name} have children?</t>
  </si>
  <si>
    <t>466. Est-ce que ${hoh_roster_name} a des enfants ?</t>
  </si>
  <si>
    <t>466. ko ${hoh_roster_name} yana da yara?</t>
  </si>
  <si>
    <t>pm_country3</t>
  </si>
  <si>
    <t>467. How many children is ${hoh_roster_name} responsible for?</t>
  </si>
  <si>
    <t>467. De combien d'enfants ${hoh_roster_name} est-il responsable ?</t>
  </si>
  <si>
    <t>467. Yara nawa ne ${hoh_roster_name} yake ɗauke da Nauyinsu?</t>
  </si>
  <si>
    <t>pm_country4</t>
  </si>
  <si>
    <t>468. What is the highest level of education that ${hoh_roster_name} has completed?</t>
  </si>
  <si>
    <t>468. Quel est le plus haut niveau d'études atteint par ${hoh_roster_name} ?</t>
  </si>
  <si>
    <t>468. Menene mafi girman mastayin ilimi da ${hoh_roster_name} ya kai?</t>
  </si>
  <si>
    <t>pm_country5</t>
  </si>
  <si>
    <t>469. Is ${hoh_roster_name} currently enrolled in school?</t>
  </si>
  <si>
    <t>school_prefer_son</t>
  </si>
  <si>
    <t>469. Est-ce que ${hoh_roster_name} est actuellement inscrit à l'école ?</t>
  </si>
  <si>
    <t>469. Ko ${hoh_roster_name} yana yin lakwal a halin yanzu?</t>
  </si>
  <si>
    <t>Strongly prefer sons complete koranic school</t>
  </si>
  <si>
    <t>Préfère fortement que les fils terminent l'école coranique</t>
  </si>
  <si>
    <t>pm_country6</t>
  </si>
  <si>
    <t>Ya fi son sosai ƴaƴa maza su kammala karatun ƙur'ani</t>
  </si>
  <si>
    <t>470. What kind of school is ${hoh_roster_name} enrolled in?</t>
  </si>
  <si>
    <t>470. Dans quel type d'école est inscrit ${hoh_roster_name} ?</t>
  </si>
  <si>
    <t>470. Wace irin makaranta aka rubuta ${hoh_roster_name}?</t>
  </si>
  <si>
    <t>pm_country7</t>
  </si>
  <si>
    <t>471. What is the cost of school fees for the current academic year in CFA?</t>
  </si>
  <si>
    <t>471. Quel est le coût des frais de scolarité pour l'année scolaire en cours (en CFA) ?</t>
  </si>
  <si>
    <t>471. Nawa ne kuɗin makaranta na wannan shekarar (a sefa)?</t>
  </si>
  <si>
    <t>Somewhat prefer sons complete koranic school</t>
  </si>
  <si>
    <t>Préfère un peu que les fils terminent l'école coranique</t>
  </si>
  <si>
    <t>Ya ɗan fi son ƴaƴa maza su kammala karatun ƙur'ani</t>
  </si>
  <si>
    <t>pm_new_location1</t>
  </si>
  <si>
    <t>472. In the past month (four weeks) how many days has ${hoh_roster_name} missed school for health reasons?</t>
  </si>
  <si>
    <t>472. Au cours du dernier mois (quatre semaines), combien de jours ${hoh_roster_name} a-t-il manqué l'école pour des raisons de santé ?</t>
  </si>
  <si>
    <t>472. A cikin watan da ya gabata (sati hudu), kwanaki nawa ${hoh_roster_name} yayi fashin zuwa makaranta saboda wata rishin lafiya?</t>
  </si>
  <si>
    <t>pm_new_location2</t>
  </si>
  <si>
    <t>Indifferent between completion of koranic school or bacalaureat</t>
  </si>
  <si>
    <t>Indifférent entre l'achèvement de l'école coranique et de l'école formelle jusqu'au baccalauréat</t>
  </si>
  <si>
    <t>Babu zaɓi tsakanin kammala karatun kur'ani ko boko har zuwa Bak</t>
  </si>
  <si>
    <t>473. In the past month (four weeks) how many days has ${hoh_roster_name} missed school for work or other reasons?</t>
  </si>
  <si>
    <t>473. Au cours du dernier mois (quatre semaines), combien de jours ${hoh_roster_name} a-t-il manqué l'école pour le travail ou pour d'autres raisons ?</t>
  </si>
  <si>
    <t>473. A cikin watan da ya gabata (makonni hudu), kwanaki nawa ${hoh_roster_name} yayi fashin makaranta saboda aiki ko wasu dalilai?</t>
  </si>
  <si>
    <t>pm_new_location3</t>
  </si>
  <si>
    <t>474. Is ${hoh_roster_name} married?</t>
  </si>
  <si>
    <t>474. Est-ce que ${hoh_roster_name} est marié ?</t>
  </si>
  <si>
    <t>474. Ko ${hoh_roster_name} yanada aure?</t>
  </si>
  <si>
    <t>Somewhat prefer sons complete bacalaureat</t>
  </si>
  <si>
    <t>Préfère un peu que les fils terminent l'école jusqu'au bac</t>
  </si>
  <si>
    <t>pm_new_location4</t>
  </si>
  <si>
    <t>Ya ɗan fi son ƴaƴa maza su kammala karatun boko har zuwa Bak</t>
  </si>
  <si>
    <t>475. How many wives does ${hoh_new_mem_name} have?</t>
  </si>
  <si>
    <t>475. Combien de femmes a ${hoh_roster_name} ?</t>
  </si>
  <si>
    <t>475. Mata nawa ${hoh_roster_name} yake da su?</t>
  </si>
  <si>
    <t>Strongly prefer sons complete bacalaureat</t>
  </si>
  <si>
    <t>510. Specify other:</t>
  </si>
  <si>
    <t>Préfère fortement que les garçons termnent l'école jusqu'au baccalauréat</t>
  </si>
  <si>
    <t>510. Précisez la culture</t>
  </si>
  <si>
    <t>Ya fi son sosai ƴaƴa maza su kammala karatun boko har zuwa Bak</t>
  </si>
  <si>
    <t>510. Baiyana wani abu daban:</t>
  </si>
  <si>
    <t>518. I will now ask you about meals people in your household have consumed in the past 7 days.</t>
  </si>
  <si>
    <t>518. Je vais maintenant vous poser des questions sur les repas que les membres de votre ménage ont consommé au cours des 7 derniers jours.</t>
  </si>
  <si>
    <t>518. Yanzu zan tambaye ku bisa abincin da mutanen gidanku suka ci a cikin kwanaki 7 da suka wuce.</t>
  </si>
  <si>
    <t>pm_new_location5</t>
  </si>
  <si>
    <t>476. We would now like to ask you about the migration history of ${hoh_roster_name}.</t>
  </si>
  <si>
    <t>476. Nous aimerions maintenant vous poser des questions sur l'historique de migration de ${hoh_roster_name}.</t>
  </si>
  <si>
    <t>476. Yanzu muna so mu tambaye ka tarihin zuwa biɗa na ${hoh_roster_name}.</t>
  </si>
  <si>
    <t>pm_new_location6</t>
  </si>
  <si>
    <t>477. Since ${period}, has ${hoh_roster_name} spent more than a week (7 days) away from home?</t>
  </si>
  <si>
    <t>477. Depuis cette ${period_french}, ${hoh_roster_name} a-t-il passé plus d'une semaine (7 jours) loin de chez lui ?</t>
  </si>
  <si>
    <t>477. Tun wancan ${period_hausa}, ${hoh_roster_name} ya shafe fiye da mako guda (kwana 7) baya gida?</t>
  </si>
  <si>
    <t>pm_new_location7</t>
  </si>
  <si>
    <t>work_prefer_son</t>
  </si>
  <si>
    <t>478. Since ${period}, in which of the following countries has ${hoh_roster_name} spent more than one week? Select all that apply</t>
  </si>
  <si>
    <t>Strongly prefer sons stay and work the land</t>
  </si>
  <si>
    <t>478. Depuis cette ${period_french}, dans lequel des pays suivants hoh_roster_name a-t-il passé plus d'une semaine ? Sélectionnez tout ce qui s'y rapporte</t>
  </si>
  <si>
    <t>Préfère fortement que les fils restent et travaillent la terre</t>
  </si>
  <si>
    <t>478. Tun daga wancan ${period_hausa}, a cikin waɗanne ƙasashe ne ${hoh_roster_name} ya shafe fiye da mako ɗaya? Zaɓi duk abin da ya dace</t>
  </si>
  <si>
    <t>Ya fi so sosai ƴaƴa maza su zauna su yi aikin gona</t>
  </si>
  <si>
    <t>pm_new_country1</t>
  </si>
  <si>
    <t>479. Specify other</t>
  </si>
  <si>
    <t>479. Autre à préciser</t>
  </si>
  <si>
    <t>Somewhat prefer sons stay and work the land</t>
  </si>
  <si>
    <t>Préfère un peu que les fils restent et travaillent la terre</t>
  </si>
  <si>
    <t>Ya ɗan fi son ƴaƴa maza su zauna su yi aikin gona</t>
  </si>
  <si>
    <t>515. Total savings: ${hoh_savings_total}: Does this look correct?</t>
  </si>
  <si>
    <t>515. Économies totales : ${hoh_savings_total} : cela vous semble correct ?</t>
  </si>
  <si>
    <t>515. Jimillar ajiya: ${hoh_savings_total}: kuna ganin ​​wannan yayi daidai?</t>
  </si>
  <si>
    <t>513. Specify other unit:</t>
  </si>
  <si>
    <t>513. Spécifiez une autre unité :</t>
  </si>
  <si>
    <t>513. Baiyana wani amfanin gonar daban:</t>
  </si>
  <si>
    <t>516. During ${period}, was your household negatively affected by any of the following types of events?</t>
  </si>
  <si>
    <t>Indifferent between sons staying and leaving</t>
  </si>
  <si>
    <t>516. Au cours de ${period_french}, votre ménage a-t-il été affecté négativement par l'un des types d'événements suivants ?</t>
  </si>
  <si>
    <t>Indifférent entre les fils restent travailler la terre et partent en ville</t>
  </si>
  <si>
    <t>516. A lokacin ${period_hausa}, ko gidanku ya fuskanci wani daga cikin matsaloli nan masu zuwa? Zaɓi duk abin da ya dace</t>
  </si>
  <si>
    <t>Bashi da zaɓi tsakanin ƴaƴa su zauna su yi aikin gona da su je birni</t>
  </si>
  <si>
    <t>514. What quantity (${hoh_crop_unit_name}) of ${hoh_crop_name} did your household sell since the last harvest?</t>
  </si>
  <si>
    <t>514. Quelle quantité (${hoh_crop_unit_name}) de ${hoh_crop_name} votre ménage a-t-il vendu depuis la dernière récolte ?</t>
  </si>
  <si>
    <t>514. Nawa ne yawan (${hoh_crop_unit_name}) na ${hoh_crop_name} gidanku ya saida tun daga kaka na ƙarshe?</t>
  </si>
  <si>
    <t>515. What was the price per ${hoh_crop_unit_name} of ${hoh_crop_name} you sold in CFA?</t>
  </si>
  <si>
    <t>515. Quel était le prix unitaire (${hoh_crop_unit_name}) de ${hoh_crop_name} que vous avez vendu en CFA ?</t>
  </si>
  <si>
    <t>515. Nawa farashin kowane ${hoh_crop_unit_name} na ${hoh_crop_name} da kuka saida a CFA?</t>
  </si>
  <si>
    <t>516. How many ${hoh_crop_unit_name}s of ${hoh_crop_name} did your household consume?</t>
  </si>
  <si>
    <t>516. Quelle quantité (${hoh_crop_unit_name}) de ${hoh_crop_name} votre ménage a-t-il consommé ?</t>
  </si>
  <si>
    <t>Somewhat prefer sons go to a city to find professional opportunities</t>
  </si>
  <si>
    <t>516. Nawa yawan ${hoh_crop_unit_name} na ${hoh_crop_name} gidanku ya cinye?</t>
  </si>
  <si>
    <t>Préfère un peu que les fils aillent en ville pour trouver des opportunités professionnelles</t>
  </si>
  <si>
    <t>Ya ɗan fi son ƴaƴa maza su je birni don neman sana'a</t>
  </si>
  <si>
    <t>517. The amount you have left (${hoh_qty_left}) is negative. Please return and revise your responses.</t>
  </si>
  <si>
    <t xml:space="preserve">517. </t>
  </si>
  <si>
    <t>518. Based on your responses, you had ${hoh_qty_left} ${hoh_crop_unit_name} left over. Does this sound correct?</t>
  </si>
  <si>
    <t xml:space="preserve">518. </t>
  </si>
  <si>
    <t>pm_new_country2</t>
  </si>
  <si>
    <t>Strongly prefer sons go to a city to find professional opportunities</t>
  </si>
  <si>
    <t>Préfère fortement que les fils partent en ville pour trouver des opportunités professionnelles</t>
  </si>
  <si>
    <t>Ya fi so sosai ƴaƴa maza su je birni don neman sana'a</t>
  </si>
  <si>
    <t>480. In ${hoh_destination}, what was the name of the city or town that ${hoh_roster_name} moved to?</t>
  </si>
  <si>
    <t>480. À ${hoh_destination}, quel était le nom de la ville dans laquelle ${hoh_roster_name} il a séjourné ?</t>
  </si>
  <si>
    <t>480. A ${hoh_destination}, menene sunan birnin da ${hoh_roster_name} ya zauna?</t>
  </si>
  <si>
    <t>pm_new_country3</t>
  </si>
  <si>
    <t>481. Specify other</t>
  </si>
  <si>
    <t>481. Autre à préciser</t>
  </si>
  <si>
    <t>481. Wani daban a Bayyana</t>
  </si>
  <si>
    <t>pm_new_country4</t>
  </si>
  <si>
    <t>482. In ${hoh_destination}, what was the name of the region that ${hoh_roster_name} moved to?</t>
  </si>
  <si>
    <t>482. Dans ${hoh_destination}, quel était le nom de la région vers laquelle ${hoh_roster_name} est allé ?</t>
  </si>
  <si>
    <t>482. A ${hoh_destination}, menene sunan yankin da ${hoh_roster_name} ya je?</t>
  </si>
  <si>
    <t>pm_new_country5</t>
  </si>
  <si>
    <t>483. Specify other</t>
  </si>
  <si>
    <t>483. Autre à préciser</t>
  </si>
  <si>
    <t>pm_new_country6</t>
  </si>
  <si>
    <t>484. How many times did ${hoh_roster_name} travel to ${hoh_destination} since ${period}?</t>
  </si>
  <si>
    <t>484. Combien de fois ${hoh_roster_name} s'est-il rendu à ${hoh_destination} depuis la ${period_french}?</t>
  </si>
  <si>
    <t>school_prefer_d</t>
  </si>
  <si>
    <t>484. Sau nawa ${hoh_roster_name} yayi tafiya zuwa ${hoh_destination} tun daga wancan ${period_hausa}?</t>
  </si>
  <si>
    <t>Strongly prefer daughters complete koranic school</t>
  </si>
  <si>
    <t>Préfère fortement que les filles terminent l'école coranique</t>
  </si>
  <si>
    <t>Ya fi son sosai ƴaƴa mata su kammala karatun ƙur'ani</t>
  </si>
  <si>
    <t>523. For ${hoh_emergency_name}
What was the value of the following in CFA?</t>
  </si>
  <si>
    <t>523. Par rapport à ${hoh_emergency_name}
Quelle était la valeur des éléments suivantes en CFA?</t>
  </si>
  <si>
    <t>523. Game da ${hoh_emergency_name}
 Nawa ne kimar waɗannan abubuwan a kuɗin CFA?</t>
  </si>
  <si>
    <t>519. How much did your household spend on the following types of expenses during the last agricultural season in CFA?</t>
  </si>
  <si>
    <t>519. Combien votre ménage a-t-il dépensé pour les types de dépenses suivantes au cours de la dernière saison agricole (en CFA) ?</t>
  </si>
  <si>
    <t>519. Nawa ne gidanku ya kashe akan waɗannan abubuwan a lokacin noman da ya wuce (a sefa)?</t>
  </si>
  <si>
    <t>Somewhat prefer daughters complete koranic school</t>
  </si>
  <si>
    <t>Préfére un peu que les filles terminent l'école coranique</t>
  </si>
  <si>
    <t>Ya ɗan fi son ƴaƴa mata su kammala karatun ƙur'ani</t>
  </si>
  <si>
    <t>520. Seeds</t>
  </si>
  <si>
    <t>520. Semences</t>
  </si>
  <si>
    <t>520. Iri</t>
  </si>
  <si>
    <t>pm_new_country7</t>
  </si>
  <si>
    <t>485. Since ${period}, was there ever a time when ${hoh_roster_name} planned to migrate but then had to cancel their plans?</t>
  </si>
  <si>
    <t>485. Depuis cette ${period_french}, y a-t-il déjà eu un moment où ${hoh_roster_name} avait prévu de migrer mais a ensuite dû annuler ses projets ?</t>
  </si>
  <si>
    <t>485. Tun daga ${period_hausa}, ko akwai lokacin da ${hoh_roster_name} ya shirya zuwa biɗa amma sai ya soke shirinshi?</t>
  </si>
  <si>
    <t>pm_bordercross_7_to_6</t>
  </si>
  <si>
    <t>Indifférent entre l'achèvement de l'école coranique et le baccalauréat</t>
  </si>
  <si>
    <t>486. Where did they plan to migrate?</t>
  </si>
  <si>
    <t>486. Où envisageait-il de migrer ?</t>
  </si>
  <si>
    <t>486. Zuwa ina ya shirya zuwa biɗar?</t>
  </si>
  <si>
    <t>pm_bordercross_6_to_5</t>
  </si>
  <si>
    <t>487. Specify other</t>
  </si>
  <si>
    <t>487. Autre à préciser</t>
  </si>
  <si>
    <t>487. Wani daban a Bayyana</t>
  </si>
  <si>
    <t>Somewhat prefer daughters complete bacalaureat</t>
  </si>
  <si>
    <t>Préfère un peu que les filles terminent l'école jusqu'au bac</t>
  </si>
  <si>
    <t>Ya ɗan fi son ƴaƴa mata su kammala karatun boko har zuwa Bak</t>
  </si>
  <si>
    <t>527. Now I would like to ask you about any money that you and your family owe to other people; money you have borrowed from people outside your household.</t>
  </si>
  <si>
    <t>527. Maintenant, je voudrais vous poser des questions sur l'argent que vous et votre ménage devez à d'autres personnes ; l'argent que vous avez emprunté à des personnes extérieures à votre ménage.</t>
  </si>
  <si>
    <t>527. Yanzu ina son in tambaye ku game da duk wani kuɗin da ku da ƴan gidanku kuka ɗauko daga wajen wasu mutane; kuɗin da kuka aro daga mutane wanda ba ƴan gidanku ba.</t>
  </si>
  <si>
    <t>528. In the last three months did you or a member of your household try to secure a loan from any source but were refused?</t>
  </si>
  <si>
    <t>528. Au cours des trois derniers mois, vous ou un membre de votre ménage avez-vous essayé d'obtenir un prêt auprès de n'importe quelle source, mais cela a été refusé ?</t>
  </si>
  <si>
    <t>Strongly prefer daughters complete bacalaureat</t>
  </si>
  <si>
    <t>528. A cikin watanni uku da suka wuce kai ko wani dan gidanku kun yi ƙoƙarin samun bashi daga kowace hanya amma an ƙi?</t>
  </si>
  <si>
    <t>Préfére fortement que les filles terminent l'école jusqu'au bac</t>
  </si>
  <si>
    <t>Ya fi son sosai ƴaƴa mata su kammala karatun boko har zuwa Bak</t>
  </si>
  <si>
    <t>524. We want to understand how many days people worked in your fields and who did this work.</t>
  </si>
  <si>
    <t>524. Nous voulons comprendre combien de jours des gens ont travaillé dans vos champs et qui a fait ce travail.</t>
  </si>
  <si>
    <t>524. Muna son mu fahimci kwanaki nawa mutane suka yi aiki a gonakinku da kuma wanda ya yi wannan aikin.</t>
  </si>
  <si>
    <t>525. Think about the last agricultural season. How many weeks were people working in your fields? This includes work by people who are members of your household and those who are not members of your household.</t>
  </si>
  <si>
    <t>525. Pensez à la dernière saison agricole. Combien de semaines au total les gens ont-ils travaillé dans vos champs ? Cela inclut le travail des personnes qui sont membres de votre ménage et celles qui ne le sont pas.</t>
  </si>
  <si>
    <t>525. Ku tuna da lokacin noma na ƙarshe. Makonni nawa mutane ke aiki a filayenku? Wannan ya haɗa da aikin mutanen da ke cikin gidanku da waɗanda ba ƴan gidanku ba ne.</t>
  </si>
  <si>
    <t>pm_bordercross_5_to_4</t>
  </si>
  <si>
    <t>488. In ${hoh_failed_country}, what was the name of the city or town that ${hoh_roster_name} planned to move to?</t>
  </si>
  <si>
    <t>488. Dans ${hoh_failed_country}, quel était le nom de la ville ou du village vers lequel ${hoh_roster_name} prévoyait de voyager ?</t>
  </si>
  <si>
    <t>488. A ƙasar ${hoh_failed_country}, menene sunan birni ko garin da sunan ${hoh_roster_name} yayi shirin zuwa?</t>
  </si>
  <si>
    <t>pm_bordercross_4_to_3</t>
  </si>
  <si>
    <t>489. Specify other</t>
  </si>
  <si>
    <t>489. Autre à préciser</t>
  </si>
  <si>
    <t>489. Wani daban a Bayyana</t>
  </si>
  <si>
    <t>pm_bordercross_3_to_2</t>
  </si>
  <si>
    <t>work_prefer_d</t>
  </si>
  <si>
    <t>Strongly prefer daughters stay and work the land</t>
  </si>
  <si>
    <t>Préfère fortement que les filles restent et travaillent la terre</t>
  </si>
  <si>
    <t>Ya fi so sosai ƴaƴa mata su zauna su yi aikin gona</t>
  </si>
  <si>
    <t>490. In ${hoh_failed_country}, what was the name of the region that ${hoh_roster_name} planned to move to?</t>
  </si>
  <si>
    <t>490. Dans ${hoh_failed_country}, quel était le nom de la région dans laquelle ${hoh_roster_name} prévoyait de voyager ?</t>
  </si>
  <si>
    <t>490. A kasar ${hoh_failed_country}, menene sunan yankin da sunan ${hoh_roster_name} ya shirya zuwa?</t>
  </si>
  <si>
    <t>pm_bordercross_2_to_1</t>
  </si>
  <si>
    <t>491. Specify other</t>
  </si>
  <si>
    <t>491. Autre à préciser</t>
  </si>
  <si>
    <t>491. Wani daban a Bayyana</t>
  </si>
  <si>
    <t>pm_bordercrossings</t>
  </si>
  <si>
    <t>Somewhat prefer daughters stay and work the land</t>
  </si>
  <si>
    <t>Préfère un peu que les filles restent et travaillent la terre</t>
  </si>
  <si>
    <t>Ya ɗan fi son ƴaƴa mata su zauna su yi aikin gona</t>
  </si>
  <si>
    <t>492. How many times did they plan to migrate to ${hoh_failed_country} and fail?</t>
  </si>
  <si>
    <t>492. Combien de fois ont-ils prévu de migrer vers ${hoh_failed_country} et ont-ils échoué ?</t>
  </si>
  <si>
    <t>492. Sau nawa ya shirya zuwa ƙasar ${hoh_failed_country} kuma ya kasa?</t>
  </si>
  <si>
    <t>pm_any_border_crossing</t>
  </si>
  <si>
    <t>493. Why did they change their plans?</t>
  </si>
  <si>
    <t>493. Pourquoi a-t-il changé son plan?</t>
  </si>
  <si>
    <t>493. Me yasa ya fasa tafiyar?</t>
  </si>
  <si>
    <t>Indifferent between daughters staying and leaving</t>
  </si>
  <si>
    <t>speedcheck_pm_transit_start</t>
  </si>
  <si>
    <t>Indifférent entre les filles qui restent travailler la terre et partent en ville</t>
  </si>
  <si>
    <t>494. Specify other reason</t>
  </si>
  <si>
    <t>494. Précisez une autre raison</t>
  </si>
  <si>
    <t>494. Baiyana wani dalili daban</t>
  </si>
  <si>
    <t>537. In the last 7 days, have children (&lt;14) gone a whole day without meals?</t>
  </si>
  <si>
    <t>537. Au cours des 7 derniers jours, des enfants (&lt;14) ont-ils passé une journée entière sans manger de repas ?</t>
  </si>
  <si>
    <t>537. A cikin kwanaki 7 na ƙarshe, ko yara ƴan ƙasa da shekara goma sha huɗu sun zauna tsawon wuni guda ba su ci da abinci ba?</t>
  </si>
  <si>
    <t>538. How many days?</t>
  </si>
  <si>
    <t>538. Pendant combien de jours?</t>
  </si>
  <si>
    <t>Somewhat prefer daughters go to a city to find professional opportunities</t>
  </si>
  <si>
    <t>Préfèrent un peu que les filles aillent en ville pour trouver des opportunités professionnelles</t>
  </si>
  <si>
    <t>538. 154a Tsawon kwanaki nawa?</t>
  </si>
  <si>
    <t>Ya ɗan fi son ƴaƴa mata su je birni don neman sana'a</t>
  </si>
  <si>
    <t>539. In the last 7 days, have children (&lt;14) cut the size of meals or skipped meals?</t>
  </si>
  <si>
    <t>539. Au cours des 7 derniers jours, des enfants (&lt;14) ont-ils réduit la taille de leurs repas ou les ont-ils sauté?</t>
  </si>
  <si>
    <t>539. A cikin kwanaki 7 na ƙarshe, suna da yara (&lt;14) sun rage yawan abinci ko sun rasa gaba ɗaya?</t>
  </si>
  <si>
    <t>Strongly prefer daughters go to a city to find professional opportunities</t>
  </si>
  <si>
    <t>Préfère fortement que les filles aillent en ville pour trouver des opportunités professionnelles</t>
  </si>
  <si>
    <t>Ya fi so sosai ƴaƴa mata su je birni don neman sana'a</t>
  </si>
  <si>
    <t>528. The following questions about agricultural labor are for the last agricultural season (last 180 days).</t>
  </si>
  <si>
    <t xml:space="preserve">528. </t>
  </si>
  <si>
    <t>529. Did you hire anyone outside of your household to work in your fields?</t>
  </si>
  <si>
    <t>529. Avez-vous embauché quelqu'un en dehors de votre ménage pour travailler dans vos champs ?</t>
  </si>
  <si>
    <t>529. Ko kun ɗauki wani dan barema da ba ɗan gidanku ba don yin aiki a gonakinku?</t>
  </si>
  <si>
    <t>530. How many different people did you hire people to work in your fields?</t>
  </si>
  <si>
    <t>530. Combien de personnes avez-vous embauchées pour travailler dans vos champs ?</t>
  </si>
  <si>
    <t>530. Mutane nawa kuka ɗauka don yin aiki a gonakinku?</t>
  </si>
  <si>
    <t>531. How many days did each laborer work in your fields?</t>
  </si>
  <si>
    <t>531. Combien de jours chaque ouvrier a-t-il travaillé dans vos champs ?</t>
  </si>
  <si>
    <t>531. Kwanaki nawa kowane ma'aikaci yayi aiki a gonakinku?</t>
  </si>
  <si>
    <t>532. What was the daily wage you paid for people to work in your fields, or how much would you pay in CFA?</t>
  </si>
  <si>
    <t>532. Quel était le salaire journalier que vous payiez pour que les gens travaillent dans vos champs, ou combien paieriez-vous en CFA ?</t>
  </si>
  <si>
    <t>ethnicity</t>
  </si>
  <si>
    <t>532. Nawa ne kuke biyan waɗanda suka yi aiki a gonakinku a dukkan wuni a sefa ?</t>
  </si>
  <si>
    <t>Arab</t>
  </si>
  <si>
    <t>Arabe</t>
  </si>
  <si>
    <t>Balarabe</t>
  </si>
  <si>
    <t>544. Do you have a Whatsapp account/ phone number you use for WhatsApp?</t>
  </si>
  <si>
    <t>544. Avez-vous un compte/numéro de téléphone Whatsapp que vous utilisez pour WhatsApp ?</t>
  </si>
  <si>
    <t>544. Kuna yin WhatsApp / lambar wayar da kuke amfani da ita ta WhatsApp ce?</t>
  </si>
  <si>
    <t>533. Thinking of your expenses related to labor and investment in your fields during the last agricultural season, you spent a total of ${hoh_total_paid} in CFA, is this correct?</t>
  </si>
  <si>
    <t>533. Pour toutes les dépenses pour vos champs dont nous avons parlé, vous avez payé ${hoh_total_paid} en CFA, est-ce correct ?</t>
  </si>
  <si>
    <t>533. Ku tuna da dukkan kuɗaɗen da kuka kashe a kan aikin gona a lokacin aikin noma na ƙarshe, kun kashe jimillar ${hoh_total_paid} a CFA, wannan daidai ne?</t>
  </si>
  <si>
    <t>Djerma/Songhai</t>
  </si>
  <si>
    <t>Ba zabarme/ba songaye</t>
  </si>
  <si>
    <t>534. Now we'll ask about any work by members of your household in fields owned by other people.</t>
  </si>
  <si>
    <t>534. Nous allons maintenant poser des questions sur tout travail effectué par des membres de votre ménage dans des champs appartenant à d'autres personnes.</t>
  </si>
  <si>
    <t>534. Yanzu za mu yi tambayoyi game da duk wani aiki da ƴan gidanku suka yi a gonakin wasu mutane.</t>
  </si>
  <si>
    <t>535. Have any family members worked as a day labor in fields for someone else?</t>
  </si>
  <si>
    <t>535. Pensez à tout membre de votre ménage, y-a t-il des membres de votre ménage qui ont travaillé comme journaliers dans le champs de quelqu'un d'autre ?</t>
  </si>
  <si>
    <t>535. Ko wani ɗan gidanku ya yi aiki a matsayin ɗan barema a gonar wani?</t>
  </si>
  <si>
    <t>Gourmantche</t>
  </si>
  <si>
    <t>544. Has your household spent money on the following types of expenses in the past week?</t>
  </si>
  <si>
    <t>Ba gurme</t>
  </si>
  <si>
    <t>544. Votre ménage a-t-il dépensé de l'argent pour les types de dépenses suivants au cours de la semaine dernière ?</t>
  </si>
  <si>
    <t>544. Ko gidanku sun kashe kuɗi akan ire iren waɗannan abubuwan a cikin satin da ya gabata?</t>
  </si>
  <si>
    <t>549. Do you have other phone numbers that you use regularly (i.e. other phone carriers)?</t>
  </si>
  <si>
    <t>549. Avez-vous d'autres numéros de téléphone que vous utilisez régulièrement (c'est-à-dire d'autres opérateurs téléphoniques) ?</t>
  </si>
  <si>
    <t>549. Ko kuna da wasu lambobin waya waɗanda kuke amfani da su kai-akai (layin wasu gidan wayar salula)?</t>
  </si>
  <si>
    <t>550. How many other additional phone numbers?</t>
  </si>
  <si>
    <t>550. Y-a t-il d'autres numéros de téléphone supplémentaires ?</t>
  </si>
  <si>
    <t>550. 220 a. Ko akwai ƙarin wasu lambobin waya?</t>
  </si>
  <si>
    <t>Haoussa</t>
  </si>
  <si>
    <t>Ba haushe</t>
  </si>
  <si>
    <t>pm_transit_intro_note</t>
  </si>
  <si>
    <t>98. EUMERATOR: We will now ask about the trips that the respondent made in ${period}. If the respondent returned to ${pm_beginning_location} at the end of the period, we will not ask about their return journey.</t>
  </si>
  <si>
    <t>ENQUETEUR : Nous allons maintenant poser des questions sur les déplacements effectués par le répondant en ${period_french}. Si le répondant est revenu à ${pm_beginning_location} à la fin de la période, nous ne poserons pas de questions sur son voyage retour.</t>
  </si>
  <si>
    <t>Ɗan bincike: Yanzu za mu yi tambaya game da tafiye-tafiyen da mai bada amsa ya yi a ${period_hausa}. Idan mai bada amsa ya koma ${pm_beginning_location} a ƙarshen lokacin, ba za mu yi tambaya game da tafiya ta dawowa ba.</t>
  </si>
  <si>
    <t>Kanouri-Manga</t>
  </si>
  <si>
    <t>Kanouri/ Ba mange</t>
  </si>
  <si>
    <t>496. Do you or another member of the household own this house?</t>
  </si>
  <si>
    <t>496. Est-ce que vous ou un autre membre du ménage êtes propriétaire de cette maison ?</t>
  </si>
  <si>
    <t>496. Shin wannan gidan mallakarku ne kai ko wani dan cikin gidan ?</t>
  </si>
  <si>
    <t>Peul</t>
  </si>
  <si>
    <t>pm_dom_mig</t>
  </si>
  <si>
    <t>Ba fullace</t>
  </si>
  <si>
    <t>497. What is your best estimate of the value of your home in CFA?</t>
  </si>
  <si>
    <t>497. Quelle est votre meilleure estimation de la valeur de votre maison en CFA ?</t>
  </si>
  <si>
    <t>497. A ganinka wannan gidan aƙalla ya yi nawa a kudin CFA ?</t>
  </si>
  <si>
    <t>pm_border_cross</t>
  </si>
  <si>
    <t>Touareg</t>
  </si>
  <si>
    <t>Bouzou/Ba abzine</t>
  </si>
  <si>
    <t>498. Does your household own the following goods?</t>
  </si>
  <si>
    <t>498. Votre ménage possède-t-il les biens suivants ?</t>
  </si>
  <si>
    <t>498. Ko gidanku na da kadarori masu zuwa?</t>
  </si>
  <si>
    <t>pm_border_cross_ecowas</t>
  </si>
  <si>
    <t>499. Does your household own any of the following types of livestock?</t>
  </si>
  <si>
    <t>499. Votre ménage possède-t-il l'un des types de bétail suivants ?</t>
  </si>
  <si>
    <t>499. ko gidanku yana da ɗaya daga cikin irin wadannan dabbobi?</t>
  </si>
  <si>
    <t>Toubou</t>
  </si>
  <si>
    <t>Ba Tube</t>
  </si>
  <si>
    <t>548. Sheep</t>
  </si>
  <si>
    <t>548. Mouton</t>
  </si>
  <si>
    <t>548. Rago</t>
  </si>
  <si>
    <t>549. Goat</t>
  </si>
  <si>
    <t>549. Chèvre</t>
  </si>
  <si>
    <t>549. Akuya</t>
  </si>
  <si>
    <t>538. Thinking about the last agricultural season, did you need to pay other expenses we did not ask you about?</t>
  </si>
  <si>
    <t>538. En pensant à la dernière saison agricole, avez-vous dû faire d'autres dépenses dont nous n'avons pas parlé ?</t>
  </si>
  <si>
    <t>538. A tunaninka a lokacin noman da ya gabata, akwai wasu kashe kashen kuɗi da kuka yi wanda ba mu yi zancen su ba?</t>
  </si>
  <si>
    <t>pm_mig_any</t>
  </si>
  <si>
    <t>500. How many ${hoh_livestock_name} does your household own?</t>
  </si>
  <si>
    <t>500. Combien de ${hoh_livestock_name} votre ménage possède-t-il ?</t>
  </si>
  <si>
    <t>500. ${hoh_livestock_name} Nawa gidan ku ya mallaka ?</t>
  </si>
  <si>
    <t>pm_transit_7_to_6</t>
  </si>
  <si>
    <t>99. Based on your answers it sounds like you started in ${pm_new_location7} and traveled to ${pm_new_location6} since ${period}, is that correct?</t>
  </si>
  <si>
    <t>99. D'après vos réponses, il semble que vous ayez commencé à ${pm_new_location7} et que vous vous soyez rendu à ${pm_new_location6} depuis ${period_french}, n'est-ce pas ?</t>
  </si>
  <si>
    <t>99. Dangance da amsoshinku ina jin kamar kun fara a ${pm_new_location7} kuma kuka yi tafiya zuwa ${pm_new_location6} lokacin ${period_hausa}, daidai ne?</t>
  </si>
  <si>
    <t>556. What is ${secondary_name1}'s relationship to you?</t>
  </si>
  <si>
    <t>556. Quelle est la relation entre ${secondary_name1} et vous ?</t>
  </si>
  <si>
    <t>vax</t>
  </si>
  <si>
    <t>556. Menene alaƙar ku da ${secondary_name1} ?</t>
  </si>
  <si>
    <t>Babu ko ɗaya</t>
  </si>
  <si>
    <t>557. Just to confirm, is this the number? 
 ${secondary_name1}
 ${secondary_phone1}</t>
  </si>
  <si>
    <t>557. Juste pour confirmer, est-ce bien le numéro ?
 ${secondary_name1}
 ${secondary_phone1}</t>
  </si>
  <si>
    <t>557. Don tabbatarwa kawai, da wannan itace lambar?
 ${secondary_name1}
 ${secondary_phone1}</t>
  </si>
  <si>
    <t>558. Please go back and correct the name and phone number.</t>
  </si>
  <si>
    <t>558. Veuillez revenir en arrière et corriger le nom et le numéro de téléphone.</t>
  </si>
  <si>
    <t>558. Da fatan za ka koma baya don ka gyara suna da lambar waya.</t>
  </si>
  <si>
    <t>559. I am going to call this phone number to confirm it is correct. [Enumerator: Did the phone ring?]</t>
  </si>
  <si>
    <t>559. Je vais appeler ce numéro de téléphone pour confirmer qu'il est correct. [Enquêteur : Le téléphone a-t-il sonné ?]</t>
  </si>
  <si>
    <t>559. Zan kirayi wannan lambar wayar don tabbatar da daidai ce. [Ɗan bincike: Wayar ta yi ƙara?]</t>
  </si>
  <si>
    <t>pm_transit_6_to_5</t>
  </si>
  <si>
    <t>99. Based on your answers it sounds like you started in ${pm_new_location6} and traveled to ${pm_new_location5} since ${period}, is that correct?</t>
  </si>
  <si>
    <t>Yellow Fever</t>
  </si>
  <si>
    <t>99. D'après vos réponses, il semble que vous ayez commencé à ${pm_new_location6} et que vous vous soyez rendu à ${pm_new_location5} depuis ${period_french}, n'est-ce pas ?</t>
  </si>
  <si>
    <t>99. Dangance da amsoshinku ina jin kamar kun fara a ${pm_new_location6} kuma kuka yi tafiya zuwa ${pm_new_location5} lokacin ${period_hausa}, daidai ne?</t>
  </si>
  <si>
    <t>Farar masara</t>
  </si>
  <si>
    <t>pm_transit_5_to_4</t>
  </si>
  <si>
    <t>99. Based on your answers it sounds like you started in ${pm_new_location5} and traveled to ${pm_new_location4} since ${period}, is that correct?</t>
  </si>
  <si>
    <t>99. D'après vos réponses, il semble que vous ayez commencé à ${pm_new_location5} et que vous vous soyez rendu à ${pm_new_location4} depuis ${period_french}, n'est-ce pas ?</t>
  </si>
  <si>
    <t>99. Dangance da amsoshinku ina jin kamar kun fara a ${pm_new_location5} kuma kuka yi tafiya zuwa ${pm_new_location4} lokacin ${period_hausa}, daidai ne?</t>
  </si>
  <si>
    <t>Meningitis</t>
  </si>
  <si>
    <t>Sankarau</t>
  </si>
  <si>
    <t>pm_transit_4_to_3</t>
  </si>
  <si>
    <t>100. Based on your answers it sounds like you started in ${pm_new_location4} and traveled to ${pm_new_location3} since ${period}, is that correct?</t>
  </si>
  <si>
    <t>100. D'après vos réponses, il semble que vous ayez commencé à ${pm_new_location4} et que vous vous soyez rendu à ${pm_new_location3} depuis ${period_french}, n'est-ce pas ?</t>
  </si>
  <si>
    <t>100. Dangance da amsoshinku ina jin kamar kun fara a ${pm_new_location4} kuma kuka yi tafiya zuwa ${pm_new_location3} lokacin ${period_hausa}, daidai ne?</t>
  </si>
  <si>
    <t>COVID-19</t>
  </si>
  <si>
    <t>COVID 19</t>
  </si>
  <si>
    <t>pm_transit_3_to_2</t>
  </si>
  <si>
    <t>CUTAR COVID 19</t>
  </si>
  <si>
    <t>101. Based on your answers it sounds like you started in ${pm_new_location3} and traveled to ${pm_new_location2} since ${period}, is that correct?</t>
  </si>
  <si>
    <t>101. D'après vos réponses, il semble que vous ayez commencé à ${pm_new_location3} et que vous vous soyez rendu à ${pm_new_location2} depuis ${period_french}, n'est-ce pas ?</t>
  </si>
  <si>
    <t>101. Dangance da amsoshinku ina jin kamar kun fara a ${pm_new_location3} kuma kuka yi tafiya zuwa ${pm_new_location2} lokacin ${period_hausa}, daidai ne?</t>
  </si>
  <si>
    <t>pm_transit_2_to_1</t>
  </si>
  <si>
    <t>Polio</t>
  </si>
  <si>
    <t>102. Based on your answers it sounds like you started in ${pm_new_location2} and traveled to ${pm_new_location1} since ${period}, is that correct?</t>
  </si>
  <si>
    <t>102. D'après vos réponses, il semble que vous ayez commencé à ${pm_new_location2} et que vous vous soyez rendu à ${pm_new_location1} depuis ${period_french}, n'est-ce pas ?</t>
  </si>
  <si>
    <t>102. Dangance da amsoshinku ina jin kamar kun fara a ${pm_new_location2} kuma kuka yi tafiya zuwa ${pm_new_location1} lokacin ${period_hausa}, daidai ne?</t>
  </si>
  <si>
    <t>Cutar shan inna</t>
  </si>
  <si>
    <t>pm_transits</t>
  </si>
  <si>
    <t>Transits</t>
  </si>
  <si>
    <t>Hanya</t>
  </si>
  <si>
    <t>Tuberculosis</t>
  </si>
  <si>
    <t>Babban tari</t>
  </si>
  <si>
    <t>507. How much of this land (in hectares) did you rent during the last agricultural season?</t>
  </si>
  <si>
    <t>507. Quelle superficie de cette terre (en hectares) avez-vous louée au cours de la dernière saison agricole ?</t>
  </si>
  <si>
    <t>507. Eka nawa ne kuka yi haya a lokacin noman da ta wuce?</t>
  </si>
  <si>
    <t>pm_from_country</t>
  </si>
  <si>
    <t>508. How much did you pay to rent this land during the last agricultural season (in CFA)?</t>
  </si>
  <si>
    <t>508. A combien avez-vous loué ce terrain (en CFA) au cours de la dernière saison agricole ?</t>
  </si>
  <si>
    <t>508. A nawa kuka yi hayar wannan gonar a lokacin noman da ta wuce (a sefa)?</t>
  </si>
  <si>
    <t>555. I am going to call this phone number to confirm it is correct.</t>
  </si>
  <si>
    <t>555. Je vais appeler ce numéro de téléphone pour confirmer qu'il est correct.</t>
  </si>
  <si>
    <t>555. Zan kirayi wannan lambar don tabbatar da cewa daidai ce.</t>
  </si>
  <si>
    <t>556. Please go back and enter a new phone number.</t>
  </si>
  <si>
    <t>556. Veuillez revenir en arrière pour entrer un nouveau numéro de téléphone.</t>
  </si>
  <si>
    <t>556. Ko za ka koma baya ka shigar da sabuwar lambar waya.</t>
  </si>
  <si>
    <t>pm_to_country</t>
  </si>
  <si>
    <t>509. Now we will focus on agricultural activities during last agricultural season</t>
  </si>
  <si>
    <t>509. Maintenant, nous allons nous concentrer sur les activités agricoles au cours de la dernière saison agricole</t>
  </si>
  <si>
    <t>509. Yanzu za mu maida hankali kan ayyukan noma a lokacin damanar da ta wuce</t>
  </si>
  <si>
    <t>pm_cross_relevant</t>
  </si>
  <si>
    <t>510. Which of the following crops did your household grow during the last agricultural season?</t>
  </si>
  <si>
    <t>510. Laquelle des cultures suivantes votre ménage a-t-il cultivées au cours de la dernière saison agricole ?</t>
  </si>
  <si>
    <t>510. Wanne daga cikin waɗannan amfanin gidanku ya noma a damanar da ta gabata?</t>
  </si>
  <si>
    <t>pm_from_location</t>
  </si>
  <si>
    <t>511. Specify other:</t>
  </si>
  <si>
    <t>511. Précisez la culture</t>
  </si>
  <si>
    <t>511. Baiyana wani abu daban:</t>
  </si>
  <si>
    <t>languages</t>
  </si>
  <si>
    <t>545. How many ${hoh_livestock_act_name} did you consume?</t>
  </si>
  <si>
    <t>French</t>
  </si>
  <si>
    <t>545. Au cours des trois derniers mois, combien de ${hoh_livestock_act_name} avez-vous consommé ?</t>
  </si>
  <si>
    <t>545. ${hoh_livestock_act_name} Nawa kuka cinye ?</t>
  </si>
  <si>
    <t>Français</t>
  </si>
  <si>
    <t>Faransanci</t>
  </si>
  <si>
    <t>561. Please go back and correct the number.</t>
  </si>
  <si>
    <t>561. Veuillez revenir en arrière pour corriger le numéro.</t>
  </si>
  <si>
    <t>561. Da fatan za ka koma baya ka gyara lambar.</t>
  </si>
  <si>
    <t>562. Do you have other phone numbers that you use regularly (i.e. other phone carriers)?</t>
  </si>
  <si>
    <t>562. Avez-vous d'autres numéros de téléphone que vous utilisez régulièrement (c'est-à-dire d'autres opérateurs téléphoniques) ?</t>
  </si>
  <si>
    <t>562. Ko kuna da wasu lambobin waya waɗanda kuke amfani da su kai-akai (layin wasu gidan wayar salula)?</t>
  </si>
  <si>
    <t>563. How many other additional phone numbers?</t>
  </si>
  <si>
    <t>563. Y-a t-il d'autres numéros de téléphone supplémentaires ?</t>
  </si>
  <si>
    <t>563. 220 a. Ko akwai ƙarin wasu lambobin waya?</t>
  </si>
  <si>
    <t>Arabic</t>
  </si>
  <si>
    <t>arabe</t>
  </si>
  <si>
    <t>pm_to_location</t>
  </si>
  <si>
    <t>Larabci</t>
  </si>
  <si>
    <t>512. How much of ${hoh_crop_name} did your household produce?</t>
  </si>
  <si>
    <t>512. Quelle quantité de ${hoh_crop_name} votre ménage a-t-il produit ?</t>
  </si>
  <si>
    <t>512. ${hoh_crop_name} Nawa gidanku ya samu?</t>
  </si>
  <si>
    <t>pm_transit_note</t>
  </si>
  <si>
    <t>Haussa</t>
  </si>
  <si>
    <t>Hausa</t>
  </si>
  <si>
    <t>548. How many days did people in your household work to care for your animals in a typical week in the past three months?</t>
  </si>
  <si>
    <t>548. Dans les trois derniers mois, au cours d'une semaine normale, combien de jours les membres de votre ménage ont-ils travaillé pour s'occuper de vos animaux ?</t>
  </si>
  <si>
    <t>548. A cikin watanni uku da suka wuce, kwana nawa a cikin sati mutanen gidanku suka yi aiki don kula da bisashenku?</t>
  </si>
  <si>
    <t>select_multiple travel</t>
  </si>
  <si>
    <t>Songhai</t>
  </si>
  <si>
    <t>pm_travel_how</t>
  </si>
  <si>
    <t>Songhaï</t>
  </si>
  <si>
    <t>106. How did you travel between ${pm_from_location} and ${pm_to_location}?</t>
  </si>
  <si>
    <t>Songhai/ zabarmanci</t>
  </si>
  <si>
    <t>106. Comment vous êtes-vous déplacé entre ${pm_from_location} et ${pm_to_location} ?</t>
  </si>
  <si>
    <t>106. Yaya kuka yi tafiyar (ko bisa abun hawa) tsakanin ${pm_from_location} da ${pm_to_location}?</t>
  </si>
  <si>
    <t>Tamasheq</t>
  </si>
  <si>
    <t>Buzanci</t>
  </si>
  <si>
    <t>550. In the last 3 months, for how many weeks did you hire people to care for your livestock?</t>
  </si>
  <si>
    <t>550. Au cours des trois derniers mois, combien de semaines avez-vous embauché des personnes pour s'occuper de votre bétail ?</t>
  </si>
  <si>
    <t>550. A cikin watanni 3 da suka wuce, sati nawa kuka dauki ƴan aiki don kula da dabbobinku?</t>
  </si>
  <si>
    <t>pm_travel_how_o</t>
  </si>
  <si>
    <t>107. Other, specify:</t>
  </si>
  <si>
    <t>107. Autre précisez:</t>
  </si>
  <si>
    <t>107. Wani daban, baiyana:</t>
  </si>
  <si>
    <t>Fulfulde</t>
  </si>
  <si>
    <t>Hillanci/Fulatanci</t>
  </si>
  <si>
    <t>pm_travel_num</t>
  </si>
  <si>
    <t>108. How many people traveled with you (in the same travel group) from ${pm_from_location} to ${pm_to_location}, if any?</t>
  </si>
  <si>
    <t>108. Combien de personnes ont voyagé avec vous (dans le même groupe de voyage) du ${pm_from_location} à ${pm_to_location}, si c'est le cas ?</t>
  </si>
  <si>
    <t>108. Mutane nawa ne suka yi tafiya tare da ku (a cikin gungu ɗaya) daga ${pm_from_location} zuwa ${pm_to_location}, idan haka ya kasance?</t>
  </si>
  <si>
    <t>Kanuri</t>
  </si>
  <si>
    <t>pm_travel_ppm</t>
  </si>
  <si>
    <t>109. Did any of the people you travelled with participate in Mercy Corps program?</t>
  </si>
  <si>
    <t>Kanuri /Barbarci</t>
  </si>
  <si>
    <t>109. Certaines des personnes avec lesquelles vous avez voyagé ont-elles participé au programme Mercy Corps ?</t>
  </si>
  <si>
    <t>109. Ko a cikin mutanen da kuka yi tafiya tare da su akwai mahalarta cikin shirin Mercy Corps?</t>
  </si>
  <si>
    <t>Gourmanchema</t>
  </si>
  <si>
    <t>Gourmanci</t>
  </si>
  <si>
    <t>553. In the past three months, did any member of your household care for livestock owned by other people?</t>
  </si>
  <si>
    <t>553. Au cours des trois derniers mois, un membre de votre ménage s'est-il occupé du bétail appartenant à d'autres personnes ?</t>
  </si>
  <si>
    <t>553. A cikin watanni uku da suka wuce, akwai wani ɗan gidanku da ya kula da dabbobin wasu mutane?</t>
  </si>
  <si>
    <t>pm_crossed_border</t>
  </si>
  <si>
    <t>Crossed a border</t>
  </si>
  <si>
    <t>Traverser une frontière</t>
  </si>
  <si>
    <t>Ketare iyaka</t>
  </si>
  <si>
    <t>518. The amount you have left (${hoh_qty_left}) is negative. Please return and revise your responses.</t>
  </si>
  <si>
    <t>518. Le montant qu'il vous reste (${hoh_qty_left}) est négatif. Veuillez revenir et réviser vos réponses.</t>
  </si>
  <si>
    <t>518. jimillar kuɗin da suka saura (${hoh_qty_left}) maras kyau ne. Da fatan za a dawo a sake duba amsoshin.</t>
  </si>
  <si>
    <t>Tebu</t>
  </si>
  <si>
    <t>pm_cross_note</t>
  </si>
  <si>
    <t>110. The next few questions focus on your experience crossing the border from ${pm_from_location} to ${pm_to_location}.</t>
  </si>
  <si>
    <t>Tubanci</t>
  </si>
  <si>
    <t>110. Les prochaines questions portent sur votre expérience de passage de la frontière de ${pm_from_location} à ${pm_to_location}.</t>
  </si>
  <si>
    <t>110. Tambayoyi na gaba sun ta allaƙa ne bisa sininku kan ketare iyaka daga ${pm_from_location} zuwa ${pm_to_location}.</t>
  </si>
  <si>
    <t>556. Now we will ask about other forms of income people in your household may have earned in the past three months.</t>
  </si>
  <si>
    <t>556. Nous allons maintenant poser des questions sur les autres formes de revenus que les membres de votre ménage ont pu gagner au cours des trois derniers mois.</t>
  </si>
  <si>
    <t>556. Yanzu za mu yi tambayoyi bisa wasu hanyoyin samun kuɗin shiga da yan gidanku a cikin watanni uku da suka gabata.</t>
  </si>
  <si>
    <t>English</t>
  </si>
  <si>
    <t>Anglais</t>
  </si>
  <si>
    <t>Turanci</t>
  </si>
  <si>
    <t>557. Do you or another member of your household own land that is currently not used for agriculture, outside of your current home?</t>
  </si>
  <si>
    <t>557. Est-ce que vous ou un autre membre de votre ménage possédez des terres qui ne sont actuellement pas utilisées pour l'agriculture, en dehors de votre domicile actuel ?</t>
  </si>
  <si>
    <t>557. Shin kai ko wani na gidanku kuna da wasu hilaye wanda ba na noma ba bancin gidanku da kuke ciki a halin yanzu?</t>
  </si>
  <si>
    <t>558. In the past three months, what is the total revenue from rent of land or other property in CFA?</t>
  </si>
  <si>
    <t>558. Au cours des trois derniers mois, quel a été le revenu total provenant de la location d'un terrain ou d'une autre propriété en CFA?</t>
  </si>
  <si>
    <t>558. A cikin watanni uku da suka gabata, menene jimillar kuɗin da aka samu ta hanyar hayan filaye ko wasu kadarori (a sefa)?</t>
  </si>
  <si>
    <t>559. In the past three months, what is the total value of interest from loans you have given to others in CFA?</t>
  </si>
  <si>
    <t>559. Au cours des trois derniers mois, quelle est la valeur totale des intérêts des prêts que vous avez accordés à d'autres en CFA?</t>
  </si>
  <si>
    <t>Dioula</t>
  </si>
  <si>
    <t>559. A cikin watanni uku da suka gabata, nawa ne jimillar kudin ruwan basussuka da kuka baiwa wasu (a sefa)?</t>
  </si>
  <si>
    <t>pm_crossed_border_how</t>
  </si>
  <si>
    <t>111. How did you cross the border from ${pm_from_location} to ${pm_to_location}?</t>
  </si>
  <si>
    <t>111. Comment avez-vous traversé la frontière entre ${pm_from_location} et ${pm_to_location} ?</t>
  </si>
  <si>
    <t>111. Yaya kuka ketare iyaka daga ${pm_from_location} zuwa ${pm_to_location}?</t>
  </si>
  <si>
    <t>pm_crossed_border_how_o</t>
  </si>
  <si>
    <t>112. Wani daban, baiyana:</t>
  </si>
  <si>
    <t>Bambara</t>
  </si>
  <si>
    <t>pm_border_number</t>
  </si>
  <si>
    <t>113. Combien de personnes ont traversé la frontière avec vous (dans le même groupe de voyage) du ${pm_from_location} à ${pm_to_location}, si c'est le cas?</t>
  </si>
  <si>
    <t>Bamiléké</t>
  </si>
  <si>
    <t>pm_checkpoint</t>
  </si>
  <si>
    <t>114. Was there an official checkpoint or building where you crossed the border from ${pm_from_location} to ${pm_to_location}?</t>
  </si>
  <si>
    <t>114. Y avait-il un point de contrôle ou un bâtiment officiel à l'endroit où vous avez traversé la frontière entre ${pm_from_location} et ${pm_to_location} ?</t>
  </si>
  <si>
    <t>114. Ko akwai wurin bincike ko wata ma'aikata na gwamnati a inda kuka ketara iyaka daga ${pm_from_location} zuwa ${pm_to_location}?</t>
  </si>
  <si>
    <t>Chinese</t>
  </si>
  <si>
    <t>Chinois</t>
  </si>
  <si>
    <t>Canis</t>
  </si>
  <si>
    <t>pm_encounter_border</t>
  </si>
  <si>
    <t>115. Did you/your vehicle encounter border police or migration officials at the border from ${pm_from_location} to ${pm_to_location}?</t>
  </si>
  <si>
    <t>115. Avez-vous/votre véhicule a-t-il rencontré la police des frontières ou des agents de l'immigration à la frontière entre ${pm_from_location} et ${pm_to_location} ?</t>
  </si>
  <si>
    <t>115. Ko kun haɗu ƴan sandan iyaka ko jami'an imagreshin a kan iyaka daga ${pm_from_location} zuwa ${pm_to_location}?</t>
  </si>
  <si>
    <t>563. Do you have a permanent location (i.e. building)?</t>
  </si>
  <si>
    <t>563. Avez-vous un emplacement permanent (c'est-à-dire un bâtiment) ?</t>
  </si>
  <si>
    <t>563. Kuna da wurin dindindin (kamar gini)?</t>
  </si>
  <si>
    <t>564. How many people outside of your household do you employ in this business?</t>
  </si>
  <si>
    <t>564. Combien de personnes en dehors de votre ménage employez-vous dans cette entreprise ?</t>
  </si>
  <si>
    <t>564. Mutane nawa ne kuka dauka aiki banda ƴan gidan a wannan kasuwancin?</t>
  </si>
  <si>
    <t>565. How much do you pay per day for people to work in this business in CFA?</t>
  </si>
  <si>
    <t>565. Combien payez-vous par jour pour que les gens travaillent dans cette entreprise (en CFA) ?</t>
  </si>
  <si>
    <t>565. Nawa kuke biyan su a wuni (a sefa) ?</t>
  </si>
  <si>
    <t>579. Just to confirm, is this the number? 
 ${secondary_name2}
 ${secondary_phone2}</t>
  </si>
  <si>
    <t>579. Juste pour confirmer, est-ce bien le numéro ?
 ${secondary_name2}
 ${secondary_phone2}</t>
  </si>
  <si>
    <t>579. Don tabbatar kawai, da wannan itace lambar?
 ${secondary_name2}
 ${secondary_phone2}</t>
  </si>
  <si>
    <t>transmit</t>
  </si>
  <si>
    <t>580. Please go back and correct the name and phone number.</t>
  </si>
  <si>
    <t>580. Veuillez revenir en arrière et corriger le nom et le numéro de téléphone.</t>
  </si>
  <si>
    <t>580. Da fatan za ka koma baya ka gyara suna da lambar waya.</t>
  </si>
  <si>
    <t>pm_show_docs_border</t>
  </si>
  <si>
    <t>116. Were you asked to show any documents when you crossed the border from ${pm_from_location} to ${pm_to_location}?</t>
  </si>
  <si>
    <t>116. Vous a-t-on demandé de montrer des documents lorsque vous avez traversé la frontière de ${pm_from_location} à ${pm_to_location} ?</t>
  </si>
  <si>
    <t>116. Ko an tambayeku ku nuna wasu takardu lokacin da kuka ketare iyaka daga ${pm_from_location} zuwa ${pm_to_location}?</t>
  </si>
  <si>
    <t>select_multiple docs</t>
  </si>
  <si>
    <t>pm_docs_border</t>
  </si>
  <si>
    <t>117. Which documents were you asked to show when you crossed the border from ${pm_from_location} to ${pm_to_location}?</t>
  </si>
  <si>
    <t>117. Quels documents vous a-t-on demandé de présenter lorsque vous avez traversé la frontière entre ${pm_from_location} et ${pm_to_location} ?</t>
  </si>
  <si>
    <t>117. Waɗanne takardu aka tambayeku nunawa lokacin da kuka ketare iyaka daga ${pm_from_location} zuwa ${pm_to_location}?</t>
  </si>
  <si>
    <t>pm_docs_border_o</t>
  </si>
  <si>
    <t>118. Specify other</t>
  </si>
  <si>
    <t>118. Autre à préciser</t>
  </si>
  <si>
    <t>118. Wani daban a baiyana</t>
  </si>
  <si>
    <t>566. In a typical week during the past three months, how many days did ${hoh_biz_name} work in the household business?</t>
  </si>
  <si>
    <t xml:space="preserve">566. </t>
  </si>
  <si>
    <t>583. How interested was the resppondent</t>
  </si>
  <si>
    <t>583. Dans quelle mesure le répondant était-il intéressé</t>
  </si>
  <si>
    <t>583. Yaya kake ganin maida hankalin mai bada amsa yake</t>
  </si>
  <si>
    <t>584. How impatient was the respondent?</t>
  </si>
  <si>
    <t>584. À quel point le répondant était-il impatient ?</t>
  </si>
  <si>
    <t>584. Yaya kake ganin rashin haƙurin mai bada amsa?</t>
  </si>
  <si>
    <t>Ta hanyar wayar hannu</t>
  </si>
  <si>
    <t>pm_pay_border_amt</t>
  </si>
  <si>
    <t>119. How much money, if any were you asked to pay to cross the border (in CFA) from ${pm_from_location} to ${pm_to_location}?</t>
  </si>
  <si>
    <t>119. Combien d'argent, si c'est arrivé, vous a-t-on demandé de payer pour traverser la frontière (en CFA) de ${pm_from_location} à ${pm_to_location} ?</t>
  </si>
  <si>
    <t>119. Nawa ne kuɗin da kuka bada, idan an nemi ku biya don ketare iyaka (a cikin kuɗin CFA) daga ${pm_from_location} zuwa ${pm_to_location}?</t>
  </si>
  <si>
    <t>568. Thinking about all of the the expenses from this business, what was the total amount of money you spent on costs related to this business in the last three months?</t>
  </si>
  <si>
    <t>568. Pense à toutes les dépenses de cette entreprise, quel a été le montant total que vous avez dépensé pour les coûts liés à cette entreprise au cours des trois derniers mois ?</t>
  </si>
  <si>
    <t>568. Tuna da dukkan kuɗin da aka kashe don wannan kasuwancin, nawa ne jimillar kuɗin da kuka kashe a kan wannan kasuwancin a cikin watanni uku da suka wuce?</t>
  </si>
  <si>
    <t>pm_smuggler_cost</t>
  </si>
  <si>
    <t>120. Separately, how much money, if any, did you pay someone who helped you cross the border from ${pm_from_location} to ${pm_to_location}?</t>
  </si>
  <si>
    <t>120. combien d'argent, si c'est arrivé, avez-vous aussi payé à quelqu'un qui vous a aidé à traverser la frontière de ${pm_from_location} à ${pm_to_location} ?</t>
  </si>
  <si>
    <t>120. Nawa, idan akwai, kuka biya wanda ya taimaka muku ketare iyaka daga ${pm_from_location} zuwa ${pm_to_location}?</t>
  </si>
  <si>
    <t>pm_pay_transport</t>
  </si>
  <si>
    <t>121. How much did you pay for transportation (seat in vehicle + luggage) from ${pm_from_location} to ${pm_to_location}?</t>
  </si>
  <si>
    <t>121. Combien avez-vous payé pour le transport (siège dans le véhicule + bagages) de ${pm_from_location} à ${pm_to_location} ?</t>
  </si>
  <si>
    <t>121. Nawa kuka biya kuɗin mota (kai da kayanka) daga ${pm_from_location} zuwa ${pm_to_location}?</t>
  </si>
  <si>
    <t>pm_pay_fees</t>
  </si>
  <si>
    <t>122. How much did you pay in fees at checkpoints/roadblocks during this trip from ${pm_from_location} to ${pm_to_location}?</t>
  </si>
  <si>
    <t>122. Combien avez-vous payé comme frais aux points de contrôle des barrages routiers pendant ce voyage de ${pm_from_location} à ${pm_to_location} ?</t>
  </si>
  <si>
    <t>122. Nawa kuka biya kuɗin bincika kayan hanya yayin wannan tafiya daga ${pm_from_location} zuwa ${pm_to_location}?</t>
  </si>
  <si>
    <t>532. How many days did each laborer work in your fields?</t>
  </si>
  <si>
    <t>532. Combien de jours chaque ouvrier a-t-il travaillé dans vos champs ?</t>
  </si>
  <si>
    <t>532. Kwanaki nawa kowane ma'aikaci yayi aiki a gonakinku?</t>
  </si>
  <si>
    <t>pm_travel_vict</t>
  </si>
  <si>
    <t>changes</t>
  </si>
  <si>
    <t>533. What was the daily wage you paid for people to work in your fields, or how much would you pay in CFA?</t>
  </si>
  <si>
    <t>No change</t>
  </si>
  <si>
    <t>533. Quel était le salaire journalier que vous payiez pour que les gens travaillent dans vos champs, ou combien paieriez-vous en CFA ?</t>
  </si>
  <si>
    <t>Pas de changement</t>
  </si>
  <si>
    <t>533. Nawa ne kuke biyan waɗanda suka yi aiki a gonakinku a dukkan wuni a sefa ?</t>
  </si>
  <si>
    <t>Babu canji</t>
  </si>
  <si>
    <t>588. That is the end of the survey. Thank you for your time.</t>
  </si>
  <si>
    <t>588. C'est la fin de l'enquête. Merci pour votre temps.</t>
  </si>
  <si>
    <t>588. Karshen tambayoyin kenan. Na gode da lokacin da kuka bani.</t>
  </si>
  <si>
    <t>pm_travel_note</t>
  </si>
  <si>
    <t>Respondent got married</t>
  </si>
  <si>
    <t>Le répondant s'est marié</t>
  </si>
  <si>
    <t>Mai bada amsa yana da aure</t>
  </si>
  <si>
    <t>pm_travel_phys_attacked</t>
  </si>
  <si>
    <t>pm_travel_phys_threat</t>
  </si>
  <si>
    <t>125. Threat of physical violence/attack</t>
  </si>
  <si>
    <t>Respondent divorced</t>
  </si>
  <si>
    <t>125. Menace de violence physique/agression</t>
  </si>
  <si>
    <t>125. Barazanar ​​harin jiki</t>
  </si>
  <si>
    <t>Le répondant a divorcé</t>
  </si>
  <si>
    <t>Mai bada amsa gobro ne</t>
  </si>
  <si>
    <t>573. Specify the activity</t>
  </si>
  <si>
    <t>573. Précisez l'activité</t>
  </si>
  <si>
    <t>573. Baiyana aikin</t>
  </si>
  <si>
    <t>Respondent had new baby (self or spouse)</t>
  </si>
  <si>
    <t>La répondante a eu un nouveau bébé (elle-même ou son conjoint)</t>
  </si>
  <si>
    <t>Mai bada amsa tanada jariri ita da kanta ko kishiyarta</t>
  </si>
  <si>
    <t>574. How much does ${hoh_member_act_name} earn from this activity during an average week (that they are engaged in ${hoh_member_other_activity_name})?</t>
  </si>
  <si>
    <t>574. Combien ${hoh_member_act_name} gagne-t-il grâce à cette activité au cours d'une semaine en moyenne (pendant laquelle il est engagé comme ${hoh_member_other_activity_name}) ?</t>
  </si>
  <si>
    <t>574. A takaice nawa ${hoh_member_act_name} yake samu daga wannan aiki a cikin sati (a lokacin da suke cikin aikin ${hoh_member_other_activity_name})?</t>
  </si>
  <si>
    <t>575. Think about the past 3 months how many weeks did they engage in ${hoh_member_other_activity_name}?</t>
  </si>
  <si>
    <t>575. Pensez aux 3 derniers mois, combien de semaines ont-ils participé à ${hoh_member_other_activity_name} ?</t>
  </si>
  <si>
    <t>575. A watanni 3 da suka gabata, sati nawa suka yi aikin ${hoh_member_other_activity_name}?</t>
  </si>
  <si>
    <t>Death of respondent's child</t>
  </si>
  <si>
    <t>Décès de l'enfant du répondant</t>
  </si>
  <si>
    <t>Mutuwar ɗan mai bada amsa</t>
  </si>
  <si>
    <t>576. Can you estimate how much ${hoh_member_act_name} contributes to the household common pot in a typical week (excluding labor) including both cash and in goods?</t>
  </si>
  <si>
    <t>576. Pouvez-vous estimer la contribution de ${hoh_member_act_name} au fond commun du ménage au cours d'une semaine normale (hors main-d'œuvre), y compris en espèces et en nature ?</t>
  </si>
  <si>
    <t>576. Ko za ku iya kimanta gudunmawar kuɗi da kaya da ${hoh_member_act_name} ya kawo gidan a cikin sati guda (banda aiki)?</t>
  </si>
  <si>
    <t>pm_travel_theft</t>
  </si>
  <si>
    <t>126. Theft of either money or property?</t>
  </si>
  <si>
    <t>126. Vol d'argent ou de biens ?</t>
  </si>
  <si>
    <t>126. Satar kuɗi ko kaya?</t>
  </si>
  <si>
    <t>Death of household head</t>
  </si>
  <si>
    <t>Décès du chef de famille</t>
  </si>
  <si>
    <t>Mutuwar maigida</t>
  </si>
  <si>
    <t>pm_travel_arrest</t>
  </si>
  <si>
    <t>Death of other household member</t>
  </si>
  <si>
    <t>Décès d'un autre membre du ménage</t>
  </si>
  <si>
    <t>Mutuwar wani ɗan gida</t>
  </si>
  <si>
    <t>577. In the past three months, have you or anyone in your household received money from someone who is not a member of your household and who lives elsewhere in Niger (outside your village)?</t>
  </si>
  <si>
    <t>577. Au cours des trois derniers mois, vous ou un membre de votre ménage avez reçu &lt;b&gt;de l'argent&lt;/b&gt; d'une personne qui n'est pas membre de votre ménage et qui habite &lt;b&gt;ailleurs au Niger&lt;/b&gt; (en dehors de votre village)?</t>
  </si>
  <si>
    <t>577. A cikin watanni uku da suka wuce, kai ko ɗan gidanku kun samu kuɗi daga wani da ba ɗan gidanku ba wanda yake zaune a wani gari a Nijar (wajen kauyenku)?</t>
  </si>
  <si>
    <t>539. Thinking about the last agricultural season, did you need to pay other expenses we did not ask you about?</t>
  </si>
  <si>
    <t>539. En pensant à la dernière saison agricole, avez-vous dû faire d'autres dépenses dont nous n'avons pas parlé ?</t>
  </si>
  <si>
    <t>539. A tunaninka a lokacin noman da ya gabata, akwai wasu kashe kashen kuɗi da kuka yi wanda ba mu yi zancen su ba?</t>
  </si>
  <si>
    <t>Loss of land/housing</t>
  </si>
  <si>
    <t>pm_travel_vict_text</t>
  </si>
  <si>
    <t>Perte de terrain/logement</t>
  </si>
  <si>
    <t>Badda gonaki/gidaje</t>
  </si>
  <si>
    <t>540. What was the expense?</t>
  </si>
  <si>
    <t>540. Quelle était la dépense ?</t>
  </si>
  <si>
    <t>540. wane kashe kuɗi ne ?</t>
  </si>
  <si>
    <t>pm_travel_vict_text_note</t>
  </si>
  <si>
    <t>581. In the past three months, have you or anyone in your household received goods (payment in kind) from someone who is not a member of your household and who lives elsewhere in Niger (outside your village)?</t>
  </si>
  <si>
    <t>581. Au cours des trois derniers mois, vous ou un membre de votre ménage avez reçu &lt;b&gt;des biens&lt;/b&gt; (paiement en nature) d'une personne qui n'est pas membre de votre ménage et qui habite &lt;b&gt;ailleurs au Niger&lt;/b&gt; (en dehors de votre village)?</t>
  </si>
  <si>
    <t>581. A cikin watanni ukun da suka wuce, kai ko wani a cikin gidanku kun karɓi kaya (a matsayin biya) daga wani wanda ba ɗan gidanku ba ne kuma yana zaune a wani wuri a Nijar (Ba'a garinku ba)?</t>
  </si>
  <si>
    <t>582. What was the value of the goods members of your household receive from people elsewhere in Niger (in CFA)?</t>
  </si>
  <si>
    <t>582. Quel était la valeur au totale des biens que les membres de votre ménage ont reçu des personnes qui sont quelques part au Niger 
(en USD)?</t>
  </si>
  <si>
    <t>582. Nawa kimar kayayyakin da ƴan gidanku suka karba daga wasu mutane a wasu wurare a Nijar (in CFA)?</t>
  </si>
  <si>
    <t>583. How were these goods transmitted to your household?</t>
  </si>
  <si>
    <t>583. Comment ces biens ont-ils été envoyé à votre ménage ?</t>
  </si>
  <si>
    <t>583. Ta yaya aka aika waɗannan kayayyakin zuwa gidanku?</t>
  </si>
  <si>
    <t>lesseqmore</t>
  </si>
  <si>
    <t>584. Specify other transfer method</t>
  </si>
  <si>
    <t>584. Précisez la méthode du transfert</t>
  </si>
  <si>
    <t>Less</t>
  </si>
  <si>
    <t>584. Wani daban a Bayyana</t>
  </si>
  <si>
    <t>Moins</t>
  </si>
  <si>
    <t>ragi</t>
  </si>
  <si>
    <t>585. In the past three months, have you or anyone in your household received money from someone who is not a member of your household and who lives in a foreign country (outside of Niger)?</t>
  </si>
  <si>
    <t>585. Au cours des trois derniers mois, vous ou un membre de votre ménage avez-vous reçu &lt;b&gt;de l'argent&lt;/b&gt; d'une personne qui n'est pas membre de votre ménage et qui habite &lt;b&gt;à l'extérieur du Niger&lt;/b&gt; (dans un autre pays)?</t>
  </si>
  <si>
    <t>585. A cikin watanni uku da suka wuce, kai ko dan gidanku kun samu kuɗi daga wanda ba dan gidanku ba da ke zaune a ƙetaren Nijar (a wata kasa)?</t>
  </si>
  <si>
    <t>586. How much in total did members of your household receive from people out of Niger?</t>
  </si>
  <si>
    <t>586. Combien au total les membres de votre ménage ont-ils reçu des personnes qui ne sont pas au Niger ?</t>
  </si>
  <si>
    <t>586. Nawa ne yan gidanku ya samu daga mutanen da ke zaune a ƙasar waje ba Nijar ba?</t>
  </si>
  <si>
    <t>587. How was this money transmitted to your household?</t>
  </si>
  <si>
    <t>587. Comment cet argent a-t-il été envoyé à votre ménage ?</t>
  </si>
  <si>
    <t>587. Ta wace hanya aka aikawa gidanku wannan kuɗin ?</t>
  </si>
  <si>
    <t>588. Specify other transfer method</t>
  </si>
  <si>
    <t>588. Précisez la méthode du transfert</t>
  </si>
  <si>
    <t>588. Wani daban a Bayyana</t>
  </si>
  <si>
    <t>Égal</t>
  </si>
  <si>
    <t>Daidai</t>
  </si>
  <si>
    <t>589. In the past three months, have you or anyone in your household received goods (payment in kind) from someone who is not a member of your household and who lives in a foreign country (outside of Niger)?</t>
  </si>
  <si>
    <t>589. Au cours des trois derniers mois, vous ou un membre de votre ménage avez reçu &lt;b&gt;des biens&lt;/b&gt; (paiement en nature) d'une personne qui n'est pas membre de votre ménage et qui habite &lt;b&gt;à l'extérieur du Niger&lt;/b&gt; (dans un autre pays)?</t>
  </si>
  <si>
    <t>589. A cikin wata uku da suka wuce, kai ko wani a cikin gidanku an baku wasu kaya (a matsayin biya) daga wani wanda ba ɗan gidanku ba da ke zaune a ƙetaren Nijar (a wata kasa)?</t>
  </si>
  <si>
    <t>pm_travel_phys_attacked_note</t>
  </si>
  <si>
    <t>More</t>
  </si>
  <si>
    <t>Plus</t>
  </si>
  <si>
    <t>kari</t>
  </si>
  <si>
    <t>pm_travel_phys_threat_note</t>
  </si>
  <si>
    <t>592. Specify other transfer method</t>
  </si>
  <si>
    <t>592. Précisez la méthode du transfert</t>
  </si>
  <si>
    <t>592. Wani daban a Bayyana</t>
  </si>
  <si>
    <t>593. In the past three months, have you or anyone in your household shared or sent money to someone who is not a member of your household and who lives elsewhere in Niger (outside your village)?</t>
  </si>
  <si>
    <t>593. Au cours des trois derniers mois, vous ou quelqu'un de votre ménage avez-vous partagé ou envoyé &lt;b&gt;de l'argent&lt;/b&gt; à quelqu'un qui n'est pas membre de votre ménage et qui habite &lt;b&gt;ailleurs au Niger&lt;/b&gt;(en dehors de votre village)</t>
  </si>
  <si>
    <t>593. A cikin watanni uku da suka wuce, kai ko wani a cikin gidanku kun bada ko kun aika kuɗi ga wani wanda ba dan gidanku ba da ke zaune a wani wuri a Nijar (wajen garinku)</t>
  </si>
  <si>
    <t>who_cash_share</t>
  </si>
  <si>
    <t>594. How much did your household send to people elsewhere in Niger?</t>
  </si>
  <si>
    <t>594. Combien votre ménage a-t-il envoyé à des personnes qui sont quelque part au Niger ?</t>
  </si>
  <si>
    <t>594. Nawa ne gidanku ya aikawa mutanen da ke wasu wurare a Nijar?</t>
  </si>
  <si>
    <t>Epoux/partenaire</t>
  </si>
  <si>
    <t>pm_travel_theft_note</t>
  </si>
  <si>
    <t>Miji/abokin zama</t>
  </si>
  <si>
    <t>pm_travel_arrest_note</t>
  </si>
  <si>
    <t>546. How many ${hoh_livestock_act_name} did you consume?</t>
  </si>
  <si>
    <t>546. Au cours des trois derniers mois, combien de ${hoh_livestock_act_name} avez-vous consommé ?</t>
  </si>
  <si>
    <t>546. ${hoh_livestock_act_name} Nawa kuka cinye ?</t>
  </si>
  <si>
    <t>598. What was the value of the goods members of your household sent to people elsewhere in Niger?</t>
  </si>
  <si>
    <t>598. Quel était la valeur au totale des biens que les membres de votre ménage ont envoyé aux personnes qui sont quelques part au Niger ?</t>
  </si>
  <si>
    <t>598. Nawa ne kimar kayan da ƴan gidanku suka aika wa mutane a wasu wurare a cikin Nijar?</t>
  </si>
  <si>
    <t>Iyaye</t>
  </si>
  <si>
    <t>599. How were these goods transmitted to the recipient?</t>
  </si>
  <si>
    <t>599. Comment ces biens ont-ils été envoyé au destinataire ?</t>
  </si>
  <si>
    <t>599. Ta yaya aka aika waɗannan kayayyaki zuwa ga mai karɓa?</t>
  </si>
  <si>
    <t>600. Specify other transfer method</t>
  </si>
  <si>
    <t>600. Precisez la methode du transfert</t>
  </si>
  <si>
    <t>600. Wani daban a Bayyana</t>
  </si>
  <si>
    <t>gendre/Bru</t>
  </si>
  <si>
    <t>Suruki/sarakuwa</t>
  </si>
  <si>
    <t>547. In the past three months, how much did you spend on food and health expense for all of your animals (in CFA)?</t>
  </si>
  <si>
    <t>547. Au cours des trois derniers mois, combien avez-vous dépensé en frais de nourriture et de santé pour tous vos animaux (en CFA) ?</t>
  </si>
  <si>
    <t>547. Nawa kuka kashe akan abinci da kiwon lafiyar dukkan dabbobinku (a sefa) ?</t>
  </si>
  <si>
    <t>speedcheck_pm_transit_end</t>
  </si>
  <si>
    <t>548. When thinking about the past three months, I would like to ask you about how many days a typical week people in your household worked. We know people may work more during some weeks rather than others, please think about what happens during most weeks.</t>
  </si>
  <si>
    <t>548. En pensant aux trois derniers mois, j'aimerais vous demander combien de jours par semaine normale les membres de votre ménage ont travaillé. Nous savons que les gens peuvent travailler plus pendant certaines semaines plutôt que d'autres, veuillez penser à ce qui se passe pendant la plupart des semaines.</t>
  </si>
  <si>
    <t>548. Tuna da watanni uku da suka wuce. Ina son in tambaye ku game da yawan kwanaki da ƴan gidanku ke yin aiki a cikin sati na yau da kullun. Mun san da mutane na iya yin aiki a cikin wani sati fiye da wani satin, amma yi tunanin abinda ke kasancewa a yawancin makonni.</t>
  </si>
  <si>
    <t>dur_pm_transit</t>
  </si>
  <si>
    <t>549. How many days did people in your household work to care for your animals in a typical week in the past three months?</t>
  </si>
  <si>
    <t>549. Dans les trois derniers mois, au cours d'une semaine normale, combien de jours les membres de votre ménage ont-ils travaillé pour s'occuper de vos animaux ?</t>
  </si>
  <si>
    <t>549. A cikin watanni uku da suka wuce, kwana nawa a cikin sati mutanen gidanku suka yi aiki don kula da bisashenku?</t>
  </si>
  <si>
    <t>speedcheck_pm_locact_start</t>
  </si>
  <si>
    <t>Un membre de famille de l'épouse</t>
  </si>
  <si>
    <t>Dan dangin miji</t>
  </si>
  <si>
    <t>550. In the past three months, did you hire anyone outside your household to care for your animals?</t>
  </si>
  <si>
    <t>550. Au cours des trois derniers mois, avez-vous embauché quelqu'un en dehors de votre ménage pour s'occuper de vos animaux ?</t>
  </si>
  <si>
    <t>550. A cikin watanni uku da suka wuce, Ko kun ɗauki wani wanda ba ɗan gidanku ba don kula da dabbobinku?</t>
  </si>
  <si>
    <t>pm_missed_locs_lab</t>
  </si>
  <si>
    <t>551. In the last 3 months, for how many weeks did you hire people to care for your livestock?</t>
  </si>
  <si>
    <t>551. Au cours des trois derniers mois, combien de semaines avez-vous embauché des personnes pour s'occuper de votre bétail ?</t>
  </si>
  <si>
    <t>551. A cikin watanni 3 da suka wuce, sati nawa kuka dauki ƴan aiki don kula da dabbobinku?</t>
  </si>
  <si>
    <t>Autre membre de famille</t>
  </si>
  <si>
    <t>pm_missed_locs_lab_fr</t>
  </si>
  <si>
    <t>NEED TO TRANSLATE</t>
  </si>
  <si>
    <t>552. What was the weekly wage paid to people who care for your animals, or how much would you pay in CFA?</t>
  </si>
  <si>
    <t>552. Quel était les frais hebdomadaire payés aux personnes qui s'occupent de vos animaux, ou combien paieriez-vous en CFA ?</t>
  </si>
  <si>
    <t>552. 105 a. Nawa albashin mako-mako na wannan mutanen da ke kula da dabbobinku a CFA?</t>
  </si>
  <si>
    <t>607. How were these goods transmitted to the recipient?</t>
  </si>
  <si>
    <t>607. Comment ces biens ont-ils été envoyé au destinataire ?</t>
  </si>
  <si>
    <t>607. Ta yaya aka aika waɗannan kayayyaki zuwa ga mai karɓa?</t>
  </si>
  <si>
    <t>pm_missed_locs_lab_ha</t>
  </si>
  <si>
    <t>553. You paid ${hoh_hire_livestock_total} in CFA for people to care for your animals, is this correct?</t>
  </si>
  <si>
    <t>553. Vous avez payé ${hoh_hire_livestock_total} (en CFA) aux personnes qui s'occupent de vos animaux, est-ce exact ?</t>
  </si>
  <si>
    <t>553. ${hoh_hire_livestock_total} (a sefa) kuka biya, ko daidai ne?</t>
  </si>
  <si>
    <t>pm_location_note</t>
  </si>
  <si>
    <t>130. I am now going to ask you some questions about your experience in each location during ${period}. ${pm_missed_locs_lab}</t>
  </si>
  <si>
    <t>130. Je vais maintenant vous poser quelques questions sur votre expérience dans chaque lieu entre ${period_french}. Veuillez énumérer les emplacements du plus récent au moins récent. ${pm_missed_locs_lab_fr}</t>
  </si>
  <si>
    <t>130. Yanzu zan yi muku wasu tambayoyi bisa saninku na kowane wuri yayin ${period_hausa}. 
Da fatan za a jera wuraren daga mafi ƙaranci zuwa na baya-bayan nan. ${pm_missed_locs_lab_ha}</t>
  </si>
  <si>
    <t>voisin</t>
  </si>
  <si>
    <t>pm_locations_activity</t>
  </si>
  <si>
    <t>Emplacements</t>
  </si>
  <si>
    <t>Wurare</t>
  </si>
  <si>
    <t>555. In a typical week, how many days did they do this job?</t>
  </si>
  <si>
    <t>555. Au cours d'une semaine normale, combien de jours ont-ils fait ce travail ?</t>
  </si>
  <si>
    <t>555. A cikin mako, kwana nawa suka yi wannan aikin?</t>
  </si>
  <si>
    <t>pm_location_act_index</t>
  </si>
  <si>
    <t>556. What was the daily wage paid to household members who cared for livestock owned by other people?</t>
  </si>
  <si>
    <t>556. Quel étaient les frais journaliers payés aux membres de votre ménage qui s'occupent des animaux du bétail appartenant à d'autres personnes en CFA ?</t>
  </si>
  <si>
    <t>556. Nawa ne biyan wuni na ƴan gida masu kula da dabbobin wasu mutane (a kuɗin CFA)?</t>
  </si>
  <si>
    <t>pm_location_name</t>
  </si>
  <si>
    <t>557. Now we will ask about other forms of income people in your household may have earned in the past three months.</t>
  </si>
  <si>
    <t>557. Nous allons maintenant poser des questions sur les autres formes de revenus que les membres de votre ménage ont pu gagner au cours des trois derniers mois.</t>
  </si>
  <si>
    <t>557. Yanzu za mu yi tambayoyi bisa wasu hanyoyin samun kuɗin shiga da yan gidanku a cikin watanni uku da suka gabata.</t>
  </si>
  <si>
    <t>pm_location_is_home</t>
  </si>
  <si>
    <t>cash_decision_mem</t>
  </si>
  <si>
    <t>Myself</t>
  </si>
  <si>
    <t>Moi-même</t>
  </si>
  <si>
    <t>558. Do you or another member of your household own land that is currently not used for agriculture, outside of your current home?</t>
  </si>
  <si>
    <t>558. Est-ce que vous ou un autre membre de votre ménage possédez des terres qui ne sont actuellement pas utilisées pour l'agriculture, en dehors de votre domicile actuel ?</t>
  </si>
  <si>
    <t>558. Shin kai ko wani na gidanku kuna da wasu hilaye wanda ba na noma ba bancin gidanku da kuke ciki a halin yanzu?</t>
  </si>
  <si>
    <t>Ni kaina</t>
  </si>
  <si>
    <t>pm_location_act_index_add1</t>
  </si>
  <si>
    <t>559. In the past three months, what is the total revenue from rent of land or other property in CFA?</t>
  </si>
  <si>
    <t>559. Au cours des trois derniers mois, quel a été le revenu total provenant de la location d'un terrain ou d'une autre propriété en CFA?</t>
  </si>
  <si>
    <t>559. A cikin watanni uku da suka gabata, menene jimillar kuɗin da aka samu ta hanyar hayan filaye ko wasu kadarori (a sefa)?</t>
  </si>
  <si>
    <t>pm_locations_new_count</t>
  </si>
  <si>
    <t>560. In the past three months, what is the total value of interest from loans you have given to others in CFA?</t>
  </si>
  <si>
    <t>Husband</t>
  </si>
  <si>
    <t>560. Au cours des trois derniers mois, quelle est la valeur totale des intérêts des prêts que vous avez accordés à d'autres en CFA?</t>
  </si>
  <si>
    <t>Mari</t>
  </si>
  <si>
    <t>560. A cikin watanni uku da suka gabata, nawa ne jimillar kudin ruwan basussuka da kuka baiwa wasu (a sefa)?</t>
  </si>
  <si>
    <t>Miji</t>
  </si>
  <si>
    <t>612. In the past three months did your household make a significant investment or improvement in the house you reside in?</t>
  </si>
  <si>
    <t>612. &lt;b&gt; Au cours des trois derniers mois&lt;/b&gt;, votre ménage a-t-il fait un investissement important ou des améliorations dans la maison que vous habitez ?</t>
  </si>
  <si>
    <t>612. A cikin watanni uku da suka wuce, gidanku ya saka wani babban jari ko ya gyara gidan da kuke zaune?</t>
  </si>
  <si>
    <t>613. Build additional rooms</t>
  </si>
  <si>
    <t>613. Construire des chambres supplémentaires</t>
  </si>
  <si>
    <t>613. Ginin ƙarin ɗakuna</t>
  </si>
  <si>
    <t>Wife</t>
  </si>
  <si>
    <t>Mata</t>
  </si>
  <si>
    <t>614. Improve floors</t>
  </si>
  <si>
    <t>614. Améliorer les sols</t>
  </si>
  <si>
    <t>614. Inganta filalayen gida</t>
  </si>
  <si>
    <t>615. Improve walls</t>
  </si>
  <si>
    <t>615. Réfectionner les murs</t>
  </si>
  <si>
    <t>615. gyara katangun gida</t>
  </si>
  <si>
    <t>pm_location_period_lab</t>
  </si>
  <si>
    <t>Grandmother</t>
  </si>
  <si>
    <t>Grand-mère</t>
  </si>
  <si>
    <t>561. Does anyone in the household fully, or partly own and operate an income generating activity that is not farming or herding? (i.e. a shop where you sell goods, restaurant, butcher shop)?</t>
  </si>
  <si>
    <t>561. Quelqu'un dans le ménage possède-t-il entièrement ou partiellement une activité génératrice de revenus autre que l'agriculture ou l'élevage ? (C'est-à-dire un magasin où vous vendez des marchandises, un restaurant, une boucherie) ?</t>
  </si>
  <si>
    <t>561. Ko akwai wani ɗan gidanku mai sana'a wanda jarin gaba daya nashi ko na hadin gwiwa ne banda noma da kiyo? ( kantin saida kaya, gidan abinci, fawa)?</t>
  </si>
  <si>
    <t>pm_location_period_lab_fr</t>
  </si>
  <si>
    <t>562. What type of business is this?</t>
  </si>
  <si>
    <t>562. Quel type d'entreprise est-ce?</t>
  </si>
  <si>
    <t>562. Wane irin kasuwanci ne?</t>
  </si>
  <si>
    <t>pm_location_period_lab_ha</t>
  </si>
  <si>
    <t>Grandfather</t>
  </si>
  <si>
    <t>Grand-père</t>
  </si>
  <si>
    <t>563. Specify other</t>
  </si>
  <si>
    <t>563. Autre à préciser :</t>
  </si>
  <si>
    <t>563. Baiyana wani abu daban:</t>
  </si>
  <si>
    <t>Son</t>
  </si>
  <si>
    <t>Fils</t>
  </si>
  <si>
    <t>Da</t>
  </si>
  <si>
    <t>618. Specify other improvement (i.e. connect to electricity, build latrine)</t>
  </si>
  <si>
    <t>618. Précisez les autres améliorations (c.-à-d. connecter de l'électricité, construire des latrines)</t>
  </si>
  <si>
    <t>618. Baiyana wasu abubuwan ingantawa (kamar sa wutar lantarki, gina salga (masai ) )</t>
  </si>
  <si>
    <t>pm_location_weeks</t>
  </si>
  <si>
    <t>131. How many weeks did you spend in ${pm_location_name}, ${pm_location_period_lab}?</t>
  </si>
  <si>
    <t>131. Combien de semaines avez-vous passées à ${pm_location_name}, ${pm_location_period_lab_fr} ?</t>
  </si>
  <si>
    <t>131. Sati nawa ne kuka zauna a ${pm_location_name}, ${pm_location_period_lab_ha}?</t>
  </si>
  <si>
    <t>Daughter</t>
  </si>
  <si>
    <t>Fille</t>
  </si>
  <si>
    <t>Diya</t>
  </si>
  <si>
    <t>pm_seek_work</t>
  </si>
  <si>
    <t>135. Ko kun nemi aikin biya a ${pm_location_name}?</t>
  </si>
  <si>
    <t>pm_any_work</t>
  </si>
  <si>
    <t>622. In the past 3 months did you make any investments to improve the productivity of your land?</t>
  </si>
  <si>
    <t>622. Au cours des 3 derniers mois, avez-vous fait des investissements pour améliorer la productivité de votre terre ?</t>
  </si>
  <si>
    <t>622. A cikin watanni 3 da suka gabata, kun zuba kudi don inganta samun amfanin gonakinku?</t>
  </si>
  <si>
    <t>exp_categories</t>
  </si>
  <si>
    <t>623. Specify improvement to land</t>
  </si>
  <si>
    <t>623. Précisez les améliorations de votre terre que vous avez fait</t>
  </si>
  <si>
    <t>623. Ku bayyana kuɗin da kuka kashe don haɓɓaka gonarku</t>
  </si>
  <si>
    <t>624. Now I will ask you about different ways your household may use money that you earn.</t>
  </si>
  <si>
    <t>624. Je vais maintenant vous poser des questions sur les différentes façons dont votre ménage peut utiliser l'argent que vous gagnez.</t>
  </si>
  <si>
    <t>624. Yanzu zan yi muku tambayoyi game hanyoyi daban-daban da gidanku ke iya amfani da su don kashe kuɗin da yake samu.</t>
  </si>
  <si>
    <t>625. Does your household currently have any savings that you keep in any of the following ways?</t>
  </si>
  <si>
    <t>625. Votre ménage dispose-t-il actuellement d'économies que vous conservez de l'une des manières suivantes ?</t>
  </si>
  <si>
    <t>625. Ko a halin yanzu gidanku na da ajiyar kuɗi daga ɗaya a cikin wanɗannan dubaru?</t>
  </si>
  <si>
    <t>Transport</t>
  </si>
  <si>
    <t>Sifiri</t>
  </si>
  <si>
    <t>626. Specify other:</t>
  </si>
  <si>
    <t>626. Autre a préciser :</t>
  </si>
  <si>
    <t>626. Baiyana wani abu daban:</t>
  </si>
  <si>
    <t>select_one reason_nowork</t>
  </si>
  <si>
    <t>pm_reason_not_work</t>
  </si>
  <si>
    <t>Debt</t>
  </si>
  <si>
    <t>Dette</t>
  </si>
  <si>
    <t>Bashi</t>
  </si>
  <si>
    <t>Gift</t>
  </si>
  <si>
    <t>Cadeau</t>
  </si>
  <si>
    <t>Kyauta</t>
  </si>
  <si>
    <t>Rent</t>
  </si>
  <si>
    <t>Louer</t>
  </si>
  <si>
    <t>Haya</t>
  </si>
  <si>
    <t>pm_reason_not_work_o</t>
  </si>
  <si>
    <t>138. Wani daban a Baiyana:</t>
  </si>
  <si>
    <t>Medical</t>
  </si>
  <si>
    <t>Médical</t>
  </si>
  <si>
    <t>Likita</t>
  </si>
  <si>
    <t>pm_activity_desc_count</t>
  </si>
  <si>
    <t>139. Ayyuka nawa kuka yi a wurin, ko na biya ko ba na biya ba?</t>
  </si>
  <si>
    <t>Livestock</t>
  </si>
  <si>
    <t>Bétail</t>
  </si>
  <si>
    <t>Dabbobi</t>
  </si>
  <si>
    <t>speedcheck_pm_acts_start</t>
  </si>
  <si>
    <t>570. Thinking about all the revenue and expense related to this business during the past three months, you said that the net income from this business for your household is ${hoh_biz_income}. Is that correct?</t>
  </si>
  <si>
    <t>570. En pensant à tous les revenus de cette entreprise et à toutes les dépenses, vous dites que la bénéfice net de cette entreprise au cours des trois derniers mois est ${hoh_biz_income}, est-ce exact ?</t>
  </si>
  <si>
    <t>570. Ku tuna da dukkan kuɗaɗen shiga da kashe kashen kuɗi da suka shafi wannan kasuwancin a cikin watanni uku da suka wuce. Kun ce yawan riban wannan kasuwancin shine ${hoh_biz_income}. Ko hakan daidai ne?</t>
  </si>
  <si>
    <t>Education</t>
  </si>
  <si>
    <t>Éducation</t>
  </si>
  <si>
    <t>Tarbiya</t>
  </si>
  <si>
    <t>pm_activities</t>
  </si>
  <si>
    <t>Activities</t>
  </si>
  <si>
    <t>Activités</t>
  </si>
  <si>
    <t>Ayyuka</t>
  </si>
  <si>
    <t>571. We have discussed work done by members of your household in agriculture, in husbandry, in a business owned by your family.</t>
  </si>
  <si>
    <t>571. Nous avons discuté du travail effectué par les membres de votre ménage dans l'agriculture, l'élevage, dans une entreprise appartenant à votre famille.</t>
  </si>
  <si>
    <t>571. “Mun tattauna bisa ayyukan da ƴan gidanku suka yi a harakar noma da kiwo, kasuwancin da ƴan gidanku suka mallaka.</t>
  </si>
  <si>
    <t>Agrrgiculture</t>
  </si>
  <si>
    <t>629. Total savings: ${hoh_savings_total}: Does this look correct?</t>
  </si>
  <si>
    <t>629. Économies totales : ${hoh_savings_total} : cela vous semble correct ?</t>
  </si>
  <si>
    <t>629. Jimillar ajiya: ${hoh_savings_total}: kuna ganin ​​wannan yayi daidai?</t>
  </si>
  <si>
    <t>630. During ${period}, was your household negatively affected by any of the following types of events?</t>
  </si>
  <si>
    <t>630. Au cours de ${period_french}, votre ménage a-t-il été affecté négativement par l'un des types d'événements suivants ?</t>
  </si>
  <si>
    <t>630. A lokacin ${period_hausa}, ko gidanku ya fuskanci wani daga cikin matsaloli nan masu zuwa? Zaɓi duk abin da ya dace</t>
  </si>
  <si>
    <t>Water</t>
  </si>
  <si>
    <t>Eau</t>
  </si>
  <si>
    <t>pm_activity_index</t>
  </si>
  <si>
    <t>Ruwa</t>
  </si>
  <si>
    <t>572. In the past three months, did ${hoh_member_act_name} earn money from any other activity?</t>
  </si>
  <si>
    <t>572. Au cours des trois derniers mois, ${hoh_member_act_name} a-t-il gagné de l'argent grâce à une autre activité ?</t>
  </si>
  <si>
    <t>572. A cikin watanni uku da suka gabata, ${hoh_member_act_name} ya samu kuɗi daga yin wani aiki?</t>
  </si>
  <si>
    <t>select_one activities</t>
  </si>
  <si>
    <t>pm_activity</t>
  </si>
  <si>
    <t>140. Please describe job ${pm_activity_index}.
 Enumerator, code the sector of job ${pm_activity_index}</t>
  </si>
  <si>
    <t>140. Veuillez décrire le travail ${pm_activity_index}.
 enquêteur, coder le secteur de l'emploi</t>
  </si>
  <si>
    <t>140. Da fatan za a baiyana aikin ${pm_activity_index}.
 Ɗan bincike, sanya lamba a sashin aikin</t>
  </si>
  <si>
    <t>pm_activity_o</t>
  </si>
  <si>
    <t>141. Wani daban a baiyana:</t>
  </si>
  <si>
    <t>Cooking</t>
  </si>
  <si>
    <t>Cuisson</t>
  </si>
  <si>
    <t>dafa abinci</t>
  </si>
  <si>
    <t>pm_activity_name</t>
  </si>
  <si>
    <t>575. How much does ${hoh_member_act_name} earn from this activity during an average week (that they are engaged in ${hoh_member_other_activity_name})?</t>
  </si>
  <si>
    <t>575. Combien ${hoh_member_act_name} gagne-t-il grâce à cette activité au cours d'une semaine en moyenne (pendant laquelle il est engagé comme ${hoh_member_other_activity_name}) ?</t>
  </si>
  <si>
    <t>575. A takaice nawa ${hoh_member_act_name} yake samu daga wannan aiki a cikin sati (a lokacin da suke cikin aikin ${hoh_member_other_activity_name})?</t>
  </si>
  <si>
    <t>pm_activity_paid</t>
  </si>
  <si>
    <t>142. Did you receive payment for working in ${pm_activity_name}?</t>
  </si>
  <si>
    <t>Soap</t>
  </si>
  <si>
    <t>Savon</t>
  </si>
  <si>
    <t>sabulu</t>
  </si>
  <si>
    <t>select_one nopay</t>
  </si>
  <si>
    <t>pm_activity_notpaid</t>
  </si>
  <si>
    <t>Savings</t>
  </si>
  <si>
    <t>Des économies</t>
  </si>
  <si>
    <t>Tanadi</t>
  </si>
  <si>
    <t>634. Borrow money?</t>
  </si>
  <si>
    <t>634. Emprunter de l'argent</t>
  </si>
  <si>
    <t>634. Bashin kuɗi</t>
  </si>
  <si>
    <t>Child Care</t>
  </si>
  <si>
    <t>Garde d'enfants</t>
  </si>
  <si>
    <t>kula da yara</t>
  </si>
  <si>
    <t>635. Spend your savings?</t>
  </si>
  <si>
    <t>635. Utiliser votre épargne</t>
  </si>
  <si>
    <t>635. Kashe kuɗin ajiyar ku</t>
  </si>
  <si>
    <t>636. Reduce spending on food or change your food consumption?</t>
  </si>
  <si>
    <t>636. Réduire les dépenses alimentaires ou changé des habitudes de consommation ?</t>
  </si>
  <si>
    <t>636. Rage kashe kuɗi akan abinci ko canza abincin?</t>
  </si>
  <si>
    <t>Other HH iItem</t>
  </si>
  <si>
    <t>Autre iItem HH</t>
  </si>
  <si>
    <t>637. For ${hoh_emergency_name}
What was the value of the following in CFA?</t>
  </si>
  <si>
    <t>637. Par rapport à ${hoh_emergency_name}
Quelle était la valeur des éléments suivantes en CFA?</t>
  </si>
  <si>
    <t>637. Game da ${hoh_emergency_name}
 Nawa ne kimar waɗannan abubuwan a kuɗin CFA?</t>
  </si>
  <si>
    <t>pm_activity_notpaid_o</t>
  </si>
  <si>
    <t>risks</t>
  </si>
  <si>
    <t>579. How much in total did members of your household receive from people elsewhere in Niger (in CFA)?</t>
  </si>
  <si>
    <t>579. Combien au total les membres de votre ménage ont-ils reçu des personnes qui sont quelques part au Niger (en USD)?</t>
  </si>
  <si>
    <t>579. Nawa ne ƴan gidanku suka samu daga wasu matanen da ke wani gari a Nijar (in CFA)?</t>
  </si>
  <si>
    <t>speedcheck_pm_acts_end</t>
  </si>
  <si>
    <t>Theft</t>
  </si>
  <si>
    <t>580. How was this money transmitted to your household?</t>
  </si>
  <si>
    <t>Vol</t>
  </si>
  <si>
    <t>580. Comment cet argent a-t-il été envoyé à votre ménage ?</t>
  </si>
  <si>
    <t>Sata</t>
  </si>
  <si>
    <t>580. Ta wace hanya aka aikawa gidanku wannan kuɗin ?</t>
  </si>
  <si>
    <t>dur_pm_acts</t>
  </si>
  <si>
    <t>581. Specify other transfer method</t>
  </si>
  <si>
    <t>581. Précisez la méthode du transfert</t>
  </si>
  <si>
    <t>581. Wani daban a Bayyana</t>
  </si>
  <si>
    <t>pm_activity1</t>
  </si>
  <si>
    <t>Psychological stress</t>
  </si>
  <si>
    <t>Stress psychologique</t>
  </si>
  <si>
    <t>Damuwar tunani</t>
  </si>
  <si>
    <t>582. In the past three months, have you or anyone in your household received goods (payment in kind) from someone who is not a member of your household and who lives elsewhere in Niger (outside your village)?</t>
  </si>
  <si>
    <t>582. Au cours des trois derniers mois, vous ou un membre de votre ménage avez reçu &lt;b&gt;des biens&lt;/b&gt; (paiement en nature) d'une personne qui n'est pas membre de votre ménage et qui habite &lt;b&gt;ailleurs au Niger&lt;/b&gt; (en dehors de votre village)?</t>
  </si>
  <si>
    <t>582. A cikin watanni ukun da suka wuce, kai ko wani a cikin gidanku kun karɓi kaya (a matsayin biya) daga wani wanda ba ɗan gidanku ba ne kuma yana zaune a wani wuri a Nijar (Ba'a garinku ba)?</t>
  </si>
  <si>
    <t>pm_activity2</t>
  </si>
  <si>
    <t>583. What was the value of the goods members of your household receive from people elsewhere in Niger (in CFA)?</t>
  </si>
  <si>
    <t>583. Quel était la valeur au totale des biens que les membres de votre ménage ont reçu des personnes qui sont quelques part au Niger 
(en USD)?</t>
  </si>
  <si>
    <t>583. Nawa kimar kayayyakin da ƴan gidanku suka karba daga wasu mutane a wasu wurare a Nijar (in CFA)?</t>
  </si>
  <si>
    <t>Negative impacts on household in Niger</t>
  </si>
  <si>
    <t>Impacts négatifs sur les ménages au Niger</t>
  </si>
  <si>
    <t>pm_activity3</t>
  </si>
  <si>
    <t>Mummunan Tasiri kan gidaje a Nijar</t>
  </si>
  <si>
    <t>584. How were these goods transmitted to your household?</t>
  </si>
  <si>
    <t>584. Comment ces biens ont-ils été envoyé à votre ménage ?</t>
  </si>
  <si>
    <t>584. Ta yaya aka aika waɗannan kayayyakin zuwa gidanku?</t>
  </si>
  <si>
    <t>pm_activity4</t>
  </si>
  <si>
    <t>Inability to find a job or earn sufficient wages</t>
  </si>
  <si>
    <t>Incapacité de trouver un emploi ou de gagner un salaire suffisant</t>
  </si>
  <si>
    <t>585. Specify other transfer method</t>
  </si>
  <si>
    <t>Rashin iya samun aiki ko samun isashen albashi</t>
  </si>
  <si>
    <t>585. Précisez la méthode du transfert</t>
  </si>
  <si>
    <t>585. Wani daban a Bayyana</t>
  </si>
  <si>
    <t>pm_activity5</t>
  </si>
  <si>
    <t>586. In the past three months, have you or anyone in your household received money from someone who is not a member of your household and who lives in a foreign country (outside of Niger)?</t>
  </si>
  <si>
    <t>586. Au cours des trois derniers mois, vous ou un membre de votre ménage avez-vous reçu &lt;b&gt;de l'argent&lt;/b&gt; d'une personne qui n'est pas membre de votre ménage et qui habite &lt;b&gt;à l'extérieur du Niger&lt;/b&gt; (dans un autre pays)?</t>
  </si>
  <si>
    <t>586. A cikin watanni uku da suka wuce, kai ko dan gidanku kun samu kuɗi daga wanda ba dan gidanku ba da ke zaune a ƙetaren Nijar (a wata kasa)?</t>
  </si>
  <si>
    <t>speedcheck_pm_primaryact_start</t>
  </si>
  <si>
    <t>Illness and injuries</t>
  </si>
  <si>
    <t>Maladie et blessures</t>
  </si>
  <si>
    <t>Rashin lafiya da raunuka</t>
  </si>
  <si>
    <t>587. How much in total did members of your household receive from people out of Niger?</t>
  </si>
  <si>
    <t>587. Combien au total les membres de votre ménage ont-ils reçu des personnes qui ne sont pas au Niger ?</t>
  </si>
  <si>
    <t>587. Nawa ne yan gidanku ya samu daga mutanen da ke zaune a ƙasar waje ba Nijar ba?</t>
  </si>
  <si>
    <t>select_one pm_primary_activity</t>
  </si>
  <si>
    <t>pm_primary_activity</t>
  </si>
  <si>
    <t>145. Wanne ne daga cikin waɗannan ayyukan tushen samun kuɗin ku?</t>
  </si>
  <si>
    <t>Exploitation or human trafficking</t>
  </si>
  <si>
    <t>Exploitation ou traite des êtres humains</t>
  </si>
  <si>
    <t>Amfani ko fataucin mutane</t>
  </si>
  <si>
    <t>pm_primary_activity_name</t>
  </si>
  <si>
    <t>589. Specify other transfer method</t>
  </si>
  <si>
    <t>589. Précisez la méthode du transfert</t>
  </si>
  <si>
    <t>589. Wani daban a Bayyana</t>
  </si>
  <si>
    <t>pm_primary_activity_paid</t>
  </si>
  <si>
    <t>590. In the past three months, have you or anyone in your household received goods (payment in kind) from someone who is not a member of your household and who lives in a foreign country (outside of Niger)?</t>
  </si>
  <si>
    <t>590. Au cours des trois derniers mois, vous ou un membre de votre ménage avez reçu &lt;b&gt;des biens&lt;/b&gt; (paiement en nature) d'une personne qui n'est pas membre de votre ménage et qui habite &lt;b&gt;à l'extérieur du Niger&lt;/b&gt; (dans un autre pays)?</t>
  </si>
  <si>
    <t>590. A cikin wata uku da suka wuce, kai ko wani a cikin gidanku an baku wasu kaya (a matsayin biya) daga wani wanda ba ɗan gidanku ba da ke zaune a ƙetaren Nijar (a wata kasa)?</t>
  </si>
  <si>
    <t>pm_primary_activity_info</t>
  </si>
  <si>
    <t>Primary Activity</t>
  </si>
  <si>
    <t>Activité principale</t>
  </si>
  <si>
    <t>Muhimmin aiki</t>
  </si>
  <si>
    <t>591. What was the value of the goods members of your household receive from people out of Niger?</t>
  </si>
  <si>
    <t>591. Quel était la valeur au totale des biens que les membres de votre ménage ont reçu des personnes qui ne sont pas au Niger ?</t>
  </si>
  <si>
    <t>591. Nawa kimar kayan da ƴan gidanku suka samo daga mutanen da ke zaune a ƙasar waje ba Nijar ba?</t>
  </si>
  <si>
    <t>pm_activity_weeks</t>
  </si>
  <si>
    <t>146. In ${pm_location_name}, what is your best estimate of the total number of weeks you worked in ${pm_primary_activity_name} for pay in ${pm_location_period_lab}?</t>
  </si>
  <si>
    <t>146. À ${pm_location_name}, quelle est votre meilleure estimation du nombre total de semaines pendant lesquelles vous avez travaillé à ${pm_primary_activity_name} contre un salaire entre ${pm_location_period_lab_fr} ?</t>
  </si>
  <si>
    <t>146. A ${pm_location_name}, a ganinku nawa ne jimillar satin da kuka yi aiki a ${pm_primary_activity_name} don samun biya a ${pm_location_period_lab_ha}?</t>
  </si>
  <si>
    <t>mitigate</t>
  </si>
  <si>
    <t>There is no way to mitigate these risks</t>
  </si>
  <si>
    <t>Il n'y a aucun moyen d'atténuer ces risques</t>
  </si>
  <si>
    <t>Babu wata hanyar da za a iya rage waɗannan haɗari</t>
  </si>
  <si>
    <t>select_multiple paytype</t>
  </si>
  <si>
    <t>pm_main_activity_pay_type</t>
  </si>
  <si>
    <t>Talk with friends and other people who have migrated about their experiences and recommendations</t>
  </si>
  <si>
    <t>Discutez avec des amis et d'autres personnes qui ont migré de leurs expériences et recommandations</t>
  </si>
  <si>
    <t>Yin magana da abokai ko wasu mutanen da suka je biɗa game da abubuwan da suka faru da shawarwarin su</t>
  </si>
  <si>
    <t>pm_activity_payment_amt</t>
  </si>
  <si>
    <t>Discuss migration plans with household before migrating</t>
  </si>
  <si>
    <t>Discutez des projets de migration avec le ménage avant de migrer</t>
  </si>
  <si>
    <t>pm_activity_payment_val</t>
  </si>
  <si>
    <t>Tattauna tsare-tsaren zuwa biɗa tare da ƴan gida kafin zuwa biɗa</t>
  </si>
  <si>
    <t>149. Menene kimanin farashin kayan da aka biya ku ${pm_primary_activity_name} a ${pm_location_name} (a CFA)?</t>
  </si>
  <si>
    <t>select_one employer</t>
  </si>
  <si>
    <t>pm_activity_name_employer</t>
  </si>
  <si>
    <t>Keep in touch with family and friends after migrating</t>
  </si>
  <si>
    <t>Restez en contact avec votre famille et vos amis après la migration</t>
  </si>
  <si>
    <t>Ci gaba da tuntuɓar dangi da abokai bayan zuwa biɗa</t>
  </si>
  <si>
    <t>select_multiple benefits</t>
  </si>
  <si>
    <t>pm_main_activity_other_benefit</t>
  </si>
  <si>
    <t>Build your social network in the destination</t>
  </si>
  <si>
    <t>Construisez votre réseau social dans la destination</t>
  </si>
  <si>
    <t>Gina hanyar sadarwar ku a wurin da ake nufi</t>
  </si>
  <si>
    <t>pm_main_activity_other_benefit_o</t>
  </si>
  <si>
    <t>Know which services and help are available to Nigeriens in the destination (example: embassy, mosque, etc.)</t>
  </si>
  <si>
    <t>Savoir quels services et aides sont disponibles pour les Nigériens dans la destination (exemple : ambassade, mosquée, etc.)</t>
  </si>
  <si>
    <t>Sanin irin ayyuka da taimako da ake samu ga ƴan Nijar a wurin da a ka je (misali: ofishin jakadanci, masallaci, da sauransu)</t>
  </si>
  <si>
    <t>pm_main_activity_benefit_house</t>
  </si>
  <si>
    <t>Do not travel hidden in a vehicle while crossing the border</t>
  </si>
  <si>
    <t>Ne voyagez pas caché dans un véhicule lors du passage de la frontière</t>
  </si>
  <si>
    <t>Kada ku yi tafiya a ɓoye a cikin mota yayin ketare iyaka</t>
  </si>
  <si>
    <t>pm_main_activity_benefit_food</t>
  </si>
  <si>
    <t>pm_main_activity_benefit_phone</t>
  </si>
  <si>
    <t>Obtain all the documents required to migrate to an ECOWAS country and keep them safe</t>
  </si>
  <si>
    <t>Obtenez tous les documents nécessaires pour migrer vers un pays de la CEDEAO et conservez-les en sécurité</t>
  </si>
  <si>
    <t>Samun dukkan takaddun da ake buƙata don bulaguro a cikin ƙasashen ECOWAS kuma a kiyaye su</t>
  </si>
  <si>
    <t>pm_main_activity_benefit_other</t>
  </si>
  <si>
    <t>Make copies of important documents and share them with a friend or family member</t>
  </si>
  <si>
    <t>Faites des copies de documents importants et partagez-les avec un ami ou un membre de votre famille</t>
  </si>
  <si>
    <t>Yin kwafi na mahimman takardu kuma da raba su tare da wani aboki ko ɗan uwa</t>
  </si>
  <si>
    <t>pm_main_activity_deduct</t>
  </si>
  <si>
    <t>Keep your phone safe and away from strangers</t>
  </si>
  <si>
    <t>Gardez votre téléphone en sécurité et loin des étrangers</t>
  </si>
  <si>
    <t>Kiyaye wayarka da nisantata da baƙi</t>
  </si>
  <si>
    <t>pm_main_activity_deduct_amt</t>
  </si>
  <si>
    <t>MC hotline</t>
  </si>
  <si>
    <t>Ligne d'assistance MC</t>
  </si>
  <si>
    <t>Hanyar sadarwa na taimako</t>
  </si>
  <si>
    <t>pm_activity_payment_val_week</t>
  </si>
  <si>
    <t>605. Specify other transfer method</t>
  </si>
  <si>
    <t>605. Precisez la methode du transfert</t>
  </si>
  <si>
    <t>605. Wani daban a Bayyana</t>
  </si>
  <si>
    <t>pm_payment_amt</t>
  </si>
  <si>
    <t>606. In the past three months, have you or anyone in your household shared or sent goods (payment in kind) to someone who is not a member of your household and who lives in a foreign country (outside of Niger)?</t>
  </si>
  <si>
    <t>606. Au cours des trois derniers mois, vous ou quelqu'un de votre ménage avez-vous partagé ou envoyé &lt;b&gt;des biens&lt;/b&gt; (paiement en nature) à quelqu'un qui n'est pas membre de votre ménage et qui habite &lt;b&gt;à l'extérieur du Niger&lt;/b&gt; (dans un autre pays) ?</t>
  </si>
  <si>
    <t>606. A cikin watanni uku da suka wuce, kai ko wani a cikin gidanku kun bada ko kun aika kaya (a matsayin biya) ga wanda ba ɗan gidanku ba da ke zaune a wajen Nijar (a wata kasa)?</t>
  </si>
  <si>
    <t>pm_house</t>
  </si>
  <si>
    <t>607. What was the value of the goods members of your household sent to people out of Niger?</t>
  </si>
  <si>
    <t>607. Quel était le valeur au total des biens que les membres de votre ménage ont envoyé aux personnes qui sont quelques part hors du Niger ?</t>
  </si>
  <si>
    <t>607. Nawa ne kimar kayan da ƴan gidanku suka aikawa wasu mutane da ke wani wuri ba a Nijar ba?</t>
  </si>
  <si>
    <t>pm_food</t>
  </si>
  <si>
    <t>608. How were these goods transmitted to the recipient?</t>
  </si>
  <si>
    <t>608. Comment ces biens ont-ils été envoyé au destinataire ?</t>
  </si>
  <si>
    <t>608. Ta yaya aka aika waɗannan kayayyaki zuwa ga mai karɓa?</t>
  </si>
  <si>
    <t>pm_phone_act</t>
  </si>
  <si>
    <t>609. Specify other transfer method</t>
  </si>
  <si>
    <t>609. Precisez la methode du transfert</t>
  </si>
  <si>
    <t>609. Wani daban a Bayyana</t>
  </si>
  <si>
    <t>fail_reason</t>
  </si>
  <si>
    <t>pm_other</t>
  </si>
  <si>
    <t>Insufficient funds</t>
  </si>
  <si>
    <t>610. In the past three months, have you received support from any of the following sources?</t>
  </si>
  <si>
    <t>610. Au cours des trois derniers mois, avez-vous reçu de l'aide de l'une des sources suivantes ?</t>
  </si>
  <si>
    <t>610. A cikin watanni uku da suka wuce, kun samu taimako daga ɗayan waɗannan hanyoyin?</t>
  </si>
  <si>
    <t>Fonds insuffisants</t>
  </si>
  <si>
    <t>Rashin isassun kudade</t>
  </si>
  <si>
    <t>pm_deduct</t>
  </si>
  <si>
    <t>611. How much did ou receive from all the sources combined?</t>
  </si>
  <si>
    <t>611. Combien avez-vous reçu de toutes les sources confondues ?</t>
  </si>
  <si>
    <t>611. Nawa kuka samu daga duk hanyoyin shiga gaba ɗayan su?</t>
  </si>
  <si>
    <t>pm_calc_total_income</t>
  </si>
  <si>
    <t>Weekly income (activity_payment_amt + inkind_payment_val/activity_weeks +  sum(main_activity_benefit) - main_activity_deduction) * number of weeks</t>
  </si>
  <si>
    <t>Revenu hebdomadaire (activity_payment_amt + sum(main_activity_benefit) - main_activity_deduction) * nombre de semaines</t>
  </si>
  <si>
    <t>Kudin shiga na mako-mako (aikin_payment_amt + jimla(babban_aiki_amfanin) - babban_aiki_rage) * adadin makonni</t>
  </si>
  <si>
    <t>612. In addition to the transfers we just discussed, what is the total value of income from charity or gifts your household has received &lt;b&gt;in the past three months&lt;/b&gt; in CFA?</t>
  </si>
  <si>
    <t>612. En dehors des transferts qu'on vient de citer, quelle est la valeur totale des revenus provenant d'œuvres caritatives ou de cadeaux que votre ménage a reçus &lt;b&gt; au cours des trois derniers mois&lt;/b&gt; (en CFA) ?</t>
  </si>
  <si>
    <t>Needed to stay home to help household (e.g., on farm)</t>
  </si>
  <si>
    <t>612. Nawa ne yawan kuɗin taimako ko kyauta da ƴan gidanku suka samu a cikin watanni uku da suka gabata (a sefa) ?</t>
  </si>
  <si>
    <t>Nécessité de rester à la maison pour aider le ménage (par exemple, à la ferme)</t>
  </si>
  <si>
    <t>Ana buƙatar zama a gida don taimakawa gida (misali, a gona)</t>
  </si>
  <si>
    <t>Insecurity/decided it was not safe to migrate</t>
  </si>
  <si>
    <t>Insécurité/décide qu'il n'était pas garanti de voyager</t>
  </si>
  <si>
    <t>Rashin tsaro/yanke shawarar bai kamata ya tafi nema ba</t>
  </si>
  <si>
    <t>662. How much did your household spend on ${hoh_item_week} in the past week (in CFA)?</t>
  </si>
  <si>
    <t>662. Combien votre ménage a-t-il dépensé en ${hoh_item_week} la semaine dernière (en CFA) ?</t>
  </si>
  <si>
    <t>662. Nawa ne gidan ku ya kashe (a CFA) a ${hoh_item_week} satin da ya gabata ?</t>
  </si>
  <si>
    <t>Too much concern about finding a job or housing in destination</t>
  </si>
  <si>
    <t>Trop d'inquiétudes pour trouver un emploi ou un logement dans la destination</t>
  </si>
  <si>
    <t>Damuwa da yawa game da tabbacin samun aiki ko matsuguni a inda za'a je</t>
  </si>
  <si>
    <t>pm_activity_pay_total</t>
  </si>
  <si>
    <t>Sickness</t>
  </si>
  <si>
    <t>Maladie</t>
  </si>
  <si>
    <t>Rashin lafiya</t>
  </si>
  <si>
    <t>Decided to stay home for studies/training</t>
  </si>
  <si>
    <t>A décidé de rester à la maison pour des études/une formation</t>
  </si>
  <si>
    <t>Yanke shawarar zama a gida don karatu / horo</t>
  </si>
  <si>
    <t>pm_activity_costs</t>
  </si>
  <si>
    <t>Parents/household refused permission</t>
  </si>
  <si>
    <t>Les parents/le ménage ont refusé l'autorisation</t>
  </si>
  <si>
    <t>pm_job_placement_cost</t>
  </si>
  <si>
    <t>Iyaye/masu gida sun ƙi bada izini</t>
  </si>
  <si>
    <t>161. Combien, si cest déjà arrivé, avez-vous payé à un facilitateur ou à une agence de placement ?</t>
  </si>
  <si>
    <t>161. Nawa, idan ya taɓa faruwa, wanda kuka biya wani idon gari ko wata ma'aikata mai bada aiki?</t>
  </si>
  <si>
    <t>pm_main_activity_debt</t>
  </si>
  <si>
    <t>pm_main_activity_debt_amt</t>
  </si>
  <si>
    <t>Ne sait pas</t>
  </si>
  <si>
    <t>pm_other_income</t>
  </si>
  <si>
    <t>667. Poultry</t>
  </si>
  <si>
    <t>667. Volaille</t>
  </si>
  <si>
    <t>667. Kaji</t>
  </si>
  <si>
    <t>pm_other_income_weeks</t>
  </si>
  <si>
    <t>165. For approximately how many weeks in ${pm_location_name} during ${pm_location_period_lab} did you earn ${pm_other_income}?</t>
  </si>
  <si>
    <t>165. Pendant environ combien de semaines à ${pm_location_name} pendant ${pm_location_period_lab_fr} avez-vous gagné ${pm_other_income} ?</t>
  </si>
  <si>
    <t>165. Kimanin sati nawa a ${pm_location_name} a lokacin ${pm_location_period_lab_ha} kuka samu ${pm_other_income}?</t>
  </si>
  <si>
    <t>exp_categories_share</t>
  </si>
  <si>
    <t>pm_calc_other_income</t>
  </si>
  <si>
    <t>Calculate other income</t>
  </si>
  <si>
    <t>Calculer d'autres revenus</t>
  </si>
  <si>
    <t>Yi lissafin sauran kudin shiga</t>
  </si>
  <si>
    <t>620. Approximately how much did all of these investments together cost in CFA?</t>
  </si>
  <si>
    <t>620. Combien ont coûté approximativement tous ces investissements (en CFA) ?</t>
  </si>
  <si>
    <t>620. Aƙalla nawa aka kashe akan waɗannan ayyukan a sefa?</t>
  </si>
  <si>
    <t>pm_calc_sum_income</t>
  </si>
  <si>
    <t>Calculate total income</t>
  </si>
  <si>
    <t>621. In the past 3 months did you make any investments in your non-agricultural business?</t>
  </si>
  <si>
    <t>621. Au cours des 3 derniers mois, avez-vous fait des investissements dans votre entreprise non agricole ?</t>
  </si>
  <si>
    <t>621. A cikin watanni 3 da suka gabata, kun zuba jari a cikin harkokinku da ba na noma ba?</t>
  </si>
  <si>
    <t>pm_other_income_total</t>
  </si>
  <si>
    <t>166. Would you say that it is accurate that in ${pm_location_name} your total income during ${pm_location_period_lab} from activities other than ${pm_primary_activity_name} was ${pm_calc_other_income}?</t>
  </si>
  <si>
    <t>166. Diriez-vous que c'est exact qu'à ${pm_location_name}, votre revenu total pendant ${pm_location_period_lab_fr} provenant d'activités autres que ${pm_primary_activity_name} était de ${pm_calc_other_income} CFA ?</t>
  </si>
  <si>
    <t>166. Za ku iya cewa daidai ne a ${pm_location_name} jimillar kuɗin da kuka samu a lokacin ${pm_location_period_lab_ha} daga ayyukan da ba ${pm_primary_activity_name} shine ${pm_calc_other_income} CFA?</t>
  </si>
  <si>
    <t>Other household expenditure</t>
  </si>
  <si>
    <t>Autres dépenses des ménages</t>
  </si>
  <si>
    <t>Sauran kashe kashen kuɗin gida</t>
  </si>
  <si>
    <t>speedcheck_pm_primaryact_end</t>
  </si>
  <si>
    <t>Investments in Agriculture and/or Business</t>
  </si>
  <si>
    <t>Investissements dans l’agriculture et/ou les affaires</t>
  </si>
  <si>
    <t>623. In the past 3 months did you make any investments to improve the productivity of your land?</t>
  </si>
  <si>
    <t>Zuba jari a Noma da/ko Kasuwanci</t>
  </si>
  <si>
    <t>623. Au cours des 3 derniers mois, avez-vous fait des investissements pour améliorer la productivité de votre terre ?</t>
  </si>
  <si>
    <t>623. A cikin watanni 3 da suka gabata, kun zuba kudi don inganta samun amfanin gonakinku?</t>
  </si>
  <si>
    <t>dur_pm_primaryact</t>
  </si>
  <si>
    <t>624. Specify improvement to land</t>
  </si>
  <si>
    <t>624. Précisez les améliorations de votre terre que vous avez fait</t>
  </si>
  <si>
    <t>624. Ku bayyana kuɗin da kuka kashe don haɓɓaka gonarku</t>
  </si>
  <si>
    <t>Adano</t>
  </si>
  <si>
    <t>Debt Repayments</t>
  </si>
  <si>
    <t>Remboursements de la dette</t>
  </si>
  <si>
    <t>Biyan Bashi</t>
  </si>
  <si>
    <t>Housing cost payments</t>
  </si>
  <si>
    <t>Paiements des frais de logement</t>
  </si>
  <si>
    <t>Biyan kuɗin haya</t>
  </si>
  <si>
    <t>625. Now I will ask you about different ways your household may use money that you earn.</t>
  </si>
  <si>
    <t>625. Je vais maintenant vous poser des questions sur les différentes façons dont votre ménage peut utiliser l'argent que vous gagnez.</t>
  </si>
  <si>
    <t>625. Yanzu zan yi muku tambayoyi game hanyoyi daban-daban da gidanku ke iya amfani da su don kashe kuɗin da yake samu.</t>
  </si>
  <si>
    <t>Education/Training payments</t>
  </si>
  <si>
    <t>626. Does your household currently have any savings that you keep in any of the following ways?</t>
  </si>
  <si>
    <t>626. Votre ménage dispose-t-il actuellement d'économies que vous conservez de l'une des manières suivantes ?</t>
  </si>
  <si>
    <t>626. Ko a halin yanzu gidanku na da ajiyar kuɗi daga ɗaya a cikin wanɗannan dubaru?</t>
  </si>
  <si>
    <t>Paiements pour études/formation</t>
  </si>
  <si>
    <t>Biyan ilimi/ horo</t>
  </si>
  <si>
    <t>Health Expenditures</t>
  </si>
  <si>
    <t>627. Specify other:</t>
  </si>
  <si>
    <t>Dépenses de santé</t>
  </si>
  <si>
    <t>627. Autre a préciser :</t>
  </si>
  <si>
    <t>627. Baiyana wani abu daban:</t>
  </si>
  <si>
    <t>Kuɗin kiwon Lafiya</t>
  </si>
  <si>
    <t>669. What is the phone number where we can reach you?</t>
  </si>
  <si>
    <t>669. Quel est le numéro de téléphone auquel nous pouvons vous joindre?</t>
  </si>
  <si>
    <t>669. Wace lambar waya ce zamu iya samun ku da ita?</t>
  </si>
  <si>
    <t>Migration costs</t>
  </si>
  <si>
    <t>670. I am going to read back the phone number you just shared with me. Can you confirm this is your primary phone number? ${primary_phone}</t>
  </si>
  <si>
    <t>Coûts de migration</t>
  </si>
  <si>
    <t>670. Je vais relire le numéro de téléphone que vous venez de me donner. Pouvez-vous confirmer qu'il s'agit de votre numéro de téléphone principal ? ${primary_phone}</t>
  </si>
  <si>
    <t>Kashe kuɗin zuwa biɗa</t>
  </si>
  <si>
    <t>670. Zan sake karanta lambar wayar da kuka bani. Zaku iya tabbatar mini da wannan itace lambar wayarku ta farko? ${primary_phone}</t>
  </si>
  <si>
    <t>671. Please go back and correct the number.</t>
  </si>
  <si>
    <t>671. Veuillez revenir en arrière pour corriger le numéro.</t>
  </si>
  <si>
    <t>671. ko za ka koma baya ka gyara lambar.</t>
  </si>
  <si>
    <t>pm_location_not_home</t>
  </si>
  <si>
    <t>Location not at home</t>
  </si>
  <si>
    <t>Localité pas à la maison</t>
  </si>
  <si>
    <t>Wuri ba a gida ba</t>
  </si>
  <si>
    <t>628. Please share with us your best estimate of the value in CFA ${hoh_savings_name}</t>
  </si>
  <si>
    <t>628. Veuillez nous dire votre meilleure estimation de la valeur en CFA ${hoh_savings_name}</t>
  </si>
  <si>
    <t>628. Da fatan zaku baiyana mini yawan kuɗin a tsammaninku ${hoh_savings_name} a CFA</t>
  </si>
  <si>
    <t>speedcheck_pm_locnothome_start</t>
  </si>
  <si>
    <t>Wasu daban</t>
  </si>
  <si>
    <t>629. Do you earn interest on this money ${hoh_savings_name}?</t>
  </si>
  <si>
    <t>629. Gagnez-vous des intérêts sur cet argent ${hoh_savings_name} ?</t>
  </si>
  <si>
    <t>629. Kuna samun kudin ruwa akan wannan kuɗin ${hoh_savings_name}?</t>
  </si>
  <si>
    <t>674. Do you have a Whatsapp account/ phone number you use for WhatsApp?</t>
  </si>
  <si>
    <t>674. Avez-vous un compte/numéro de téléphone Whatsapp que vous utilisez pour WhatsApp ?</t>
  </si>
  <si>
    <t>674. Kuna yin WhatsApp / lambar wayar da kuke amfani da ita ta WhatsApp ce?</t>
  </si>
  <si>
    <t>675. Is this the phone number you use for whatsapp?</t>
  </si>
  <si>
    <t>675. Est-ce le numéro de téléphone que vous utilisez pour WhatsApp ?</t>
  </si>
  <si>
    <t>675. Wannan ita ce lambar wayar da kuke amfani da ita don yin whatsapp?</t>
  </si>
  <si>
    <t>676. Please tell me the phone number you use for Whatsapp</t>
  </si>
  <si>
    <t>676. Veuillez me dire le numéro de téléphone que vous utilisez pour Whatsapp</t>
  </si>
  <si>
    <t>676. Don Allah ku gaya mini lambar wayar da kuke amfani da ita don yin Whatsapp</t>
  </si>
  <si>
    <t>season</t>
  </si>
  <si>
    <t>Harvest season (this year)</t>
  </si>
  <si>
    <t>Saison des récoltes (cette année)</t>
  </si>
  <si>
    <t>Lokacin kaka ta bana</t>
  </si>
  <si>
    <t>677. I am going read back the phone number you just shared with me as your Whatsapp number. Is this the phone number you use for whatsapp? ${phone_whatsapp_number}</t>
  </si>
  <si>
    <t>677. Je vais relire le numéro de téléphone que vous nous avez donné comme votre numéro Whatsapp. Est-ce le numéro de téléphone que vous utilisez pour WhatsApp ? ${phone_whatsapp_number}</t>
  </si>
  <si>
    <t>677. Zan sake karanta lambar wayar da kuka bani a zaman lambar Whatsapp dinku. Wannan shine lambar wayar da kuke amfani da ita don yin whatsapp? ${phone_whatsapp_number}</t>
  </si>
  <si>
    <t>pm_location_purpose</t>
  </si>
  <si>
    <t>167. What was the main reason you spent time in ${pm_location_name} during ${pm_location_period_lab}?</t>
  </si>
  <si>
    <t>167. Quelle est la principale raison pour laquelle vous avez passé du temps à ${pm_location_name} pendant ${pm_location_period_lab_fr} ?</t>
  </si>
  <si>
    <t>167. Menene babban dalilin da ya sa kuka zauna tsawon wani lokaci a ${pm_location_name} lokacin ${pm_location_period_lab_ha}?</t>
  </si>
  <si>
    <t>Cold season</t>
  </si>
  <si>
    <t>Saison froide</t>
  </si>
  <si>
    <t>Lokacin sanyi</t>
  </si>
  <si>
    <t>679. Do you have other phone numbers that you use regularly (i.e. other phone carriers)?</t>
  </si>
  <si>
    <t>679. Avez-vous d'autres numéros de téléphone que vous utilisez régulièrement (c'est-à-dire d'autres opérateurs téléphoniques) ?</t>
  </si>
  <si>
    <t>679. Ko kuna da wasu lambobin waya waɗanda kuke amfani da su kai-akai (layin wasu gidan wayar salula)?</t>
  </si>
  <si>
    <t>select_one stay</t>
  </si>
  <si>
    <t>Hot season</t>
  </si>
  <si>
    <t>pm_lodging</t>
  </si>
  <si>
    <t>Saison chaude</t>
  </si>
  <si>
    <t>Lokacin zafi</t>
  </si>
  <si>
    <t>168. Ku yi tunanin sati guda a cikin ${pm_location_name}, da inda kuke zaune?</t>
  </si>
  <si>
    <t>Bazara</t>
  </si>
  <si>
    <t>pm_share_income</t>
  </si>
  <si>
    <t>169. In ${pm_location_name} during ${pm_location_period_lab}, did you share money with your household in ${pm_home_location}?</t>
  </si>
  <si>
    <t>Rainy season</t>
  </si>
  <si>
    <t>Saison des pluies</t>
  </si>
  <si>
    <t>Damana</t>
  </si>
  <si>
    <t>169. À ${pm_location_name} pendant ${pm_location_period_lab_fr} avez-vous envoyé de l'argent a votre ménage à ${pm_home_location} ?</t>
  </si>
  <si>
    <t>169. A ${pm_location_name} ${period_hausa_bl} kun aika kuɗi zuwa gidanku a ${pm_home_location}?</t>
  </si>
  <si>
    <t>Harvest season (next year)</t>
  </si>
  <si>
    <t>Période de récolte (l'année prochaine)</t>
  </si>
  <si>
    <t>Lokacin kaka ta badi</t>
  </si>
  <si>
    <t>681. What are these additional phone numbers?</t>
  </si>
  <si>
    <t>681. Quels sont les numéros de téléphone supplémentaires ?</t>
  </si>
  <si>
    <t>681. Waɗannene ƙarin lambobin wayan?</t>
  </si>
  <si>
    <t>682. In case we cannot reach you, could you please provide us with the name and phone number of someone outside your household that we could call to ask for your number? 
We would only call that person if we cannot reach you after a few attempts and this would really help us stay in contact with you.</t>
  </si>
  <si>
    <t>682. Si nous ne pouvons pas vous joindre, pourriez-vous nous fournir le nom et le numéro de téléphone d'une personne extérieure à votre foyer que nous pourrions appeler pour demander votre numéro ?
 Nous n'appellerions cette personne que si nous ne pouvons pas vous joindre après quelques tentatives, cela nous aiderait vraiment à rester en contact avec vous.</t>
  </si>
  <si>
    <t>682. Idan ba za mu iya samun ku ba, ko za ku iya ba mu suna da lambar wayar wani wanda ba na gidanku ba da za mu iya kira don neman lambar ku?
 Za mu kirayi mutumen ne kawai idan bamu sameku ba bayan kira biyu zuwa uku, hakan zai taimaka mana ci gaba da tuntuɓar ku.</t>
  </si>
  <si>
    <t>concerns</t>
  </si>
  <si>
    <t>My family was concerned about safety</t>
  </si>
  <si>
    <t>Ma famille était préoccupée par la sécurité</t>
  </si>
  <si>
    <t>Ƴan gidan mu sun damu da aminci</t>
  </si>
  <si>
    <t>pm_share_income_amt</t>
  </si>
  <si>
    <t>170. Thinking about the ${pm_location_weeks} weeks you spent in location during ${pm_location_period_lab}, how much of the money you earned do you estimate you shared with your household in ${pm_home_location}?</t>
  </si>
  <si>
    <t>170. En pensant aux ${pm_location_weeks} semaines que vous avez passées dans la localité au cours de ${pm_location_period_lab_fr}, quelle part de l'argent que vous avez gagné estimez-vous avoir envoyé à votre ménage en ${pm_home_location}?</t>
  </si>
  <si>
    <t>170. Ku Tuna da makonnin ${pm_location_weeks} da kuka zauna a wurin ${pm_location_period_lab_ha}, nawa ne daga cikin kudaden da kuka samu kuka kiyasin aika wa gidanku a ${pm_home_location}?</t>
  </si>
  <si>
    <t>My family was concerned about losing contact</t>
  </si>
  <si>
    <t>Ma famille craignait de perdre le contact</t>
  </si>
  <si>
    <t>Ƴan gidan mu sun damu da rashin tuntuɓar juna</t>
  </si>
  <si>
    <t>select_multiple money_transfer</t>
  </si>
  <si>
    <t>pm_share_income_method</t>
  </si>
  <si>
    <t>171. Quel canal avez-vous utilisé pour envoyer l'argent ?</t>
  </si>
  <si>
    <t>My family believed I could help more at home than abroad</t>
  </si>
  <si>
    <t>Ma famille croyait que je pouvais aider davantage chez moi qu'à l'étranger</t>
  </si>
  <si>
    <t>Ƴan gidan mu sun yi imanin cewa zan iya taimakawa fiye a gida fiye da ƙasar waje</t>
  </si>
  <si>
    <t>pm_rec_income</t>
  </si>
  <si>
    <t>172. In ${pm_location_name} during ${pm_location_period_lab} did you receive money from your household in ${pm_home_location}?</t>
  </si>
  <si>
    <t>172. À ${pm_location_name} pendant ${pm_location_period_lab_fr} avez-vous reçu de l'argent de votre menage à ${pm_home_location} ?</t>
  </si>
  <si>
    <t>172. A ${pm_location_name} ${pm_location_period_lab_ha} ko kun samu kuɗi daga gidanku a ${pm_home_location}?</t>
  </si>
  <si>
    <t>who_concerned_fam</t>
  </si>
  <si>
    <t>pm_rec_income_amt</t>
  </si>
  <si>
    <t>173. Thinking about the ${pm_location_weeks} weeks you spent in location during ${pm_location_period_lab}, how much money do you estimate you recieved from your household in ${pm_home_location}?</t>
  </si>
  <si>
    <t>173. En pensant aux ${pm_location_weeks} semaines que vous avez passées dans la localité au cours de ${pm_location_period_lab_fr}, combien d'argent estimez-vous avoir reçu de votre menage dans ${pm_home_location} ?</t>
  </si>
  <si>
    <t>173. KuTuna da makonni ${pm_location_weeks} da kuka zauna a wurin ${pm_location_period_lab_ha}, nawa kuke lissahin kun samu daga gidan ku daga ${pm_home_location}?</t>
  </si>
  <si>
    <t>pm_rec_income_method</t>
  </si>
  <si>
    <t>174. Quel canal a été utilisé pour envoyer cet argent?</t>
  </si>
  <si>
    <t>686. What is ${secondary_name1}'s relationship to you?</t>
  </si>
  <si>
    <t>686. Quelle est la relation entre ${secondary_name1} et vous ?</t>
  </si>
  <si>
    <t>686. Menene alaƙar ku da ${secondary_name1} ?</t>
  </si>
  <si>
    <t>687. Just to confirm, is this the number? 
 ${secondary_name1}
 ${secondary_phone1}</t>
  </si>
  <si>
    <t>687. Juste pour confirmer, est-ce bien le numéro ?
 ${secondary_name1}
 ${secondary_phone1}</t>
  </si>
  <si>
    <t>Other relatives</t>
  </si>
  <si>
    <t>687. Don tabbatarwa kawai, da wannan itace lambar?
 ${secondary_name1}
 ${secondary_phone1}</t>
  </si>
  <si>
    <t>D'autres proches</t>
  </si>
  <si>
    <t>Sauran dangi</t>
  </si>
  <si>
    <t>speedcheck_pm_locnothome_end</t>
  </si>
  <si>
    <t>638. For ${hoh_emergency_name}
What was the value of the following in CFA?</t>
  </si>
  <si>
    <t>638. Par rapport à ${hoh_emergency_name}
Quelle était la valeur des éléments suivantes en CFA?</t>
  </si>
  <si>
    <t>638. Game da ${hoh_emergency_name}
 Nawa ne kimar waɗannan abubuwan a kuɗin CFA?</t>
  </si>
  <si>
    <t>dur_pm_locnothome</t>
  </si>
  <si>
    <t>639. Assets you sold</t>
  </si>
  <si>
    <t>639. Les actifs que vous avez vendus</t>
  </si>
  <si>
    <t>639. Kadarorin da kuka saida</t>
  </si>
  <si>
    <t>640. Loan(s) you took</t>
  </si>
  <si>
    <t>640. Les prêt(s) que vous avez contracté</t>
  </si>
  <si>
    <t>640. Bashin da kuka ɗauka</t>
  </si>
  <si>
    <t>who_concerned_comm</t>
  </si>
  <si>
    <t>Village leaders</t>
  </si>
  <si>
    <t>Chefs de village</t>
  </si>
  <si>
    <t>Maigari</t>
  </si>
  <si>
    <t>641. Savings you spent?</t>
  </si>
  <si>
    <t>641. L'épargne que vous avez utilisé</t>
  </si>
  <si>
    <t>641. Ajiyar da kuka kashe</t>
  </si>
  <si>
    <t>Imam</t>
  </si>
  <si>
    <t>Liman</t>
  </si>
  <si>
    <t>692. What is the last name of this person</t>
  </si>
  <si>
    <t>692. Quel est le nom de cette personne?</t>
  </si>
  <si>
    <t>692. Menene sunan uban wannan mutumen?</t>
  </si>
  <si>
    <t>Friends</t>
  </si>
  <si>
    <t>Amis</t>
  </si>
  <si>
    <t>Abokai</t>
  </si>
  <si>
    <t>693. What is the first name of this person</t>
  </si>
  <si>
    <t>693. Quel est le prénom de cette personne?</t>
  </si>
  <si>
    <t>693. Menene sunan wannan mutumen?</t>
  </si>
  <si>
    <t>pm_typical_week</t>
  </si>
  <si>
    <t>Week in Location</t>
  </si>
  <si>
    <t>Semaine dans localite</t>
  </si>
  <si>
    <t>Mako a Wuri</t>
  </si>
  <si>
    <t>642. Now I would like to ask you about any money that you and your family owe to other people; money you have borrowed from people outside your household.</t>
  </si>
  <si>
    <t>642. Maintenant, je voudrais vous poser des questions sur l'argent que vous et votre ménage devez à d'autres personnes ; l'argent que vous avez emprunté à des personnes extérieures à votre ménage.</t>
  </si>
  <si>
    <t>642. Yanzu ina son in tambaye ku game da duk wani kuɗin da ku da ƴan gidanku kuka ɗauko daga wajen wasu mutane; kuɗin da kuka aro daga mutane wanda ba ƴan gidanku ba.</t>
  </si>
  <si>
    <t>speedcheck_pm_typicalweek_start</t>
  </si>
  <si>
    <t>Neighbors</t>
  </si>
  <si>
    <t>Voisins</t>
  </si>
  <si>
    <t>Maƙwabta</t>
  </si>
  <si>
    <t>643. In the last three months did you or a member of your household try to secure a loan from any source but were refused?</t>
  </si>
  <si>
    <t>643. Au cours des trois derniers mois, vous ou un membre de votre ménage avez-vous essayé d'obtenir un prêt auprès de n'importe quelle source, mais cela a été refusé ?</t>
  </si>
  <si>
    <t>643. A cikin watanni uku da suka wuce kai ko wani dan gidanku kun yi ƙoƙarin samun bashi daga kowace hanya amma an ƙi?</t>
  </si>
  <si>
    <t>pm_typical_week_note</t>
  </si>
  <si>
    <t>175. Now I would like to ask you about a typical week in ${pm_location_name} during ${pm_location_period_lab}</t>
  </si>
  <si>
    <t>175. Maintenant, je voudrais vous poser des questions sur une semaine normale à ${pm_location_name} pendant ${pm_location_period_lab_fr}</t>
  </si>
  <si>
    <t>175. Yanzu ina so in tambaye ku game da sati guda a cikin ${pm_location_name} ${pm_location_period_lab_ha}</t>
  </si>
  <si>
    <t>pm_skip_meals_typical_wk</t>
  </si>
  <si>
    <t>176. Au cours d'une semaine normale, avez-vous réduit la taille des repas ou sauté des repas ?</t>
  </si>
  <si>
    <t>176. A cikin mako sati ko kun rage yawan abincin da kuka saba ci ko kun tsallake abincin?</t>
  </si>
  <si>
    <t>pm_skip_meals_typical_wk_num</t>
  </si>
  <si>
    <t>pm_consume_week</t>
  </si>
  <si>
    <t>Weekly consumption</t>
  </si>
  <si>
    <t>contactshare</t>
  </si>
  <si>
    <t>647. In the past three months, have you or anyone in your household received money or goods from someone who is not a member of your household and lives in your village in Niger?</t>
  </si>
  <si>
    <t>Possible accommodation options</t>
  </si>
  <si>
    <t>647. Au cours des trois derniers mois, est-ce que vous ou un membre de votre ménage avez reçu de l'argent ou des biens d'une personne qui n'est pas membre de votre ménage et qui habite dans votre village au Niger ?</t>
  </si>
  <si>
    <t>Options d'hébergement possibles</t>
  </si>
  <si>
    <t>647. A cikin wata uku da suka wuce, kai ko wani a cikin gidanku kun karɓi kuɗi ko kaya daga wani wanda ba ɗan gidanku ba kuma yana zaune a ƙauyenku a Nijar?</t>
  </si>
  <si>
    <t>Zaɓuɓɓukan masauki masu yiwuwa</t>
  </si>
  <si>
    <t>pm_expenses_note</t>
  </si>
  <si>
    <t>178. Think about your expenses in a typical week in ${pm_location_name} during ${pm_location_period_lab}.
 How much did you personally spend, if any, on the following types of expenses?</t>
  </si>
  <si>
    <t>178. Pensez à vos dépenses au cours d'une semaine normale dans ${pm_location_name} entre ${pm_location_period_lab_fr}.
  Combien avez-vous personnellement dépensé, si c'est arrivé, pour les types de dépenses suivants ?</t>
  </si>
  <si>
    <t>178. Ku yi tunani game da abubuwan da kuka saye a cikin sati guda a ${pm_location_name} ${pm_location_period_lab_ha}.
  Nawa kuka kashe, idan an kashe kuɗi, akan nau'ikan kashe kashen kuɗi kamar haka?</t>
  </si>
  <si>
    <t>Possible work options (and their pay)</t>
  </si>
  <si>
    <t>Options de travail possibles (et leur salaire)</t>
  </si>
  <si>
    <t>Zaɓuɓɓukan aiki masu yuwuwa (da albashinsu)</t>
  </si>
  <si>
    <t>Safety considerations at destination</t>
  </si>
  <si>
    <t>Considérations de sécurité à destination</t>
  </si>
  <si>
    <t>La'akarin aminci a wurin da ake je</t>
  </si>
  <si>
    <t>700. How interested was the resppondent</t>
  </si>
  <si>
    <t>700. Dans quelle mesure le répondant était-il intéressé</t>
  </si>
  <si>
    <t>700. Yaya kake ganin maida hankalin mai bada amsa yake</t>
  </si>
  <si>
    <t>pm_food_cost</t>
  </si>
  <si>
    <t>179. Nourriture (y compris ce que vous avez payé directement + argent pour les ingrédients pour le ménage)</t>
  </si>
  <si>
    <t>179. Abinci (ciki har da wanda kuka saye kai tsaye da kuɗin kayan abinci na gida)</t>
  </si>
  <si>
    <t>Cost of living in destination</t>
  </si>
  <si>
    <t>Coût de la vie à destination</t>
  </si>
  <si>
    <t>Tsadar rayuwa a inda ake je</t>
  </si>
  <si>
    <t>pm_housing_cost</t>
  </si>
  <si>
    <t>180. Wurin zama (gidan haya)</t>
  </si>
  <si>
    <t>pm_transportation_cost</t>
  </si>
  <si>
    <t>pm_phone_cost</t>
  </si>
  <si>
    <t>pm_leisure_cost</t>
  </si>
  <si>
    <t>encouragescale</t>
  </si>
  <si>
    <t>Encouraged</t>
  </si>
  <si>
    <t>Encouragé</t>
  </si>
  <si>
    <t>Karfafa</t>
  </si>
  <si>
    <t>654. In the past week how many days have adults in your household consumed animal protein (including fish, meat, poultry)?</t>
  </si>
  <si>
    <t>654. Au cours des 7 derniers jours, combien de fois les adultes de votre ménage ont-ils consommé des protéines animales (y compris poisson, viande, volaille) ?</t>
  </si>
  <si>
    <t>Stayed the same</t>
  </si>
  <si>
    <t>654. A cikin kwanaki 7 da suka wuce sau nawa manyan gidanku suka ci abinci masu gina jiki kamar su kifi ko nama ko kaji?</t>
  </si>
  <si>
    <t>Resté le même</t>
  </si>
  <si>
    <t>Ya tsaya kamar da</t>
  </si>
  <si>
    <t>pm_total_cost</t>
  </si>
  <si>
    <t>Calculate consumption totals and verify</t>
  </si>
  <si>
    <t>Calculer les totaux de consommation et vérifier</t>
  </si>
  <si>
    <t>Lissafa jimillar duk abubuwan da kayi amfani da su kuma ka tabbatar</t>
  </si>
  <si>
    <t>655. In the last 7 days, have children (&lt;14) gone a whole day without meals?</t>
  </si>
  <si>
    <t>655. Au cours des 7 derniers jours, des enfants (&lt;14) ont-ils passé une journée entière sans manger de repas ?</t>
  </si>
  <si>
    <t>655. A cikin kwanaki 7 na ƙarshe, ko yara ƴan ƙasa da shekara goma sha huɗu sun zauna tsawon wuni guda ba su ci da abinci ba?</t>
  </si>
  <si>
    <t>pm_consumption_confirm</t>
  </si>
  <si>
    <t>184. Au cours d'une semaine normale, vous dépenseriez ${pm_total_cost}. Cela vous semble-t-il correct ?</t>
  </si>
  <si>
    <t>184. A cikin sati guda, za ku iya kashe ${pm_total_cost}. Ko hakan yayi daidai?</t>
  </si>
  <si>
    <t>Discouraged</t>
  </si>
  <si>
    <t>Découragé</t>
  </si>
  <si>
    <t>Hanawa</t>
  </si>
  <si>
    <t>pm_events_location_note</t>
  </si>
  <si>
    <t>185. Now I will ask about some things that may have happened to you in ${pm_location_name} during ${pm_location_period_lab}. 
 Think about all the time you spent in ${pm_location_name} during ${pm_location_period_lab} when answering these questions</t>
  </si>
  <si>
    <t>185. Maintenant, je vais vous poser des questions sur certaines choses qui pourraient vous être arrivées à ${pm_location_name} de ${pm_location_period_lab_fr}.
  Pensez à tout le temps que vous avez passé à ${pm_location_name} de ${pm_location_period_lab_fr} lorsque vous répondez à ces questions</t>
  </si>
  <si>
    <t>185. Yanzu zan yi tambaya game da wasu abubuwa da wataƙila sun faru da ku a ${pm_location_name} lokacin ${pm_location_period_lab_ha}.
  Ku yi tuna da duk lokacin da kuka zauna a ${pm_location_name} lokacin ${pm_location_period_lab_ha} amsa waɗannan tambayoyin</t>
  </si>
  <si>
    <t>select_one freq</t>
  </si>
  <si>
    <t>pm_disc</t>
  </si>
  <si>
    <t>pm_felt_unsafe</t>
  </si>
  <si>
    <t>discouragereason</t>
  </si>
  <si>
    <t>That I could earn less than I expected</t>
  </si>
  <si>
    <t>Que je pourrais gagner moins que ce à quoi je m'attendais</t>
  </si>
  <si>
    <t>Cewa zan iya samun kasa da yadda nake zato</t>
  </si>
  <si>
    <t>pm_vict</t>
  </si>
  <si>
    <t>660. Has your household spent money on the following types of expenses in the past month?</t>
  </si>
  <si>
    <t>660. Votre ménage a-t-il dépensé de l'argent pour les types de dépenses suivants au cours du dernier mois ?</t>
  </si>
  <si>
    <t>660. Shin gidanku ya kashe kuɗi akan irin waɗannan abubuwan a cikin watan da ya gabata?</t>
  </si>
  <si>
    <t>That it is costlier to live there than I expected</t>
  </si>
  <si>
    <t>Qu'il est plus coûteux d'y vivre que ce à quoi je m'attendais</t>
  </si>
  <si>
    <t>Cewa yana da tsadar zama a can fiye da yadda nake tsammani</t>
  </si>
  <si>
    <t>pm_exp_note</t>
  </si>
  <si>
    <t>188. Have you experienced any of the following in ${pm_location_name} during ${pm_location_period_lab}?</t>
  </si>
  <si>
    <t>188. Avez-vous vécu l'une des situations suivantes à cet endroit entre ${pm_location_period_lab_fr} ?</t>
  </si>
  <si>
    <t>188. Ko kun taɓa fuskantar ɗayan waɗannan abubuwan a wannan wurin, lokacin ${pm_location_period_lab_ha}?</t>
  </si>
  <si>
    <t>That it was less safe to travel there than I expected</t>
  </si>
  <si>
    <t>Qu'il était moins sûr d'y voyager que ce à quoi je m'attendais</t>
  </si>
  <si>
    <t>Cewa ba ya da tabbas bisa hanyar tafiya can ƙasa da yadda nake tsammani</t>
  </si>
  <si>
    <t>pm_phys_attacked</t>
  </si>
  <si>
    <t>That it was less safe to live there than I expected</t>
  </si>
  <si>
    <t>pm_phys_threat</t>
  </si>
  <si>
    <t>Qu'il était moins sûr d'y vivre que ce à quoi je m'attendais</t>
  </si>
  <si>
    <t>Cewa ba ya da tabbashin zama a can fiye da yadda nake tsammani</t>
  </si>
  <si>
    <t>Wani</t>
  </si>
  <si>
    <t>pm_theft</t>
  </si>
  <si>
    <t>191. Satar kudi ko kaya?</t>
  </si>
  <si>
    <t>pm_arrest</t>
  </si>
  <si>
    <t>encouragereason</t>
  </si>
  <si>
    <t>That I could earn more than I expected</t>
  </si>
  <si>
    <t>Que je pourrais gagner plus que ce à quoi je m'attendais</t>
  </si>
  <si>
    <t>Cewa zan iya samun fiye da yadda nake tsammani</t>
  </si>
  <si>
    <t>pm_illness</t>
  </si>
  <si>
    <t>That it is less costly to live there than I expected</t>
  </si>
  <si>
    <t>Qu'il est moins cher d'y vivre que ce à quoi je m'attendais</t>
  </si>
  <si>
    <t>Cewa ba ya da tsadar zama a can fiye da yadda nake tsammani</t>
  </si>
  <si>
    <t>667. Goat</t>
  </si>
  <si>
    <t>667. Chèvre</t>
  </si>
  <si>
    <t>667. Akuya</t>
  </si>
  <si>
    <t>pm_vict_text</t>
  </si>
  <si>
    <t>That it was safer to travel there than I expected</t>
  </si>
  <si>
    <t>Qu'il était plus sûr d'y voyager que ce à quoi je m'attendais</t>
  </si>
  <si>
    <t>Cewa ya fi tabbas bisa hanyar tafiya can fiye da yadda nake tsammani</t>
  </si>
  <si>
    <t>668. Poultry</t>
  </si>
  <si>
    <t>668. Volaille</t>
  </si>
  <si>
    <t>668. Kaji</t>
  </si>
  <si>
    <t>pm_vict_text_note</t>
  </si>
  <si>
    <t>194. Yanzu ina so in tambaye ku ƙarin bayani game da abin da ka fuskanta a masamman game da:</t>
  </si>
  <si>
    <t>That it was safer to live there than I expected</t>
  </si>
  <si>
    <t>Qu'il était plus sûr de vivre là-bas que ce à quoi je m'attendais</t>
  </si>
  <si>
    <t>Cewa ya fi tabbas zama a can fiye da yadda nake tsammani</t>
  </si>
  <si>
    <t>pm_attack_note</t>
  </si>
  <si>
    <t>pm_phys_threat_note</t>
  </si>
  <si>
    <t>pm_theft_note</t>
  </si>
  <si>
    <t>ppm_info</t>
  </si>
  <si>
    <t>Told them where you wanted to move and why</t>
  </si>
  <si>
    <t>Je leur ai dit où tu voulais migrer et pourquoi</t>
  </si>
  <si>
    <t>Na faɗa musu inda kuke son zuwa da me yasa</t>
  </si>
  <si>
    <t>pm_experiences_text</t>
  </si>
  <si>
    <t>select_one illness</t>
  </si>
  <si>
    <t>pm_illness_type</t>
  </si>
  <si>
    <t>pm_illness_type_o</t>
  </si>
  <si>
    <t>Told them about the risks of migration</t>
  </si>
  <si>
    <t>pm_seek_treatment</t>
  </si>
  <si>
    <t>Je leur ai parlé des risques de la migration</t>
  </si>
  <si>
    <t>Na gaya musu illar zuwa biɗa</t>
  </si>
  <si>
    <t>Told them about how to find a job or housing</t>
  </si>
  <si>
    <t>677. Please tell me the phone number you use for Whatsapp</t>
  </si>
  <si>
    <t>677. Veuillez me dire le numéro de téléphone que vous utilisez pour Whatsapp</t>
  </si>
  <si>
    <t>Je leur ai expliqué comment trouver un emploi ou un logement</t>
  </si>
  <si>
    <t>677. Don Allah ku gaya mini lambar wayar da kuke amfani da ita don yin Whatsapp</t>
  </si>
  <si>
    <t>Na gaya musu yadda za su samu aiki ko gida</t>
  </si>
  <si>
    <t>speedcheck_pm_typicalweek_end</t>
  </si>
  <si>
    <t>678. I am going read back the phone number you just shared with me as your Whatsapp number. Is this the phone number you use for whatsapp? ${phone_whatsapp_number}</t>
  </si>
  <si>
    <t>678. Je vais relire le numéro de téléphone que vous nous avez donné comme votre numéro Whatsapp. Est-ce le numéro de téléphone que vous utilisez pour WhatsApp ? ${phone_whatsapp_number}</t>
  </si>
  <si>
    <t>678. Zan sake karanta lambar wayar da kuka bani a zaman lambar Whatsapp dinku. Wannan shine lambar wayar da kuke amfani da ita don yin whatsapp? ${phone_whatsapp_number}</t>
  </si>
  <si>
    <t>dur_pm_typicalweek</t>
  </si>
  <si>
    <t>Told them about whether/how to talk with their families</t>
  </si>
  <si>
    <t>679. Please go back and correct the number.</t>
  </si>
  <si>
    <t>Je leur ai demandé si/comment parler avec leur famille</t>
  </si>
  <si>
    <t>679. Veuillez revenir en arrière pour corriger le numéro.</t>
  </si>
  <si>
    <t>Na gaya musu yadda za su yi magana da ƴan gidan su</t>
  </si>
  <si>
    <t>679. Da fatan za ka koma baya ka gyara lambar.</t>
  </si>
  <si>
    <t>680. Do you have other phone numbers that you use regularly (i.e. other phone carriers)?</t>
  </si>
  <si>
    <t>680. Avez-vous d'autres numéros de téléphone que vous utilisez régulièrement (c'est-à-dire d'autres opérateurs téléphoniques) ?</t>
  </si>
  <si>
    <t>680. Ko kuna da wasu lambobin waya waɗanda kuke amfani da su kai-akai (layin wasu gidan wayar salula)?</t>
  </si>
  <si>
    <t>Told them how to prepare to migrate</t>
  </si>
  <si>
    <t>Je leur ai dit comment se préparer à migrer</t>
  </si>
  <si>
    <t>Na gaya musu yadda ake shiriya zuwa biɗa</t>
  </si>
  <si>
    <t>681. How many other additional phone numbers?</t>
  </si>
  <si>
    <t>681. Y-a t-il d'autres numéros de téléphone supplémentaires ?</t>
  </si>
  <si>
    <t>681. 220 a. Ko akwai ƙarin wasu lambobin waya?</t>
  </si>
  <si>
    <t>pm_forced</t>
  </si>
  <si>
    <t>682. What are these additional phone numbers?</t>
  </si>
  <si>
    <t>682. Quels sont les numéros de téléphone supplémentaires ?</t>
  </si>
  <si>
    <t>682. Waɗannene ƙarin lambobin wayan?</t>
  </si>
  <si>
    <t>pm_forced_note</t>
  </si>
  <si>
    <t>Told them you received cash to facilitate your migration process</t>
  </si>
  <si>
    <t>Je leur ai dit que vous aviez reçu de l'argent pour faciliter votre processus de migration</t>
  </si>
  <si>
    <t>Na faɗa musu cewa kun karɓi kuɗi don sauƙaƙe tsarin zuwa biɗa</t>
  </si>
  <si>
    <t>pm_forced_docs</t>
  </si>
  <si>
    <t>203. An amshe muku fasfo ko wasu takardu</t>
  </si>
  <si>
    <t>pm_forced_no_contact</t>
  </si>
  <si>
    <t>204. An hana ku tuntuɓar abokai ko dangi</t>
  </si>
  <si>
    <t>pm_forced_no_pay</t>
  </si>
  <si>
    <t>205. An biya ku ƙasa da abin da aka yi alkawari ko kuma ba a biya ku ba lokacin da aka yi alkawari</t>
  </si>
  <si>
    <t>discuss_mig_who</t>
  </si>
  <si>
    <t>No one</t>
  </si>
  <si>
    <t>Personne</t>
  </si>
  <si>
    <t>Babu kowa</t>
  </si>
  <si>
    <t>pm_forced_debt</t>
  </si>
  <si>
    <t>206. An tilasta muku biyan bashi ga mai gida kafin tafiya</t>
  </si>
  <si>
    <t>pm_forced_restrained</t>
  </si>
  <si>
    <t>207. An matsa muku ko an tilasta muku yin wani abin da ba ku iyawa</t>
  </si>
  <si>
    <t>Wasu dangi</t>
  </si>
  <si>
    <t>pm_forced_illegal</t>
  </si>
  <si>
    <t>208. An tilasta muku aikata ayyukan da ba ku so ba</t>
  </si>
  <si>
    <t>Close friends or neighbors</t>
  </si>
  <si>
    <t>Amis proches ou voisins</t>
  </si>
  <si>
    <t>Abokai na kusa ko makwabta</t>
  </si>
  <si>
    <t>690. I am going to call this phone number to confirm it is correct. [Enumerator: Did the phone ring?]</t>
  </si>
  <si>
    <t>690. Je vais appeler ce numéro de téléphone pour confirmer qu'il est correct. [Enquêteur : Le téléphone a-t-il sonné ?]</t>
  </si>
  <si>
    <t>690. Zan kirayi wannan lambar wayar don tabbatar da daidai ce. [Ɗan bincike: Wayar ta yi ƙara?]</t>
  </si>
  <si>
    <t>pm_forced_location</t>
  </si>
  <si>
    <t>691. Please go back and enter a new phone number.</t>
  </si>
  <si>
    <t>691. Veuillez ressaisir le numéro</t>
  </si>
  <si>
    <t>691. Da fatan zaku rubuta lambar</t>
  </si>
  <si>
    <t>select_multiple locations</t>
  </si>
  <si>
    <t>pm_forced_loc_note</t>
  </si>
  <si>
    <t>Others in village</t>
  </si>
  <si>
    <t>D'autres personnes dans le village</t>
  </si>
  <si>
    <t>209. Où avez-vous vécu ou avez été menacé de faire face aux situations suivantes ?</t>
  </si>
  <si>
    <t>Wasu mutane a gari</t>
  </si>
  <si>
    <t>209. A cikin wannan wuraren da aka ambata, ko kun fuskanci ɗaya daga cikin waɗannan yanayi ko kuma an yi muku barazana a wurin aiki?</t>
  </si>
  <si>
    <t>pm_forced_docs_loc</t>
  </si>
  <si>
    <t>210. An amshe muku fasfo ko wasu takardu</t>
  </si>
  <si>
    <t>Masu garuruwa</t>
  </si>
  <si>
    <t>pm_forced_no_contact_loc</t>
  </si>
  <si>
    <t>211. An hana ku tuntuɓar abokai ko dangi</t>
  </si>
  <si>
    <t>NGO</t>
  </si>
  <si>
    <t>ONG</t>
  </si>
  <si>
    <t>Ƙungiya mai zaman kanta</t>
  </si>
  <si>
    <t>pm_forced_no_pay_loc</t>
  </si>
  <si>
    <t>212. An biya ku ƙasa da abin da aka yi alkawari ko kuma ba a biya ku ba lokacin da aka yi alkawari</t>
  </si>
  <si>
    <t>pm_forced_debt_loc</t>
  </si>
  <si>
    <t>213. An tilasta muku biyan bashi ga mai gida kafin tafiya</t>
  </si>
  <si>
    <t>pm_forced_restrained_loc</t>
  </si>
  <si>
    <t>214. An matsa muku ko an tilasta muku yin wani abin da ba ku iyawa</t>
  </si>
  <si>
    <t>discuss_mig_info</t>
  </si>
  <si>
    <t>About your or their own personal experiences with migration</t>
  </si>
  <si>
    <t>pm_forced_illegal_loc</t>
  </si>
  <si>
    <t>À propos de votre ou de leurs propres expériences personnelles en matière de migration</t>
  </si>
  <si>
    <t>Game da ƙwarewarka ko nasu game da zuwa biɗa</t>
  </si>
  <si>
    <t>215. An tilasta muku aikata ayyukan da ba ku so ba</t>
  </si>
  <si>
    <t>About other peoples’ experiences with migration</t>
  </si>
  <si>
    <t>À propos des expériences d’autres personnes en matière de migration</t>
  </si>
  <si>
    <t>Game da ƙwarewar wasu mutane bisa zuwa biɗa</t>
  </si>
  <si>
    <t>699. I am going to call this phone number to confirm it is correct. [Enumerator: Did the phone ring?]</t>
  </si>
  <si>
    <t>699. Je vais appeler ce numéro de téléphone pour confirmer qu'il est correct. [Enquêteur : Le téléphone a-t-il sonné ?]</t>
  </si>
  <si>
    <t>699. Zan kirayi wannan lambar wayar don tabbatar da daidai ce. [Ɗan bincike: Wayar ta yi ƙara?]</t>
  </si>
  <si>
    <t>speedcheck_pm_locact_end</t>
  </si>
  <si>
    <t>About stories they heard on the radio/whatsapp</t>
  </si>
  <si>
    <t>700. Please go back and enter a new phone number.</t>
  </si>
  <si>
    <t>À propos des histoires qu'ils ont entendues à la radio/Whatsapp</t>
  </si>
  <si>
    <t>700. Veuillez ressaisir le numéro</t>
  </si>
  <si>
    <t xml:space="preserve">700. </t>
  </si>
  <si>
    <t>Game da labaran da suka ji a rediyo/whatsapp</t>
  </si>
  <si>
    <t>dur_pm_locact</t>
  </si>
  <si>
    <t>701. How interested was the resppondent</t>
  </si>
  <si>
    <t>701. Dans quelle mesure le répondant était-il intéressé</t>
  </si>
  <si>
    <t>701. Yaya kake ganin maida hankalin mai bada amsa yake</t>
  </si>
  <si>
    <t>speedcheck_pm_failedprep_start</t>
  </si>
  <si>
    <t>About information they heard from an NGO or in a training</t>
  </si>
  <si>
    <t>À propos des informations qu'ils ont entendues d'une ONG ou lors d'une formation</t>
  </si>
  <si>
    <t>702. How impatient was the respondent?</t>
  </si>
  <si>
    <t>Game da bayanin da suka ji daga wata kungiya mai zaman kanta ko a cikin horo</t>
  </si>
  <si>
    <t>702. À quel point le répondant était-il impatient ?</t>
  </si>
  <si>
    <t>702. Yaya kake ganin rashin haƙurin mai bada amsa?</t>
  </si>
  <si>
    <t>pm_failed_prep</t>
  </si>
  <si>
    <t>216. Depuis cette ${period_french}, y a-t-il déjà eu un moment où tu avait prévu de migrer mais a ensuite dû annuler ses projets ?</t>
  </si>
  <si>
    <t>216. ${period_hausa}, ko akwai lokacin da ka shirya zuwa biɗa amma ka fasa?</t>
  </si>
  <si>
    <t>select_multiple countries</t>
  </si>
  <si>
    <t>pm_failed_prep_country</t>
  </si>
  <si>
    <t>217. Ina ka yi niyar zuwa?</t>
  </si>
  <si>
    <t>pm_failed_prep_country_o</t>
  </si>
  <si>
    <t>218. Wani abu daban a Bayyana</t>
  </si>
  <si>
    <t>ppm_know_who</t>
  </si>
  <si>
    <t>Doesn’t know anyone who participated</t>
  </si>
  <si>
    <t>Ne connaît personne qui a participé</t>
  </si>
  <si>
    <t>Bai san kowa wanda ya halarta ba</t>
  </si>
  <si>
    <t>pm_failed_repeat</t>
  </si>
  <si>
    <t>Failed Migrations</t>
  </si>
  <si>
    <t>706. That is the end of the survey. Thank you for your time.</t>
  </si>
  <si>
    <t>706. C'est la fin de l'enquête. Merci pour votre temps.</t>
  </si>
  <si>
    <t>706. Karshen tambayoyin kenan. Na gode da lokacin da kuka bani.</t>
  </si>
  <si>
    <t>Participant lives in your household (including yourself)</t>
  </si>
  <si>
    <t>Le participant vit dans votre menage (y compris vous-même)</t>
  </si>
  <si>
    <t>Mahalarci yana zaune a gidanku (ciki har da kanku)</t>
  </si>
  <si>
    <t>Participant is in your family BUT does not live in your household</t>
  </si>
  <si>
    <t>Le participant fait partie de votre famille MAIS ne vit pas dans votre menage</t>
  </si>
  <si>
    <t>Mahalarcin ɗan gidan ku ne AMMA baya zaune a gidan ku</t>
  </si>
  <si>
    <t>Participant is a neighbor or close friend that you speak with regularly (i.e., almost every week)</t>
  </si>
  <si>
    <t>Le participant est un voisin ou un ami proche avec qui vous parlez régulièrement (c'est-à-dire presque chaque semaine)</t>
  </si>
  <si>
    <t>Mahalarcin maƙwabci ne ko aboki na kud da kud wanda kuke magana da shi kai-akai (watau kusan kowane mako)</t>
  </si>
  <si>
    <t>Participant is someone you know but you do not speak with regularly</t>
  </si>
  <si>
    <t>Le participant est quelqu'un que vous connaissez mais avec qui vous ne parlez pas régulièrement</t>
  </si>
  <si>
    <t>Mahalarcin wani wanda kuka sani ne amma ba ku yin magana da shi kai-akai</t>
  </si>
  <si>
    <t>pm_failed_index</t>
  </si>
  <si>
    <t>pm_failed_country_index</t>
  </si>
  <si>
    <t>pm_failed_country</t>
  </si>
  <si>
    <t>unavail_why</t>
  </si>
  <si>
    <t>Country Name</t>
  </si>
  <si>
    <t>select_multiple towns</t>
  </si>
  <si>
    <t>pm_failed_town</t>
  </si>
  <si>
    <t>Sick</t>
  </si>
  <si>
    <t>Malade</t>
  </si>
  <si>
    <t>Rishin lafia</t>
  </si>
  <si>
    <t>pm_failed_town_o</t>
  </si>
  <si>
    <t>ya rasou</t>
  </si>
  <si>
    <t>select_multiple region</t>
  </si>
  <si>
    <t xml:space="preserve">pm_failed_region </t>
  </si>
  <si>
    <t>saki</t>
  </si>
  <si>
    <t>pm_failed_region_o</t>
  </si>
  <si>
    <t>pm_failed_prep_count</t>
  </si>
  <si>
    <t>Away from home</t>
  </si>
  <si>
    <t>Exode</t>
  </si>
  <si>
    <t>tabarada</t>
  </si>
  <si>
    <t>223. Sau nawa ka shirya zuwa biɗa ${pm_failed_country} kuma ka kasa?</t>
  </si>
  <si>
    <t>select_multiple fail_reason</t>
  </si>
  <si>
    <t>pm_failed_prep_reason</t>
  </si>
  <si>
    <t>Visited another village</t>
  </si>
  <si>
    <t>Rendu visite dans un autre village</t>
  </si>
  <si>
    <t>Ya ziyarci wani kauye</t>
  </si>
  <si>
    <t>pm_failed_prep_reason_o</t>
  </si>
  <si>
    <t>speedcheck_pm_failedprep_end</t>
  </si>
  <si>
    <t>dur_pm_failedprep</t>
  </si>
  <si>
    <t>speedcheck_pm_pastmig_end</t>
  </si>
  <si>
    <t>dur_pm_pastmig</t>
  </si>
  <si>
    <t>speedcheck_pm_migintent_start</t>
  </si>
  <si>
    <t>pm_future_note1</t>
  </si>
  <si>
    <t>226. Yanzu zan tambaye ku game da tsare-tsaren da za ku iya yi don gaba</t>
  </si>
  <si>
    <t>pm_mig_stay_length</t>
  </si>
  <si>
    <t>227. Lissafa daga yau tsawon wane lokaci kuke shirin zama a ${pm_current_location} a cikin watanni 6 masu zuwa (a cikin watanni)?</t>
  </si>
  <si>
    <t>select_multiple mig_countries</t>
  </si>
  <si>
    <t>pm_mig_interest</t>
  </si>
  <si>
    <t>pm_mig_interest_o</t>
  </si>
  <si>
    <t>pm_countryinterest1</t>
  </si>
  <si>
    <t>pm_countryinterest2</t>
  </si>
  <si>
    <t>pm_countryinterest3</t>
  </si>
  <si>
    <t>pm_countryinterest4</t>
  </si>
  <si>
    <t>pm_countryinterest5</t>
  </si>
  <si>
    <t>select_one countryinterest</t>
  </si>
  <si>
    <t>pm_mig_interest_most</t>
  </si>
  <si>
    <t>pm_contacts</t>
  </si>
  <si>
    <t>pm_mig_prep_contact_note</t>
  </si>
  <si>
    <t>231. J'aimerais maintenant vous poser des questions sur les personnes que vous avez contactées dans les pays vers lesquels vous souhaitez migrer.</t>
  </si>
  <si>
    <t>231. Yanzu ina so in tambaye ku game da mutanen da kuka tuntuɓa a ƙasashen da kuke sha'awar zuwa.</t>
  </si>
  <si>
    <t>pm_contact_lab</t>
  </si>
  <si>
    <t>pm_contact_lab_fr</t>
  </si>
  <si>
    <t>pm_contact_lab_ha</t>
  </si>
  <si>
    <t>pm_mig_prep_contact</t>
  </si>
  <si>
    <t>select_multiple countryinterest</t>
  </si>
  <si>
    <t>pm_mig_prep_countries</t>
  </si>
  <si>
    <t>pm_mig_prep_countries_o</t>
  </si>
  <si>
    <t>234. Da fatan za ka zaɓi ƙasashen da ka tuntuɓi mutane :</t>
  </si>
  <si>
    <t>pm_mig_prep_countries_o_text</t>
  </si>
  <si>
    <t>235. Wani daban, baiyana:</t>
  </si>
  <si>
    <t>select_multiple contactshare</t>
  </si>
  <si>
    <t>pm_mig_prep_contact_share</t>
  </si>
  <si>
    <t>236. Menene ka tambayi wanda ka tuntuɓa?</t>
  </si>
  <si>
    <t>pm_mig_prep_contact_share_o</t>
  </si>
  <si>
    <t>237. Wani daban, baiyana:</t>
  </si>
  <si>
    <t>select_one encouragescale</t>
  </si>
  <si>
    <t>pm_mig_prep_encourage_scale</t>
  </si>
  <si>
    <t>238. Ko hirar da ku ka yi da wanda kuka tuntuɓa ta ƙarfafa muka gwiwa ko ta hana ka zuwa biɗa?</t>
  </si>
  <si>
    <t>select_multiple discouragereason</t>
  </si>
  <si>
    <t>pm_mig_prep_discourage_reason</t>
  </si>
  <si>
    <t>pm_mig_prep_discourage_reason_o</t>
  </si>
  <si>
    <t>240. Wani daban, baiyana:</t>
  </si>
  <si>
    <t>select_multiple encouragereason</t>
  </si>
  <si>
    <t>pm_mig_prep_encourage_reason</t>
  </si>
  <si>
    <t>pm_mig_prep_encourage_reason_o</t>
  </si>
  <si>
    <t>242. wani daban, baiyani:</t>
  </si>
  <si>
    <t>pm_mig_intent</t>
  </si>
  <si>
    <t>pm_mig_intent_1</t>
  </si>
  <si>
    <t>pm_mig_length_lab</t>
  </si>
  <si>
    <t>pm_mig_length_lab_fr</t>
  </si>
  <si>
    <t>pm_mig_length_lab_hausa</t>
  </si>
  <si>
    <t>pm_mig_intent_note</t>
  </si>
  <si>
    <t>245. If you migrate in ${pm_mig_length_lab}, what is your intended destination? 
 Enumerator: Probe if in Niger or another country</t>
  </si>
  <si>
    <t>245. « Si vous migrez ${pm_mig_length_lab_fr}, quelle est votre destination prévue ?
 Agent enquêteur : Sondez si vous êtes au Niger ou dans un autre pays »</t>
  </si>
  <si>
    <t>245. Idan zaku yi tahiya ${pm_mig_length_lab_hausa}, ina ne kuke nufin zuwa?
 Mai bincike: Bincika idan a Nijar ne ko a wata ƙasa.</t>
  </si>
  <si>
    <t>select_one countries</t>
  </si>
  <si>
    <t>pm_mig_intent_country</t>
  </si>
  <si>
    <t>pm_mig_intent_region</t>
  </si>
  <si>
    <t>pm_mig_intent_town</t>
  </si>
  <si>
    <t>248. Menene sunan garin da zaku je?</t>
  </si>
  <si>
    <t>pm_mig_intent_town_o</t>
  </si>
  <si>
    <t>249. Wani daban, baiyana:</t>
  </si>
  <si>
    <t>pm_mig_intent_town_id</t>
  </si>
  <si>
    <t>pm_mig_intent_town_name</t>
  </si>
  <si>
    <t>select_one season</t>
  </si>
  <si>
    <t>pm_mig_intent_season</t>
  </si>
  <si>
    <t>pm_mig_intend_length</t>
  </si>
  <si>
    <t>speedcheck_pm_migintent_end</t>
  </si>
  <si>
    <t>dur_pm_migintent</t>
  </si>
  <si>
    <t>speedcheck_pm_migrisks_start</t>
  </si>
  <si>
    <t>select_multiple risks</t>
  </si>
  <si>
    <t>pm_mig_risk</t>
  </si>
  <si>
    <t>252. Menene haɗarin zuwa biɗa ga matsaƙaicin ƙarhi?</t>
  </si>
  <si>
    <t>select_multiple mitigate</t>
  </si>
  <si>
    <t>pm_mig_risk_mitigate</t>
  </si>
  <si>
    <t>speedcheck_pm_migrisks_end</t>
  </si>
  <si>
    <t>dur_pm_migrisks</t>
  </si>
  <si>
    <t>pm_train_note</t>
  </si>
  <si>
    <t>pm_lang_train</t>
  </si>
  <si>
    <t>select_one languages</t>
  </si>
  <si>
    <t>pm_lang_train_language</t>
  </si>
  <si>
    <t>pm_lang_train_o</t>
  </si>
  <si>
    <t>pm_lang_train_cost</t>
  </si>
  <si>
    <t>pm_voc_train</t>
  </si>
  <si>
    <t>pm_voc_train_o</t>
  </si>
  <si>
    <t>pm_voc_train_cost</t>
  </si>
  <si>
    <t>speedcheck_pm_savings_start</t>
  </si>
  <si>
    <t>pm_use_money_note</t>
  </si>
  <si>
    <t>select_multiple savings</t>
  </si>
  <si>
    <t>pm_separate_savings</t>
  </si>
  <si>
    <t>263. Ko a halin yanzu kuna da tanadi na kowane irin waɗannan abubuwan da kuka ware don kanku, daban da na gidan ku?</t>
  </si>
  <si>
    <t>pm_separate_savings_o</t>
  </si>
  <si>
    <t>pm_savings_amt</t>
  </si>
  <si>
    <t>Savings Amount</t>
  </si>
  <si>
    <t>Montant de l'épargne</t>
  </si>
  <si>
    <t>Yawan kuɗin ajiye</t>
  </si>
  <si>
    <t>pm_savings_name</t>
  </si>
  <si>
    <t>Savings Type Name</t>
  </si>
  <si>
    <t>Nom du type d'épargne</t>
  </si>
  <si>
    <t>Sunan irin Ajiyar</t>
  </si>
  <si>
    <t>pm_savings_type_amt</t>
  </si>
  <si>
    <t>pm_save_pm</t>
  </si>
  <si>
    <t>266. A cikin watan da ya gabata ko kun yi wata ajiyar kuɗi don gaba?</t>
  </si>
  <si>
    <t>speedcheck_pm_savings_end</t>
  </si>
  <si>
    <t>dur_pm_savings</t>
  </si>
  <si>
    <t>speedcheck_pm_emerg_start</t>
  </si>
  <si>
    <t>pm_emergency_any</t>
  </si>
  <si>
    <t>pm_emergency_note</t>
  </si>
  <si>
    <t>pm_emerg_sell</t>
  </si>
  <si>
    <t>pm_emerg_borrow</t>
  </si>
  <si>
    <t>pm_emerg_spend</t>
  </si>
  <si>
    <t>select_multiple emergency</t>
  </si>
  <si>
    <t>pm_emergency</t>
  </si>
  <si>
    <t>271. Wane irin lamari ne ya kai ku sayar da kadarori ko ɗaukan bashi?</t>
  </si>
  <si>
    <t>pm_emergency_o</t>
  </si>
  <si>
    <t>272. Ina son ku bani taƙaitaccen bayani bisa abin da ya sa ku saida kadarori ko ɗaukan bashi</t>
  </si>
  <si>
    <t>pm_emerg_sell_amt</t>
  </si>
  <si>
    <t>pm_emerg_borrow_amt</t>
  </si>
  <si>
    <t>274. Nawa ne kuɗin bashin da kuka ɗauko?</t>
  </si>
  <si>
    <t>pm_emerg_spend_amt</t>
  </si>
  <si>
    <t>pm_total_loan_value</t>
  </si>
  <si>
    <t>select_one agree_likert</t>
  </si>
  <si>
    <t>pm_emergency_capital</t>
  </si>
  <si>
    <t>277. Please tell me the extent do you agree/disagree:
 If I had an emergency that required 5,000 CFA urgently (within 3 days), I would be able to find the money.</t>
  </si>
  <si>
    <t>277. Veuillez me dire dans quelle mesure êtes-vous d'accord/pas d'accord :
 Si j'avais une urgence qui nécessitait 5 000 CFA en urgence (dans les 3 jours), je serais capable de trouver l'argent.</t>
  </si>
  <si>
    <t>277. Da fatan za ka gaya mini matsayin yarda/rishin yarda da kowanne: 
  Idan wata buƙatar gaggawa na 5,000 CFA ta same ni (a cikin kwanaki 3), zan iya samun kuɗin.</t>
  </si>
  <si>
    <t>select_one contact_relation</t>
  </si>
  <si>
    <t>pm_emergency_who</t>
  </si>
  <si>
    <t>pm_emergency_who_o</t>
  </si>
  <si>
    <t>speedcheck_pm_emerg_end</t>
  </si>
  <si>
    <t>dur_pm_emerg</t>
  </si>
  <si>
    <t>speedcheck_pm_health_start</t>
  </si>
  <si>
    <t>pm_health_note</t>
  </si>
  <si>
    <t>select_one health</t>
  </si>
  <si>
    <t>pm_physical_health</t>
  </si>
  <si>
    <t>pm_illness_limit</t>
  </si>
  <si>
    <t>select_multiple illness</t>
  </si>
  <si>
    <t>pm_illness_limit_type</t>
  </si>
  <si>
    <t>283. Wace cuta ce ke tsaida ku kenan ?</t>
  </si>
  <si>
    <t>pm_illness_limit_type_o</t>
  </si>
  <si>
    <t>284. wani daban baiyana</t>
  </si>
  <si>
    <t>pm_past_week_note</t>
  </si>
  <si>
    <t>285. Yanzu ina so in muku tambayoyi kan satin da ya gabata (kwana 7)</t>
  </si>
  <si>
    <t>pm_skip_meals</t>
  </si>
  <si>
    <t>pm_skip_meals_num</t>
  </si>
  <si>
    <t>pm_eat_protein</t>
  </si>
  <si>
    <t>288. A cikin satin da ya gabata sau nawa kuka ci abinci masu gina jiki kamar (kifi, nama, kaji)?</t>
  </si>
  <si>
    <t>pm_sleep</t>
  </si>
  <si>
    <t>pm_emotions</t>
  </si>
  <si>
    <t>pm_emotion</t>
  </si>
  <si>
    <t>pm_emotion1</t>
  </si>
  <si>
    <t>pm_emotion2</t>
  </si>
  <si>
    <t>pm_emotion3</t>
  </si>
  <si>
    <t>pm_emotion4</t>
  </si>
  <si>
    <t>pm_emotion5</t>
  </si>
  <si>
    <t>pm_emotion6</t>
  </si>
  <si>
    <t>pm_emotion7</t>
  </si>
  <si>
    <t>pm_esteem</t>
  </si>
  <si>
    <t>pm_self_esteem_note</t>
  </si>
  <si>
    <t>pm_self_esteem_4</t>
  </si>
  <si>
    <t>299. Ina jin ba ni da hujjojin ji da kaina.</t>
  </si>
  <si>
    <t>pm_self_esteem_9</t>
  </si>
  <si>
    <t>300. A wasu lokuta ina ganin ba ni da amfani komai.</t>
  </si>
  <si>
    <t>pm_ladder_scale</t>
  </si>
  <si>
    <t>speedcheck_pm_health_end</t>
  </si>
  <si>
    <t>dur_pm_health</t>
  </si>
  <si>
    <t>speedcheck_pm_migprep_start</t>
  </si>
  <si>
    <t>pm_identity_note</t>
  </si>
  <si>
    <t>pm_id</t>
  </si>
  <si>
    <t>pm_confirm_docs_id</t>
  </si>
  <si>
    <t>pm_id_date</t>
  </si>
  <si>
    <t>247. What is the expiration date for the National ID card?</t>
  </si>
  <si>
    <t>247. Quelle est la date d'expiration de la carte d'identité nationale ?</t>
  </si>
  <si>
    <t>247. 112b ku. Yaushe ne ranar ƙarewar aikin katin shaidar ɗan ƙasa?</t>
  </si>
  <si>
    <t>pm_vax</t>
  </si>
  <si>
    <t>pm_confirm_docs_vax</t>
  </si>
  <si>
    <t>pm_docs_necessary</t>
  </si>
  <si>
    <t>307. Ko ka yarda ko ba ka yarda da wannan magana ba: lokacin ketare iyakoki, yana da mahimmanci tafiya tare da takadar ɗan ƙasa da kuma takardun da ake buƙata.</t>
  </si>
  <si>
    <t>pm_decide_travel</t>
  </si>
  <si>
    <t>pm_decide_travel_note</t>
  </si>
  <si>
    <t>pm_future_earn</t>
  </si>
  <si>
    <t>pm_future_earn_away</t>
  </si>
  <si>
    <t>pm_future_share</t>
  </si>
  <si>
    <t>pm_future_save</t>
  </si>
  <si>
    <t>pm_future_contact</t>
  </si>
  <si>
    <t>pm_prep</t>
  </si>
  <si>
    <t>pm_prep_note</t>
  </si>
  <si>
    <t>pm_discuss_mig</t>
  </si>
  <si>
    <t>315. Have you and ${shm_name} discussed your plans or desire to travel to another country to find work since ${period}?</t>
  </si>
  <si>
    <t>315. Avez-vous discuté vous et ${shm_name} de vos projets ou de votre désir de voyager dans un autre pays pour trouver du travail depuis ${period_french} ?</t>
  </si>
  <si>
    <t>315. Ko kun tattauna tare da ${shm_name} game da shirin ka ko sha'awar ka ta tafiya wata ƙasa don neman aiki tun ${period_hausa}?</t>
  </si>
  <si>
    <t>pm_discuss_responsibilities</t>
  </si>
  <si>
    <t>316. Have you discussed with your household how your household responsibilities would be managed during your migration?</t>
  </si>
  <si>
    <t>316. Avez-vous discuté avec votre ménage de la manière dont vos responsabilités familiales seraient gérées pendant votre migration ?</t>
  </si>
  <si>
    <t>316. Ko kun tattauna da ƴan gidanku a kan yadda za a gudanar da ayyukanku na gida a lokacin da babu kai a gida ?</t>
  </si>
  <si>
    <t>pm_mig_prep_savings</t>
  </si>
  <si>
    <t>317. Have you or your immediate family gathered resources in order to prepare for migration? This could include saving money, selling assets, or taking a loan.</t>
  </si>
  <si>
    <t>317. Est-ce que vous ou votre famille proche avez rassemblé des ressources pour vous préparer à la migration ? Il peut s'agir d'économiser de l'argent, de vendre des actifs ou de contracter un prêt.</t>
  </si>
  <si>
    <t>317. Ko kai ko ƴan gidanku kun yi tanadin guzuri don shirin zuwa biɗa? Wannan na iya haɗawa da ajiyar kuɗi, sayar da kadarori, ko ɗaukar bashi.</t>
  </si>
  <si>
    <t>pm_mig_prep_legal</t>
  </si>
  <si>
    <t>318. Have you or your immediate family prepared any legal paperwork, such as marriage documents, birth certificates, or proof of property to prepare for migration?</t>
  </si>
  <si>
    <t>318. Est-ce que vous ou votre famille immédiate avez préparé des documents juridiques, tels que des documents de mariage, des certificats de naissance ou une preuve de propriété pour vous préparer à la migration ?</t>
  </si>
  <si>
    <t>318. Shin kai ko ƴan gidanku kun shirya wasu takardun doka, kamar takardar aure, takardun haihuwa, ko shaidar dukiya don shiryawa zuwa biɗa?</t>
  </si>
  <si>
    <t>select_multiple discuss_mig_who</t>
  </si>
  <si>
    <t>pm_discuss_mig_out</t>
  </si>
  <si>
    <t>select_multiple discuss_mig_info</t>
  </si>
  <si>
    <t>pm_discuss_mig_out_info</t>
  </si>
  <si>
    <t>pm_discuss_mig_out_encouragescale</t>
  </si>
  <si>
    <t>321. Did this information encourage or discourage you to migrate?</t>
  </si>
  <si>
    <t>321. Ces informations vous ont-elles encouragé ou découragé à migrer ?</t>
  </si>
  <si>
    <t>321. Ko wannan bayanin ya ƙarfafa muka gwiwa ko ya hana ka zuwa biɗa?</t>
  </si>
  <si>
    <t>pm_mig_prep_mc</t>
  </si>
  <si>
    <t>322. Have you heard of Mercy Corps or the TSARI program?</t>
  </si>
  <si>
    <t>322. Avez-vous entendu parler de Mercy Corps ou du programme TSARI ?</t>
  </si>
  <si>
    <t>322. Ko ka ji labarin Mercy Corps ko shirin TSARI?</t>
  </si>
  <si>
    <t>select_multiple ppm_know_who</t>
  </si>
  <si>
    <t>pm_mig_prep_know_mc</t>
  </si>
  <si>
    <t>pm_mig_prep_speak_mc</t>
  </si>
  <si>
    <t>324. Did you speak with this person/these people about the TSARI or other Mercy Corps programs?</t>
  </si>
  <si>
    <t>324. Avez-vous parlé avec cette/ces personnes du programme TSARI ou d'autres programmes de Mercy Corp ?</t>
  </si>
  <si>
    <t>324. Ko ka yi magana da wannan mutumen / waɗannan mutane game da TSARI ko wasu shirye-shiryen Mercy Corp?</t>
  </si>
  <si>
    <t>pm_rules</t>
  </si>
  <si>
    <t>pm_rules_note</t>
  </si>
  <si>
    <t>325. The next few questions ask about your knowledge of official rules for people from Niger to travel to neighboring countries</t>
  </si>
  <si>
    <t>325. Les prochaines questions portent sur votre connaissance des règles officielles permettant aux Nigériens de se rendre dans les pays voisins.</t>
  </si>
  <si>
    <t>325. Tambayoyi masu zuwa za'a yi su game da saninku bisa dokokinda suke bawa mutanen Nijar damar zuwa biɗa kasashen makwabta</t>
  </si>
  <si>
    <t>pm_docs_req_civ</t>
  </si>
  <si>
    <t>326. Suppose you want to travel to Cote d'Ivoire, what documents would you need to bring with you to travel there legally?</t>
  </si>
  <si>
    <t>326. Supposons que vous souhaiteriez vous rendre en Côte d'Ivoire, quels documents devriez-vous apporter pour vous y rendre légalement ?</t>
  </si>
  <si>
    <t>326. A ce kuna son tafiya Cote d'Ivoire, waɗanne takardu za ku buƙaci ku kawo tare da ku don tafiya can bisa doka?</t>
  </si>
  <si>
    <t>pm_docs_required_libya</t>
  </si>
  <si>
    <t>pm_time_ecowas</t>
  </si>
  <si>
    <t>328. Idan kuna son tafiya Najeriya don neman aiki, tsawon wane lokaci za ku iya yin aiki a can ba tare da samun izinin aiki ba (a cikin watanni)?</t>
  </si>
  <si>
    <t>select_multiple vax</t>
  </si>
  <si>
    <t>pm_vax_req</t>
  </si>
  <si>
    <t>329. If you want to travel to Senegal, what vaccinations are required in order to travel there legally?</t>
  </si>
  <si>
    <t>329. Si vous souhaitez vous rendre au Sénégal, quels vaccins sont nécessaires pour y voyager légalement ?</t>
  </si>
  <si>
    <t>329. Idan kuna son tafiya Senegal, waɗanne alluran rigakafi ake wajibta muku don tafiya can bisa doka?</t>
  </si>
  <si>
    <t>speedcheck_pm_migprep_end</t>
  </si>
  <si>
    <t>dur_pm_migprep</t>
  </si>
  <si>
    <t>speedcheck_pm_periodinfo_end</t>
  </si>
  <si>
    <t>dur_pm_periodinfo</t>
  </si>
  <si>
    <t>pm_worries</t>
  </si>
  <si>
    <t>Worries</t>
  </si>
  <si>
    <t>pm_worries_note</t>
  </si>
  <si>
    <t>330. Now I am going to ask you about the areas of your life that worry you.</t>
  </si>
  <si>
    <t>330. Je voudrais maintenant vous poser des questions sur les choses qui vous inquiètent dans votre vie.</t>
  </si>
  <si>
    <t>330. Yanzu ina son in tambaye ku bisa abubuwan da ke damun ku a cikin rayuwar ku.</t>
  </si>
  <si>
    <t>select_one worries</t>
  </si>
  <si>
    <t>pm_risk_prob_note</t>
  </si>
  <si>
    <t>pm_health_problems</t>
  </si>
  <si>
    <t>pm_home_problems</t>
  </si>
  <si>
    <t>pm_accidents_disasters</t>
  </si>
  <si>
    <t>334. Hatsari da ibtila'i</t>
  </si>
  <si>
    <t>pm_prob_other_ethnicity</t>
  </si>
  <si>
    <t>pm_money_problems</t>
  </si>
  <si>
    <t>pm_cant_educate_children</t>
  </si>
  <si>
    <t>337. Not being able to educate all children</t>
  </si>
  <si>
    <t>337. Ne pas pouvoir scolariser tous les enfants</t>
  </si>
  <si>
    <t>337. Rashin iya rubuta dukkan yara a makarantar boko</t>
  </si>
  <si>
    <t>pm_cant_find_work</t>
  </si>
  <si>
    <t>338. Difficulty finding work</t>
  </si>
  <si>
    <t>338. Difficulté à trouver du travail</t>
  </si>
  <si>
    <t>338. Wahalar neman aiki</t>
  </si>
  <si>
    <t>pm_idleness</t>
  </si>
  <si>
    <t>339. Idleness of children or spouse</t>
  </si>
  <si>
    <t>339. L'oisiveté des enfants ou du conjoint</t>
  </si>
  <si>
    <t>339. Zaman banza na yara ko mata</t>
  </si>
  <si>
    <t>pm_alcohol_consumption</t>
  </si>
  <si>
    <t>340. Alcohol comsumption of children or spouse</t>
  </si>
  <si>
    <t>340. Consommation d'alcool des enfants ou du conjoint</t>
  </si>
  <si>
    <t>340. Shan giya na yara ko mata</t>
  </si>
  <si>
    <t>pm_family_death</t>
  </si>
  <si>
    <t>341. Death of a family member</t>
  </si>
  <si>
    <t>341. Décès d'un membre de la famille</t>
  </si>
  <si>
    <t>341. Mutuwar wani ɗan uwa</t>
  </si>
  <si>
    <t>pm_debt_owed</t>
  </si>
  <si>
    <t>342. Debts owed to others</t>
  </si>
  <si>
    <t>342. Dettes envers autrui</t>
  </si>
  <si>
    <t>342. Bashi da wasu ke binku</t>
  </si>
  <si>
    <t>select_one live_home</t>
  </si>
  <si>
    <t>pm_future_live_home</t>
  </si>
  <si>
    <t>343. In five years, how likely are you to live in Tahoua region, including at home, compared to somewhere else?</t>
  </si>
  <si>
    <t>343. Dans les cinq ans à venir, quelle est la probabilité que vous viviez dans la région de Tahoua, y compris chez vous, ou ailleurs ?</t>
  </si>
  <si>
    <t>343. A cikin shekaru biyar masu zuwa, yaya kuke ganin yiwuwar zamanku a jahar Tahoua, har da ƙauyenku, ko a wani wuri dabam?</t>
  </si>
  <si>
    <t>select_one live_away</t>
  </si>
  <si>
    <t>pm_future_in_niger</t>
  </si>
  <si>
    <t>344. Five years from now, are you more likely to live somewhere else in Niger or in another country?</t>
  </si>
  <si>
    <t>344. Dans cinq ans, pensez vous vivre ailleurs au Niger ou dans un autre pays ?</t>
  </si>
  <si>
    <t>344. Cikin shekaru biyar masu zuwa, ko kuna tunanin zama a wani wuri a Nijar ko a wata ƙasa daban?</t>
  </si>
  <si>
    <t>speedcheck_pm_consult_start</t>
  </si>
  <si>
    <t>pm_spouse_consult</t>
  </si>
  <si>
    <t>Spouse consultations</t>
  </si>
  <si>
    <t>pm_roles_note</t>
  </si>
  <si>
    <t>pm_discuss_women</t>
  </si>
  <si>
    <t>pm_decision_making_wife_note</t>
  </si>
  <si>
    <t>select_one husbandwife</t>
  </si>
  <si>
    <t>pm_daily_hh_expenses_couple</t>
  </si>
  <si>
    <t>pm_hh_purchases_couple</t>
  </si>
  <si>
    <t>pm_fam_plan_couple</t>
  </si>
  <si>
    <t>350. Family planning (how many children to have)</t>
  </si>
  <si>
    <t>350. Planification familiale (combien d'enfants avoir)</t>
  </si>
  <si>
    <t>350. Tsarin iyali (Yara nawa za a haifa)</t>
  </si>
  <si>
    <t>pm_migrate_couple</t>
  </si>
  <si>
    <t>351. Whether the husband will migrate to find work</t>
  </si>
  <si>
    <t>351. Si le mari va migrer pour trouver du travail</t>
  </si>
  <si>
    <t>351. Ko mijin zai yi tahiya don neman aiki</t>
  </si>
  <si>
    <t>pm_vote_couple</t>
  </si>
  <si>
    <t>352. Who to vote for in local elections?</t>
  </si>
  <si>
    <t>352. Pour qui voter aux élections municipales ?</t>
  </si>
  <si>
    <t>352. Wanene za'a zaɓa a zaɓen ƙananan hukumomi?</t>
  </si>
  <si>
    <t>pm_marry_couple</t>
  </si>
  <si>
    <t>353. To whom your daughter should marry?</t>
  </si>
  <si>
    <t>353. Avec qui votre fille devrait-elle se marier ?</t>
  </si>
  <si>
    <t>353. Wa ya kamata ɗiyarku ta aura?</t>
  </si>
  <si>
    <t>pm_school_couple</t>
  </si>
  <si>
    <t>354. Children's enrollment in school</t>
  </si>
  <si>
    <t>354. Inscription des enfants à l'école</t>
  </si>
  <si>
    <t>354. Rubuta yara a makaranta</t>
  </si>
  <si>
    <t>pm_fam_consult</t>
  </si>
  <si>
    <t>Family consultations</t>
  </si>
  <si>
    <t>pm_fam_discuss</t>
  </si>
  <si>
    <t>355. I am now going to mention some things that families sometimes speak about. Please tell me if you and other adults in your household talk about these things</t>
  </si>
  <si>
    <t>355. Je vais maintenant évoquer certaines choses dont les familles parlent parfois. S'il vous plaît, dites-moi si vous et d'autres adultes de votre ménage parlez de ces choses.</t>
  </si>
  <si>
    <t>355. Yanzu zan ambaci wasu abubuwa da wani lokaci mutane suke magana akai. Don Allah ku gaya mani idan ku da sauran mutanen gidanku kuna magana akan waɗannan abubuwan</t>
  </si>
  <si>
    <t>pm_fam_discuss_work</t>
  </si>
  <si>
    <t>356. Things that happen at work or in the fields?</t>
  </si>
  <si>
    <t>356. Des choses qui se passent au travail ou dans les champs ?</t>
  </si>
  <si>
    <t>356. Abubuwan da ke faruwa a wurin aiki ko a gona?</t>
  </si>
  <si>
    <t>pm_fam_discuss_community</t>
  </si>
  <si>
    <t>pm_fam_discuss_election</t>
  </si>
  <si>
    <t>pm_fam_discuss_invest</t>
  </si>
  <si>
    <t>359. Yadda za ku kashe kuɗin ku, kamar gyaran gidanku</t>
  </si>
  <si>
    <t>pm_fam_children</t>
  </si>
  <si>
    <t>pm_fam_discuss_migrate</t>
  </si>
  <si>
    <t>361. Décisions des membres du ménage de migrer</t>
  </si>
  <si>
    <t>361. Yan gida sun yanke shawarar ƙaura</t>
  </si>
  <si>
    <t>pm_fam_disagree</t>
  </si>
  <si>
    <t>pm_fam_contentious</t>
  </si>
  <si>
    <t>speedcheck_pm_consult_end</t>
  </si>
  <si>
    <t>dur_pm_consult</t>
  </si>
  <si>
    <t>pm_society_opinions</t>
  </si>
  <si>
    <t>Society Opinions</t>
  </si>
  <si>
    <t>pm_societytype_note</t>
  </si>
  <si>
    <t>pm_feeling_note</t>
  </si>
  <si>
    <t>pm_tol_relig</t>
  </si>
  <si>
    <t>366. Followers of other religions</t>
  </si>
  <si>
    <t>366. Adeptes d'autres religions</t>
  </si>
  <si>
    <t>366. Mabiya wasu addinai</t>
  </si>
  <si>
    <t>pm_tol_eth</t>
  </si>
  <si>
    <t>367. People of different ethnic groups</t>
  </si>
  <si>
    <t>367. Personnes de différents groupes ethniques</t>
  </si>
  <si>
    <t>367. Mutanen wasu kabilu daban</t>
  </si>
  <si>
    <t>pm_tol_mig</t>
  </si>
  <si>
    <t>368. Immigrants who come to Niger as foreign workers</t>
  </si>
  <si>
    <t>368. Les immigrés qui viennent au Niger en tant que travailleurs étrangers</t>
  </si>
  <si>
    <t>368. Baƙin haure masu zuwa Nijar a matsayin ma'aikata ƴan ƙasashen waje</t>
  </si>
  <si>
    <t>pm_tol_muslim</t>
  </si>
  <si>
    <t>369. People of a different sect of Islam</t>
  </si>
  <si>
    <t>369. Les gens d'une autre secte de l'Islam</t>
  </si>
  <si>
    <t>369. Mabiya wasu ɗarikun musulunci</t>
  </si>
  <si>
    <t>pm_marry_daughter_relig</t>
  </si>
  <si>
    <t>370. Imagine one of your daughters wanted to marry someone of a different religious faith, would you give them your permission?</t>
  </si>
  <si>
    <t>370. Imaginez qu'une de vos filles veuille épouser quelqu'un d'une confession religieuse différente, leur donneriez-vous votre permission ?</t>
  </si>
  <si>
    <t>370. Ku ƙaddara da wata ɗiyarku ta na son ta auri wani mai bin wani addini daban, za ku bada izininku?</t>
  </si>
  <si>
    <t>pm_marry_son_relig</t>
  </si>
  <si>
    <t>371. Imagine one of your sons wanted to marry someone of a different religious faith, would you give them your permission?</t>
  </si>
  <si>
    <t>371. Imaginez que l'un de vos fils veuille épouser quelqu'un d'une confession religieuse différente, leur donneriez-vous votre permission ?</t>
  </si>
  <si>
    <t>371. Ku ƙaddara da wani ɗanku ya na son ya auri wata ƴar addini daban, za ku bada izininku?</t>
  </si>
  <si>
    <t>pm_marry_daughter_eth</t>
  </si>
  <si>
    <t>372. Imagine one of your daughters wanted to marry someone of a different ethnic group, would you give them your permission?</t>
  </si>
  <si>
    <t>372. Imaginez qu'une de vos filles veuille épouser quelqu'un d'un groupe ethnique différent, leur donneriez-vous votre permission ?</t>
  </si>
  <si>
    <t>372. Ku ƙaddara da wata ɗiyarka ta son ta auri ɗan wata kabila daban, za ku bada izininku?</t>
  </si>
  <si>
    <t>pm_marry_son_eth</t>
  </si>
  <si>
    <t>373. Imagine one of your sons wanted to marry someone of a different ethnic group, would you give them your permission?</t>
  </si>
  <si>
    <t>373. Imaginez que l'un de vos fils veuille épouser quelqu'un d'un groupe ethnique différent, leur donneriez-vous votre permission ?</t>
  </si>
  <si>
    <t>373. Ku ƙaddara da wani ɗanku ya na son ya auri wani ɗan wata ƙabila daban, za ku bada izininku?</t>
  </si>
  <si>
    <t>select_one statement</t>
  </si>
  <si>
    <t>pm_governance_opinion</t>
  </si>
  <si>
    <t>374. I will read you three statements. Please tell me which of these statements is closest to your opinion: 
 1) Democracy is preferable to any other kind of government 
 2) In some circumstances a non-democratic government can be preferable 
 3) For someone like me, it doesn't matter what kind of government we have</t>
  </si>
  <si>
    <t>374. Je vais vous lire trois déclarations. Veuillez me dire laquelle de ces déclarations est la plus proche de votre opinion :
 1) La démocratie est préférable à tout autre type de gouvernement
 2) Dans certaines circonstances, un gouvernement non démocratique peut être préférable
 3) Pour quelqu'un comme moi, peu importe le type de gouvernement que nous avons</t>
  </si>
  <si>
    <t>374. 1) Tsarin dimoraɗiyya ya fi kowane irin tsari mulki
  2) A wani yanayi ana iya fifita gwamnatin da ba ta demokradiyya ba
  3) Ga mutum irina, ba ruwanmu da wane irin gwamnati muke da ita”.</t>
  </si>
  <si>
    <t>select_one state_likert</t>
  </si>
  <si>
    <t>pm_rule_law</t>
  </si>
  <si>
    <t>375. I will read you two statements. Which of the following statements is closest to your view? Choose Statement 1 or Statement 
  A government that enjoys the support of the people should be free to do whatever the people want, even if it is outside the law.
  The actions of any government, no matter how popular it is, must always follow the law.</t>
  </si>
  <si>
    <t>375. Je vais vous lire deux déclarations. Laquelle des déclarations suivantes est la plus proche de votre point de vue ? Choisissez la déclaration 1 ou la déclaration 
  Un gouvernement qui bénéficie du soutien du peuple devrait être libre de faire ce que le peuple veut, même si cela n'est pas prévu par la loi.
  Les actions de tout gouvernement, aussi populaire soit-il, doivent toujours respecter la loi.</t>
  </si>
  <si>
    <t>375. Zan karanta muku wasu maganganu guda biyu, a cikin waɗannan maganganu wanne ne ya fi kusa da ra'ayinku? Zabi Bayani na 1 ko Bayani na2 
  Gwamnatin da ke samun goyon bayan al’umma yana da ƴancin yin duk abin da jama’a ke so, ko da ba bisa doka ba ne.
  Ayyukan kowane gwamnati komai farin jininta, dole ne ta bi doka.</t>
  </si>
  <si>
    <t>pm_violence_justified</t>
  </si>
  <si>
    <t>376. I will read you two statements. Which of the following statements is closest to your view? Choose Statement 1 or Statement 
  Using violence to accomplish your goals is never justified, no matter how worthy your cause
  It is sometime necessary to use violence in pursuit of a good cause.</t>
  </si>
  <si>
    <t>376. Je vais vous lire deux déclarations. Laquelle des déclarations suivantes est la plus proche de votre point de vue ? Choisissez la déclaration 1 ou la déclaration 
  Utiliser la violence pour atteindre vos objectifs n'est jamais justifié, quelle que soit la valeur de votre cause
  Il est parfois nécessaire de recourir à la violence dans la poursuite d'une bonne cause.</t>
  </si>
  <si>
    <t>376. Zan karanta muku maganganu guda biyu. A cikin wadannan maganganun wanne ne ya fi kusa da ra'ayin ku? Zabi Bayani na 1 ko Bayani na 
  Yin amfani da ƙarfi don cimma burinku ba zai taɓa zama daidai ba, komai cancantar dalilanku
  Wani lokaci ya zama dole a yi amfani da ƙarfi wajen neman manufa mai kyau.</t>
  </si>
  <si>
    <t>pm_cash_group</t>
  </si>
  <si>
    <t>Cash Group</t>
  </si>
  <si>
    <t>speedcheck_pm_cash_start</t>
  </si>
  <si>
    <t>pm_cash_note</t>
  </si>
  <si>
    <t>pm_cash_amt</t>
  </si>
  <si>
    <t>pm_recieved_cash</t>
  </si>
  <si>
    <t>select_one lesseqmore</t>
  </si>
  <si>
    <t>pm_cash_expect</t>
  </si>
  <si>
    <t>379. Ko kuɗin da kuka samu daidai ne ko ƙasa ko yahi wanda aka muku alƙawali?</t>
  </si>
  <si>
    <t>pm_cash_note_1</t>
  </si>
  <si>
    <t>select_multiple exp_categories</t>
  </si>
  <si>
    <t>pm_cash_exp_categories</t>
  </si>
  <si>
    <t>381. Can you please tell me what were the categories you spent the most of the assistance on?</t>
  </si>
  <si>
    <t>381. Pouvez-vous me dire quelles étaient les trois catégories sur lesquelles vous avez dépensé le plus l'argent?</t>
  </si>
  <si>
    <t>381. Ko zaku iya gaya mani bisa wane nau'ika uku ne kuka kashe yawancin kudin taimakon?</t>
  </si>
  <si>
    <t>pm_cash_exp_categories_o</t>
  </si>
  <si>
    <t>382. Other, specify:</t>
  </si>
  <si>
    <t>382. Autre précisez:</t>
  </si>
  <si>
    <t>382. Wani daban, baiyana:</t>
  </si>
  <si>
    <t>pm_cash_share_out</t>
  </si>
  <si>
    <t>383. Did you share the cash with anyone outside the Household?</t>
  </si>
  <si>
    <t>383. Avez-vous partagé l'argent avec quelqu'un en dehors du ménage ?</t>
  </si>
  <si>
    <t>383. Ko ka yi kyauta da kuɗin ga wani da ba ɗan gidan ku ba?</t>
  </si>
  <si>
    <t>select_multiple who_cash_share</t>
  </si>
  <si>
    <t>pm_cash_share_mem_out</t>
  </si>
  <si>
    <t>384. Who did you share with?</t>
  </si>
  <si>
    <t>384. Avec qui avez-vous partagé l'argent?</t>
  </si>
  <si>
    <t>384. Wanene kuka ba wannan kudin?</t>
  </si>
  <si>
    <t>speedcheck_pm_cashshareout_start</t>
  </si>
  <si>
    <t>pm_cash_share_with_out</t>
  </si>
  <si>
    <t>Shared Cash outside HH</t>
  </si>
  <si>
    <t>pm_mem_rel_out</t>
  </si>
  <si>
    <t>pm_cash_share_out_amt</t>
  </si>
  <si>
    <t>385. How much did you share with ${pm_mem_rel_out} (in CFA)?</t>
  </si>
  <si>
    <t>385. Combien avez-vous donné à ${pm_mem_rel_out} (en CFA)?</t>
  </si>
  <si>
    <t>385. Nawa kuka ba ${pm_mem_rel_out} (a cikin CFA)?</t>
  </si>
  <si>
    <t>select_multiple exp_categories_share</t>
  </si>
  <si>
    <t>pm_cash_shared_out_cat</t>
  </si>
  <si>
    <t>386. With the money you shared with ${pm_mem_rel_out} (${pm_cash_share_out_amt}), what do you think they spent it on?</t>
  </si>
  <si>
    <t>386. Avec l'argent que vous avez partagé avec ${pm_mem_rel_out} (${pm_cash_share_out_amt}), à quoi pensez-vous qu'ils l'ont dépensé ?</t>
  </si>
  <si>
    <t>386. Da kudin da ka raba da ${pm_mem_rel_out} (${pm_cash_share_out_amt}), a kan me kake ganin suka kashe kuɗin?</t>
  </si>
  <si>
    <t>pm_cash_shared_out_cat_o</t>
  </si>
  <si>
    <t>387. Other, specify:</t>
  </si>
  <si>
    <t>387. Autre précisez:</t>
  </si>
  <si>
    <t>387. Wani daban, baiyana:</t>
  </si>
  <si>
    <t>pm_cash_shared_out_exp</t>
  </si>
  <si>
    <t>pm_cash_shared_out_note</t>
  </si>
  <si>
    <t>388. How much do you think they spent on [...]?</t>
  </si>
  <si>
    <t>388. Combien pensez-vous qu'ils ont dépensé pour [...] ?</t>
  </si>
  <si>
    <t>388. Nawa kake tsammani suka kashe akan [...]?</t>
  </si>
  <si>
    <t>pm_cash_shared_out_exp_food</t>
  </si>
  <si>
    <t>389. Food</t>
  </si>
  <si>
    <t>389. Nourriture</t>
  </si>
  <si>
    <t>389. Abinci</t>
  </si>
  <si>
    <t>pm_cash_shared_out_exp_hhcons</t>
  </si>
  <si>
    <t>390. Other household expenditure</t>
  </si>
  <si>
    <t>390. Autres dépenses du ménage</t>
  </si>
  <si>
    <t>390. Sauran kashe-kashen kuɗin gida</t>
  </si>
  <si>
    <t>pm_cash_shared_out_exp_invest</t>
  </si>
  <si>
    <t>391. Investments in agriculture and/or business</t>
  </si>
  <si>
    <t>391. Investissements dans l'agriculture et/ou le commerce</t>
  </si>
  <si>
    <t>391. Zuba jari a harkar noma da/ko kasuwanci</t>
  </si>
  <si>
    <t>pm_cash_shared_out_exp_savings</t>
  </si>
  <si>
    <t>pm_cash_shared_out_exp_debtpay</t>
  </si>
  <si>
    <t>393. Debt repayment</t>
  </si>
  <si>
    <t>393. Remboursement des dettes</t>
  </si>
  <si>
    <t>393. Biyan bashi</t>
  </si>
  <si>
    <t>pm_cash_shared_out_exp_housingcost</t>
  </si>
  <si>
    <t>394. Housing cost payments</t>
  </si>
  <si>
    <t>394. Paiement des frais de logement</t>
  </si>
  <si>
    <t>394. Biyan kudin haya</t>
  </si>
  <si>
    <t>pm_cash_shared_out_exp_edu</t>
  </si>
  <si>
    <t>395. Education/Training payments</t>
  </si>
  <si>
    <t>395. Paiements pour études/formation</t>
  </si>
  <si>
    <t>395. Biyan kuɗi na ilimi / horo</t>
  </si>
  <si>
    <t>pm_cash_shared_out_exp_health</t>
  </si>
  <si>
    <t>396. Health expenditures</t>
  </si>
  <si>
    <t>396. Dépenses de santé</t>
  </si>
  <si>
    <t>396. Kuɗin kiwon lafiya</t>
  </si>
  <si>
    <t>pm_cash_shared_out_exp_migcost</t>
  </si>
  <si>
    <t>397. Migration cost payments</t>
  </si>
  <si>
    <t>397. Paiement des frais de migration</t>
  </si>
  <si>
    <t>397. Kashe kuɗin zuwa biɗa</t>
  </si>
  <si>
    <t>pm_cash_shared_out_exp_ceremony</t>
  </si>
  <si>
    <t>398. Ceremonies</t>
  </si>
  <si>
    <t>398. Cérémonies</t>
  </si>
  <si>
    <t>398. Bukukuwa</t>
  </si>
  <si>
    <t>pm_cash_shared_out_exp_other</t>
  </si>
  <si>
    <t>pm_cash_shared_out_tot</t>
  </si>
  <si>
    <t>pm_cash_shared_out_constraint</t>
  </si>
  <si>
    <t>400. ENUMÉRATEUR : Le montant total dépensé pour les catégories ci-dessus (${pm_cash_shared_out_tot}) n'est pas égal au montant partagé par le répondant (${pm_cash_share_out_amt}). Veuillez revenir pour corriger les réponses.</t>
  </si>
  <si>
    <t>400. Mai bincike: Jimillar adadin kuɗin da aka kashe akan nau'ikan da ke sama (${pm_cash_shared_out_tot}) bai yi daidai da adadin da (${pm_cash_share_out_amt}) ya raba ba. Da fatan za a dawo a gyara amsoshin.</t>
  </si>
  <si>
    <t>pm_info_share_out</t>
  </si>
  <si>
    <t>select_multiple ppm_info</t>
  </si>
  <si>
    <t>pm_info_share_out_what</t>
  </si>
  <si>
    <t>speedcheck_pm_cashshareout_end</t>
  </si>
  <si>
    <t>dur_pm_cashshareout</t>
  </si>
  <si>
    <t>speedcheck_pm_cashsharein_start</t>
  </si>
  <si>
    <t>pm_cash_share_in</t>
  </si>
  <si>
    <t>pm_cash_share_mem_in</t>
  </si>
  <si>
    <t>pm_cash_share_with_in</t>
  </si>
  <si>
    <t>Shared Cash within HH</t>
  </si>
  <si>
    <t>pm_mem_rel_in</t>
  </si>
  <si>
    <t>pm_cash_share_in_amt</t>
  </si>
  <si>
    <t>pm_cash_shared_in_cat</t>
  </si>
  <si>
    <t>pm_cash_shared_in_cat_o</t>
  </si>
  <si>
    <t>407. Wani daban, baiyana:</t>
  </si>
  <si>
    <t>pm_cash_shared_in_exp</t>
  </si>
  <si>
    <t>pm_cash_shared_in_exp_food</t>
  </si>
  <si>
    <t>pm_cash_shared_in_exp_hhcons</t>
  </si>
  <si>
    <t>pm_cash_shared_in_exp_invest</t>
  </si>
  <si>
    <t>pm_cash_shared_in_exp_savings</t>
  </si>
  <si>
    <t>411. Savings</t>
  </si>
  <si>
    <t>411. Épargne</t>
  </si>
  <si>
    <t>411. Ajiya</t>
  </si>
  <si>
    <t>pm_cash_shared_in_exp_debtpay</t>
  </si>
  <si>
    <t>pm_cash_shared_in_exp_housingcost</t>
  </si>
  <si>
    <t>413. Housing cost payments</t>
  </si>
  <si>
    <t>413. Paiement des frais de logement</t>
  </si>
  <si>
    <t>413. Biyan kuɗin haya</t>
  </si>
  <si>
    <t>pm_cash_shared_in_exp_edu</t>
  </si>
  <si>
    <t>pm_cash_shared_in_exp_health</t>
  </si>
  <si>
    <t>pm_cash_shared_in_exp_migcost</t>
  </si>
  <si>
    <t>pm_cash_shared_in_exp_ceremony</t>
  </si>
  <si>
    <t>pm_cash_shared_in_exp_other</t>
  </si>
  <si>
    <t>418. Other</t>
  </si>
  <si>
    <t>418. Autres</t>
  </si>
  <si>
    <t>418. Wasu</t>
  </si>
  <si>
    <t>pm_cash_shared_in_tot</t>
  </si>
  <si>
    <t>pm_cash_shared_in_constraint</t>
  </si>
  <si>
    <t>419. ENUMERATOR: The total amount spent on the above categories (${pm_cash_shared_in_tot}CFA) is not equal to the amount the respondent shared (${pm_cash_share_in_amt}CFA). Please return and correct responses.</t>
  </si>
  <si>
    <t>419. ENQUÊTEUR : Le montant total dépensé pour les catégories ci-dessus (${pm_cash_shared_in_tot}CFA) n'est pas égal au montant annoncé par le répondant (${pm_cash_share_in_amt}CFA). Veuillez revenir et corriger les réponses.</t>
  </si>
  <si>
    <t>419. Mai bincike: Jimillar kuɗin da aka kashe akan waɗannan nau'ikan da ke sama (${pm_cash_shared_in_tot}CFA) bai kai yawan wanda mai amsa ya bayar ba (${pm_cash_share_in_amt}CFA). Da fatan za a dawo a gyara amsoshin.</t>
  </si>
  <si>
    <t>pm_cash_share_in_tot</t>
  </si>
  <si>
    <t>pm_cash_share_out_tot</t>
  </si>
  <si>
    <t>pm_cash_share_amt</t>
  </si>
  <si>
    <t>pm_cash_resid</t>
  </si>
  <si>
    <t>pm_cash_share_over</t>
  </si>
  <si>
    <t>420. You mentioned that you shared ${pm_cash_share_amt}, which is greater than the amount you received (${pm_cash_amt}). Please reassess your responses.</t>
  </si>
  <si>
    <t>420. Vous avez mentionné que vous aviez partagé ${pm_cash_share_amt}, ce qui est supérieur au montant que vous avez gardé pour vous (${pm_cash_amt}). Veuillez revoir vos réponses.</t>
  </si>
  <si>
    <t>420. Kun ambaci cewa kun raba ${pm_cash_share_amt}, wanda ya fi yawan kuɗin da kuka ajiye don kanku (${pm_cash_amt}). Da fatan za ku sake duba amsarku.</t>
  </si>
  <si>
    <t>speedcheck_pm_cashsharein_end</t>
  </si>
  <si>
    <t>dur_pm_cashsharein</t>
  </si>
  <si>
    <t>pm_cash_resid_exp</t>
  </si>
  <si>
    <t>speedcheck_pm_cashresid_start</t>
  </si>
  <si>
    <t>pm_cash_resid_note</t>
  </si>
  <si>
    <t>pm_cash_resid_exp_food</t>
  </si>
  <si>
    <t>pm_cash_resid_exp_hhcons</t>
  </si>
  <si>
    <t>pm_cash_resid_exp_invest</t>
  </si>
  <si>
    <t>424. Investments in agriculture and/or business</t>
  </si>
  <si>
    <t>424. Investissements dans l'agriculture et/ou les affaires</t>
  </si>
  <si>
    <t>424. Zuba jari a harkar noma da/ko kasuwanci</t>
  </si>
  <si>
    <t>pm_cash_resid_exp_savings</t>
  </si>
  <si>
    <t>425. Savings</t>
  </si>
  <si>
    <t>425. Épargne</t>
  </si>
  <si>
    <t>425. Ajiya</t>
  </si>
  <si>
    <t>pm_cash_resid_exp_debtpay</t>
  </si>
  <si>
    <t>426. Debt repayment</t>
  </si>
  <si>
    <t>426. Remboursement des dettes</t>
  </si>
  <si>
    <t>426. Biyan bashi</t>
  </si>
  <si>
    <t>pm_cash_resid_exp_housingcost</t>
  </si>
  <si>
    <t>pm_cash_resid_exp_edu</t>
  </si>
  <si>
    <t>pm_cash_resid_exp_health</t>
  </si>
  <si>
    <t>pm_cash_resid_exp_migcost</t>
  </si>
  <si>
    <t>pm_cash_resid_exp_ceremony</t>
  </si>
  <si>
    <t>pm_cash_resid_exp_other</t>
  </si>
  <si>
    <t>pm_cash_resid_use</t>
  </si>
  <si>
    <t>pm_cash_resid_exp_o</t>
  </si>
  <si>
    <t>pm_cash_resid_over</t>
  </si>
  <si>
    <t>speedcheck_pm_cashresid_end</t>
  </si>
  <si>
    <t>dur_pm_cashresid</t>
  </si>
  <si>
    <t>pm_cash_new_exp_ind</t>
  </si>
  <si>
    <t>435. Did the assistance you received from Mercy Corps allow you to spend money on something you normally would not have spent money on?</t>
  </si>
  <si>
    <t>435. L'assistance que vous avez reçue du Mercy Corps vous a permis de dépenser de l'argent pour quelque chose sur lequel vous n'auriez normalement pas dépensé de l'argent?</t>
  </si>
  <si>
    <t>435. Ko taimakon da kuka samu daga Mercy Corps ya baku damar kashe kuɗi a kan abinda baku yi niyyar kashe kudi ba?</t>
  </si>
  <si>
    <t>pm_cash_new_exp</t>
  </si>
  <si>
    <t>436. What did it allow you to spend money on?</t>
  </si>
  <si>
    <t>436. Sur quoi vous a-t-il permis de dépenser de l'argent?</t>
  </si>
  <si>
    <t>436. A kan me ya ba ku damar kashe kuɗi?</t>
  </si>
  <si>
    <t>select_one cash_decision_mem</t>
  </si>
  <si>
    <t>pm_cash_decision_mem</t>
  </si>
  <si>
    <t>437. Who makes the decisions in your home specifically about the use of the cash transfer?</t>
  </si>
  <si>
    <t>437. Qui prend les décisions dans votre maison spécifiquement sur l'utilisation du transfert en espèces?</t>
  </si>
  <si>
    <t>speedcheck_pm_cash_end</t>
  </si>
  <si>
    <t>dur_pm_cash</t>
  </si>
  <si>
    <t>speedcheck_hoh_start</t>
  </si>
  <si>
    <t>hoh_questions</t>
  </si>
  <si>
    <t>HoH Questionnaire</t>
  </si>
  <si>
    <t>hoh_note</t>
  </si>
  <si>
    <t>438. HoH Questions</t>
  </si>
  <si>
    <t>speedcheck_hoh_rosternew_start</t>
  </si>
  <si>
    <t>hoh_definition_note</t>
  </si>
  <si>
    <t>hoh_new_hh_mems</t>
  </si>
  <si>
    <t>440. Are there new members in the household since we last spoke to you? For reference, these are the members you mentioned:
 ${hoh_roster_list}</t>
  </si>
  <si>
    <t>440. Y a-t-il de nouveaux membres dans le foyer depuis notre dernière conversation ? Pour référence, voici les membres que vous avez mentionnés : 
 ${hoh_roster_list}</t>
  </si>
  <si>
    <t>440. Shin akwai sabbin membobi a gidan tun hirar mu ta ƙarshe? Don tunatarwa, waɗannan su ne membobin da ka ambata: 
 ${hoh_roster_list}</t>
  </si>
  <si>
    <t>hoh_new_hh_mems_num</t>
  </si>
  <si>
    <t>441. How many?</t>
  </si>
  <si>
    <t>441. Combien?</t>
  </si>
  <si>
    <t>441. Nawa?</t>
  </si>
  <si>
    <t>hoh_roster_new</t>
  </si>
  <si>
    <t>Add new members to existing roster</t>
  </si>
  <si>
    <t>hoh_hhindex</t>
  </si>
  <si>
    <t>Index</t>
  </si>
  <si>
    <t>hoh_hhtext</t>
  </si>
  <si>
    <t>hoh_hhtextfrench</t>
  </si>
  <si>
    <t>hoh_hhtexthausa</t>
  </si>
  <si>
    <t>hoh_hhname</t>
  </si>
  <si>
    <t>Name</t>
  </si>
  <si>
    <t>hoh_new_mem_name_last</t>
  </si>
  <si>
    <t>hoh_new_mem_name_first</t>
  </si>
  <si>
    <t>hoh_new_mem_name</t>
  </si>
  <si>
    <t>select_one relation</t>
  </si>
  <si>
    <t>hoh_new_mem_relation</t>
  </si>
  <si>
    <t>select_one sex</t>
  </si>
  <si>
    <t>hoh_new_mem_sex</t>
  </si>
  <si>
    <t>hoh_new_mem_age</t>
  </si>
  <si>
    <t>speedcheck_hoh_rosternew_end</t>
  </si>
  <si>
    <t>dur_hoh_rosternew</t>
  </si>
  <si>
    <t>hoh_hhmembers_new</t>
  </si>
  <si>
    <t>hoh_roster_note</t>
  </si>
  <si>
    <t>hoh_roster</t>
  </si>
  <si>
    <t>speedcheck_hoh_roster_start</t>
  </si>
  <si>
    <t>hoh_roster_index</t>
  </si>
  <si>
    <t>hoh_roster_name_cases</t>
  </si>
  <si>
    <t>hoh_roster_age_cases</t>
  </si>
  <si>
    <t>hoh_roster_sex_cases</t>
  </si>
  <si>
    <t>hoh_roster_new_index</t>
  </si>
  <si>
    <t>hoh_roster_name_new</t>
  </si>
  <si>
    <t>New member name (only populated if no more members to enumerate in the cases data)</t>
  </si>
  <si>
    <t>hoh_roster_age_new</t>
  </si>
  <si>
    <t>New member age</t>
  </si>
  <si>
    <t>hoh_roster_sex_new</t>
  </si>
  <si>
    <t>New member sex</t>
  </si>
  <si>
    <t>hoh_roster_name</t>
  </si>
  <si>
    <t>hoh_roster_age</t>
  </si>
  <si>
    <t>hoh_roster_sex</t>
  </si>
  <si>
    <t>hoh_info</t>
  </si>
  <si>
    <t>448. ${hoh_roster_name}
 Sex: ${hoh_roster_sex}
 Age: ${hoh_roster_age}</t>
  </si>
  <si>
    <t>hoh_nationality</t>
  </si>
  <si>
    <t>hoh_nationality_country</t>
  </si>
  <si>
    <t>hoh_nationality_country_o</t>
  </si>
  <si>
    <t>hoh_roster_in</t>
  </si>
  <si>
    <t>select_one whyno_in</t>
  </si>
  <si>
    <t>hoh_roster_notin_why</t>
  </si>
  <si>
    <t>hoh_roster_notin_why_o</t>
  </si>
  <si>
    <t>hoh_roster_notin_death</t>
  </si>
  <si>
    <t>hoh_living_in_hh</t>
  </si>
  <si>
    <t>hoh_in_niger</t>
  </si>
  <si>
    <t>hoh_in_niger_region</t>
  </si>
  <si>
    <t>hoh_out_niger</t>
  </si>
  <si>
    <t>hoh_out_niger_o</t>
  </si>
  <si>
    <t>hoh_out_town</t>
  </si>
  <si>
    <t>hoh_out_town_o</t>
  </si>
  <si>
    <t>hoh_mem_in_hh</t>
  </si>
  <si>
    <t>hoh_illness_limit</t>
  </si>
  <si>
    <t>hoh_illness_limit_type</t>
  </si>
  <si>
    <t>hoh_illness_limit_type_o</t>
  </si>
  <si>
    <t>hoh_any_children</t>
  </si>
  <si>
    <t>hoh_children</t>
  </si>
  <si>
    <t>select_one education</t>
  </si>
  <si>
    <t>hoh_education</t>
  </si>
  <si>
    <t>hoh_attending_school</t>
  </si>
  <si>
    <t>select_one schools</t>
  </si>
  <si>
    <t>hoh_school_type</t>
  </si>
  <si>
    <t>hoh_school_cost</t>
  </si>
  <si>
    <t>hoh_school_absent_health</t>
  </si>
  <si>
    <t>hoh_school_absent_work</t>
  </si>
  <si>
    <t>hoh_married</t>
  </si>
  <si>
    <t>hoh_wives</t>
  </si>
  <si>
    <t>hoh_mem_in_in</t>
  </si>
  <si>
    <t>hoh_past_migration</t>
  </si>
  <si>
    <t>Past Migration</t>
  </si>
  <si>
    <t>hoh_past_migration_note</t>
  </si>
  <si>
    <t>hoh_mem_migrate</t>
  </si>
  <si>
    <t>477. Since ${period_bl}, has ${hoh_roster_name} spent more than a week (7 days) away from home?</t>
  </si>
  <si>
    <t>477. Depuis cette ${period_french_bl}, ${hoh_roster_name} a-t-il passé plus d'une semaine (7 jours) loin de chez lui ?</t>
  </si>
  <si>
    <t>477. Tun wancan ${period_hausa_bl}, ${hoh_roster_name} ya shafe fiye da sati guda (kwana 7) baya gida?</t>
  </si>
  <si>
    <t>hoh_dest_country</t>
  </si>
  <si>
    <t>478. Since ${period_bl}, in which of the following countries has ${hoh_roster_name} spent more than one week? Select all that apply</t>
  </si>
  <si>
    <t>478. Depuis cette ${period_french_bl}, dans lequel des pays suivants hoh_roster_name a-t-il passé plus d'une semaine ? Sélectionnez tout ce qui s'y rapporte</t>
  </si>
  <si>
    <t>478. Tun daga wancan ${period_hausa_bl}, a cikin waɗanne ƙasashe ne ${hoh_roster_name} ya shafe fiye da mako ɗaya? Zaɓi duk abin da ya dace</t>
  </si>
  <si>
    <t>hoh_dest_country_o</t>
  </si>
  <si>
    <t>hoh_dom_mig_ind</t>
  </si>
  <si>
    <t>hoh_border_cross_ind</t>
  </si>
  <si>
    <t>hoh_border_cross_ecowas_ind</t>
  </si>
  <si>
    <t>Excludes Burkina Faso and Mali</t>
  </si>
  <si>
    <t>hoh_num_dest_country</t>
  </si>
  <si>
    <t>speedcheck_hoh_rosterdest_start</t>
  </si>
  <si>
    <t>hoh_countries</t>
  </si>
  <si>
    <t>Countries</t>
  </si>
  <si>
    <t>hoh_destinations_index</t>
  </si>
  <si>
    <t>Repeat Group Index</t>
  </si>
  <si>
    <t>hoh_dest_index</t>
  </si>
  <si>
    <t>Country Index</t>
  </si>
  <si>
    <t>hoh_destination</t>
  </si>
  <si>
    <t>hoh_dest_town</t>
  </si>
  <si>
    <t>hoh_dest_town_o</t>
  </si>
  <si>
    <t xml:space="preserve">hoh_dest_region </t>
  </si>
  <si>
    <r>
      <rPr>
        <rFont val="Fira Code"/>
        <color theme="1"/>
      </rPr>
      <t>482. In</t>
    </r>
    <r>
      <rPr>
        <rFont val="Fira Code"/>
        <color theme="1"/>
      </rPr>
      <t xml:space="preserve"> ${hoh_destination}</t>
    </r>
    <r>
      <rPr>
        <rFont val="Fira Code"/>
        <color theme="1"/>
      </rPr>
      <t>, what was the name of the region that ${hoh_roster_name} moved to?</t>
    </r>
  </si>
  <si>
    <t>482. Dans ${hoh_destination}, quel était le nom de la région vers laquelle ${hoh_roster_name} a été déplacé ?</t>
  </si>
  <si>
    <t>482. A ${hoh_destination}, menene sunan yankin da ${hoh_roster_name} ya koma?</t>
  </si>
  <si>
    <t>hoh_dest_region_o</t>
  </si>
  <si>
    <t>hoh_dest_frequency</t>
  </si>
  <si>
    <t>484. How many times did ${hoh_roster_name} travel to ${hoh_destination} since ${period_bl}?</t>
  </si>
  <si>
    <t>484. Combien de fois ${hoh_roster_name} s'est-il rendu à ${hoh_destination} depuis la ${period_french_bl}?</t>
  </si>
  <si>
    <t>484. Sau nawa ${hoh_roster_name} yayi tafiya zuwa ${hoh_destination} tun daga wancan ${period_hausa_bl}?</t>
  </si>
  <si>
    <t>Other Countries</t>
  </si>
  <si>
    <t>speedcheck_hoh_rosterdest_end</t>
  </si>
  <si>
    <t>dur_hoh_rosterdest</t>
  </si>
  <si>
    <t>hoh_failed_prep</t>
  </si>
  <si>
    <t>485. Since ${period_bl}, was there ever a time when ${hoh_roster_name} planned to migrate but then had to cancel their plans?</t>
  </si>
  <si>
    <t>485. Depuis cette ${period_french_bl}, y a-t-il déjà eu un moment où ${hoh_roster_name} avait prévu de migrer mais a ensuite dû annuler ses projets ?</t>
  </si>
  <si>
    <t>485. ${period_hausa_bl}, ko akwai lokacin da ${hoh_roster_name} ya shirya zuwa biɗa amma sai ya soke shirinshi?</t>
  </si>
  <si>
    <t>hoh_failed_prep_country</t>
  </si>
  <si>
    <t>486. Ina ya shirya zuwa biɗar?</t>
  </si>
  <si>
    <t>hoh_failed_prep_country_o</t>
  </si>
  <si>
    <t>hoh_failed_repeat</t>
  </si>
  <si>
    <t>hoh_failed_index</t>
  </si>
  <si>
    <t>hoh_failed_country_index</t>
  </si>
  <si>
    <t>hoh_failed_country</t>
  </si>
  <si>
    <t>hoh_failed_town</t>
  </si>
  <si>
    <t>hoh_failed_town_o</t>
  </si>
  <si>
    <t xml:space="preserve">hoh_failed_region </t>
  </si>
  <si>
    <t>In ${hoh_failed_country}, what was the name of the region that ${hoh_roster_name} planned to move to?</t>
  </si>
  <si>
    <t>Dans ${hoh_failed_country}, quel était le nom de la région dans laquelle ${hoh_roster_name} prévoyait de voyager ?</t>
  </si>
  <si>
    <t>A kasar ${hoh_failed_country}, menene sunan yankin da sunan ${hoh_roster_name} ya shirya zuwa?</t>
  </si>
  <si>
    <t>hoh_failed_region_o</t>
  </si>
  <si>
    <t>hoh_failed_prep_count</t>
  </si>
  <si>
    <t>hoh_failed_prep_reason</t>
  </si>
  <si>
    <t>hoh_failed_prep_reason_o</t>
  </si>
  <si>
    <t>speedcheck_hoh_roster_end</t>
  </si>
  <si>
    <t>dur_hoh_roster</t>
  </si>
  <si>
    <t>hoh_members_above_7</t>
  </si>
  <si>
    <t>Members 7+</t>
  </si>
  <si>
    <t>Membres 7+</t>
  </si>
  <si>
    <t>Membobi 7+</t>
  </si>
  <si>
    <t>hoh_members_living_in_hh</t>
  </si>
  <si>
    <t>Members Living in HH</t>
  </si>
  <si>
    <t>hoh_members_in_hh</t>
  </si>
  <si>
    <t>hoh_dom_mig</t>
  </si>
  <si>
    <t>hoh_border_cross</t>
  </si>
  <si>
    <t>hoh_border_cross_ecowas</t>
  </si>
  <si>
    <t>hoh_mig_any</t>
  </si>
  <si>
    <t>hoh_hh_resources</t>
  </si>
  <si>
    <t>Household Resources</t>
  </si>
  <si>
    <t>hoh_hh_resources_note</t>
  </si>
  <si>
    <t>495. Now I will ask you about how your household manages its resources.</t>
  </si>
  <si>
    <t>495. Je vais maintenant vous demander comment votre ménage gère ses ressources.</t>
  </si>
  <si>
    <t>495. Yanzu zan tambaye ku yadda gidanku yake sarrafa dukiyoyinshi.</t>
  </si>
  <si>
    <t>hoh_own_home</t>
  </si>
  <si>
    <t>hoh_home_value</t>
  </si>
  <si>
    <t>select_multiple assets</t>
  </si>
  <si>
    <t>hoh_durable_asset</t>
  </si>
  <si>
    <t>select_multiple livestock</t>
  </si>
  <si>
    <t>hoh_livestock_any</t>
  </si>
  <si>
    <t>speedcheck_hoh_livestock_start</t>
  </si>
  <si>
    <t>hoh_livestock</t>
  </si>
  <si>
    <t>Assets</t>
  </si>
  <si>
    <t>Actifs</t>
  </si>
  <si>
    <t>Kadara</t>
  </si>
  <si>
    <t>hoh_livestock_name</t>
  </si>
  <si>
    <t xml:space="preserve">Asset Name </t>
  </si>
  <si>
    <t>Nom de l'actif</t>
  </si>
  <si>
    <t>Sunan kadara</t>
  </si>
  <si>
    <t>hoh_livestock_own</t>
  </si>
  <si>
    <t>hoh_livestock_value</t>
  </si>
  <si>
    <t>501. How much is ${hoh_livestock_name} worth in CFA?</t>
  </si>
  <si>
    <t>501. Combien vaut ${hoh_livestock_name} en CFA ?</t>
  </si>
  <si>
    <t>501. Nawa ne kuɗin ${hoh_livestock_name} a sefa?</t>
  </si>
  <si>
    <t>speedcheck_hoh_livestock_end</t>
  </si>
  <si>
    <t>dur_hoh_livestock</t>
  </si>
  <si>
    <t>speedcheck_hoh_land_start</t>
  </si>
  <si>
    <t>hoh_agriculture_note</t>
  </si>
  <si>
    <t>502. Now we'll talk about your households' agricultural and and animal husbandry activities. 
 Let's starting with the most recent agricultural season</t>
  </si>
  <si>
    <t>502. Maintenant, nous allons parler des activités agricoles et d'élevage de votre ménage.
 Commençons par la dernière saison agricole</t>
  </si>
  <si>
    <t>502. Yanzu za mu yi hira bisa aikin noma da kiwo na gidanku.</t>
  </si>
  <si>
    <t>hoh_land_access_amt</t>
  </si>
  <si>
    <t>503. Thinking of all the agricultural land your household owned, rented or and had access to during the last agricultural season, please estimate its total size in hectres</t>
  </si>
  <si>
    <t>503. En pensant à toutes les terres agricoles que votre ménage possédait, louait ou auxquelles il avait accès au cours de la dernière saison agricole, veuillez estimer leur superficie totale en hectares</t>
  </si>
  <si>
    <t>503. A ganinka da gonakan da kuka mallaka da na haya da na aro wanda kuka noma a bana sun kai eka nawa?</t>
  </si>
  <si>
    <t>hoh_own_hectares</t>
  </si>
  <si>
    <t>504. How much of this land (in hectares) do you or another member of your household own?</t>
  </si>
  <si>
    <t>504. Quelle superficie de cette terre (en hectares) vous ou un autre membre de votre ménage possédez?</t>
  </si>
  <si>
    <t>504. Eka nawa ne mallakinku cikin wadannan gonakin, ku ko wani ɗan gidanku?</t>
  </si>
  <si>
    <t>hoh_land_sold</t>
  </si>
  <si>
    <t>505. How much of this land, if any have you sold in the past year?</t>
  </si>
  <si>
    <t>505. Quelle superficie de ce terrain, si c'est déjà arrivé, avez-vous vendu au cours de l'année écoulée ?</t>
  </si>
  <si>
    <t>505. Eka nawa ne kuka saida, idan ya taɓa faruwa, a cikin shekarar da ta gabata?</t>
  </si>
  <si>
    <t>hoh_land_purchased</t>
  </si>
  <si>
    <t>506. How much of this land, if any have you purchased in the past year?</t>
  </si>
  <si>
    <t>506. Quelle superficie de ce terrain, si c'est déjà arrivé, avez-vous acheté au cours de la dernière année ?</t>
  </si>
  <si>
    <t>506. Eka nawa ne kuka saye, idan ya faru, a cikin shekarar da ta gabata?</t>
  </si>
  <si>
    <t>hoh_rent_land</t>
  </si>
  <si>
    <t>hoh_rent_land_amt</t>
  </si>
  <si>
    <t>speedcheck_hoh_land_end</t>
  </si>
  <si>
    <t>dur_hoh_land</t>
  </si>
  <si>
    <t>hoh_last_season_note</t>
  </si>
  <si>
    <t>select_multiple crops</t>
  </si>
  <si>
    <t>hoh_crops</t>
  </si>
  <si>
    <t>hoh_crops_o</t>
  </si>
  <si>
    <t>speedcheck_hoh_cropsinfo_start</t>
  </si>
  <si>
    <t>hoh_crops_info</t>
  </si>
  <si>
    <t>Crops - ${hoh_crop_name}</t>
  </si>
  <si>
    <t>Cultures - ${hoh_crop_name}</t>
  </si>
  <si>
    <t>amfanin gona - ${hoh_crop_name}</t>
  </si>
  <si>
    <t>hoh_crop_name</t>
  </si>
  <si>
    <t>Crop Name</t>
  </si>
  <si>
    <t>Nom de la culture</t>
  </si>
  <si>
    <t>Sunan amfanin gona</t>
  </si>
  <si>
    <t>hoh_crop_desc</t>
  </si>
  <si>
    <t>hoh_crop_quantity</t>
  </si>
  <si>
    <t>select_one unit</t>
  </si>
  <si>
    <t>hoh_crop_unit</t>
  </si>
  <si>
    <t>513. Select crop unit for ${hoh_crop_name}</t>
  </si>
  <si>
    <t>513. Sélectionnez l'unité de culture pour ${hoh_crop_name}</t>
  </si>
  <si>
    <t>513. Zaɓi amfanin gonar don ${hoh_crop_name}</t>
  </si>
  <si>
    <t>hoh_crop_unit_o</t>
  </si>
  <si>
    <t>514. Specify other unit:</t>
  </si>
  <si>
    <t>514. Spécifiez une autre unité :</t>
  </si>
  <si>
    <t>514. Baiyana wani amfanin gonar daban:</t>
  </si>
  <si>
    <t>hoh_crop_unit_name</t>
  </si>
  <si>
    <t>Unit Name</t>
  </si>
  <si>
    <t>hoh_qty_sold</t>
  </si>
  <si>
    <t>515. What quantity (${hoh_crop_unit_name}) of ${hoh_crop_name} did your household sell since the last harvest?</t>
  </si>
  <si>
    <t>515. Quelle quantité (${hoh_crop_unit_name}) de ${hoh_crop_name} votre ménage a-t-il vendu depuis la dernière récolte ?</t>
  </si>
  <si>
    <t>515. Nawa ne yawan (${hoh_crop_unit_name}) na ${hoh_crop_name} gidanku ya saida tun daga kaka na ƙarshe?</t>
  </si>
  <si>
    <t>hoh_price_sold</t>
  </si>
  <si>
    <t>516. What was the price per ${hoh_crop_unit_name} of ${hoh_crop_name} you sold in CFA?</t>
  </si>
  <si>
    <t>516. Quel était le prix unitaire (${hoh_crop_unit_name}) de ${hoh_crop_name} que vous avez vendu en CFA ?</t>
  </si>
  <si>
    <t>516. Nawa farashin kowane ${hoh_crop_unit_name} na ${hoh_crop_name} da kuka saida a CFA?</t>
  </si>
  <si>
    <t>hoh_qty_consume</t>
  </si>
  <si>
    <t>517. How many ${hoh_crop_unit_name}s of ${hoh_crop_name} did your household consume?</t>
  </si>
  <si>
    <t>517. Quelle quantité (${hoh_crop_unit_name}) de ${hoh_crop_name} votre ménage a-t-il consommé ?</t>
  </si>
  <si>
    <t>517. Nawa yawan ${hoh_crop_unit_name} na ${hoh_crop_name} gidanku ya cinye?</t>
  </si>
  <si>
    <t>hoh_price_consume</t>
  </si>
  <si>
    <t>516. If you were to sell the ${hoh_crop_name} that you consumed, what would be the price per ${hoh_crop_unit_name} in CFA?</t>
  </si>
  <si>
    <t>hoh_qty_left</t>
  </si>
  <si>
    <t>hoh_qty_left_over</t>
  </si>
  <si>
    <t>hoh_qty_left_confirm</t>
  </si>
  <si>
    <t>519. Based on your responses, you had ${hoh_qty_left} ${hoh_crop_unit_name} left over. Does this sound correct?</t>
  </si>
  <si>
    <t>519. D'après vos réponses, il vous restait ${hoh_qty_left} ${hoh_crop_unit_name}. Est-ce que cela semble correct ?</t>
  </si>
  <si>
    <t>519. Dangane da amsoshinku, kuna da sauran ${hoh_qty_left} ${hoh_crop_unit_name}. Ko wannan yayi daidai?</t>
  </si>
  <si>
    <t>hoh_crop_revenue</t>
  </si>
  <si>
    <t>Crops</t>
  </si>
  <si>
    <t>Cultures</t>
  </si>
  <si>
    <t>amfanin gona</t>
  </si>
  <si>
    <t>hh_agr_expenses</t>
  </si>
  <si>
    <t>Household Agriculture Expenses</t>
  </si>
  <si>
    <t>Dépenses agricoles du ménage</t>
  </si>
  <si>
    <t>Kashe kashen kuɗin aikin gona na gida</t>
  </si>
  <si>
    <t>hoh_spend_ag</t>
  </si>
  <si>
    <t>520. How much did your household spend on the following types of expenses during the last agricultural season in CFA?</t>
  </si>
  <si>
    <t>520. Combien votre ménage a-t-il dépensé pour les types de dépenses suivantes au cours de la dernière saison agricole (en CFA) ?</t>
  </si>
  <si>
    <t>520. Nawa ne gidanku ya kashe akan waɗannan abubuwan a lokacin noman da ya wuce (a sefa)?</t>
  </si>
  <si>
    <t>hoh_spend_seeds</t>
  </si>
  <si>
    <t>521. Seeds</t>
  </si>
  <si>
    <t>521. Semences</t>
  </si>
  <si>
    <t>521. Iri</t>
  </si>
  <si>
    <t>hoh_spend_fert</t>
  </si>
  <si>
    <t>522. Fertilizer</t>
  </si>
  <si>
    <t>522. Engrais</t>
  </si>
  <si>
    <t>522. Takin zamani</t>
  </si>
  <si>
    <t>hoh_spend_rent</t>
  </si>
  <si>
    <t>523. Renting machines and tools (i.e. for plowing or spraying)</t>
  </si>
  <si>
    <t>523. Location de machines et d'outils (c'est-à-dire pour labourer ou pulvériser)</t>
  </si>
  <si>
    <t>523. Hayar injina da kayan aiki ( don noma ko feshi)</t>
  </si>
  <si>
    <t>hoh_spend_water</t>
  </si>
  <si>
    <t>524. Water</t>
  </si>
  <si>
    <t>524. Eau</t>
  </si>
  <si>
    <t>524. Ruwa</t>
  </si>
  <si>
    <t>Dépenses agricoles des ménages</t>
  </si>
  <si>
    <t>Kashe-kashen kuɗin aikin gona na gida</t>
  </si>
  <si>
    <t>speedcheck_hoh_cropsinfo_end</t>
  </si>
  <si>
    <t>dur_hoh_cropsinfo</t>
  </si>
  <si>
    <t>speedcheck_hoh_labor_start</t>
  </si>
  <si>
    <t>hoh_work_note</t>
  </si>
  <si>
    <t>525. We want to understand how many days people worked in your fields and who did this work.</t>
  </si>
  <si>
    <t>525. Nous voulons comprendre combien de jours des gens ont travaillé dans vos champs et qui a fait ce travail.</t>
  </si>
  <si>
    <t>525. Muna son mu fahimci kwanaki nawa mutane suka yi aiki a gonakinku da kuma wanda ya yi wannan aikin.</t>
  </si>
  <si>
    <t>hoh_weeks_labor</t>
  </si>
  <si>
    <t>526. Think about the last agricultural season. How many weeks were people working in your fields? This includes work by people who are members of your household and those who are not members of your household.</t>
  </si>
  <si>
    <t>526. Pensez à la dernière saison agricole. Combien de semaines au total les gens ont-ils travaillé dans vos champs ? Cela inclut le travail des personnes qui sont membres de votre ménage et celles qui ne le sont pas.</t>
  </si>
  <si>
    <t>526. Ku tuna da lokacin noma na ƙarshe. Makonni nawa mutane ke aiki a filayenku? Wannan ya haɗa da aikin mutanen da ke cikin gidanku da waɗanda ba ƴan gidanku ba ne.</t>
  </si>
  <si>
    <t>hoh_days_labor</t>
  </si>
  <si>
    <t>527. Think about a typical week during the last agricultural season. How many days were people working in your fields? This includes work by people who are members of your household and those who are not members of your household.</t>
  </si>
  <si>
    <t>527. Pensez à une semaine typique au cours de la dernière saison agricole. Combien de jours les gens ont-ils travaillé dans vos champs par semaine ? Cela inclut le travail des personnes qui sont membres de votre ménage et celles qui ne le sont pas.</t>
  </si>
  <si>
    <t>527. Ku tuna da mako guda na lokacin damana ta ƙarshe. Kwanaki nawa mutane suke aiki a gonkinku a cikin kowane sati? Wannan ya haɗa da aikin mutanen da ke cikin gidan ku da waɗanda ba 'yan gidan ku ba ne.</t>
  </si>
  <si>
    <t>hoh_hh_labor</t>
  </si>
  <si>
    <t>Household Members Working</t>
  </si>
  <si>
    <t>Membres actifs du ménage</t>
  </si>
  <si>
    <t>Ƴan gida masu Ƙarhin aiki</t>
  </si>
  <si>
    <t>hoh_labor_index</t>
  </si>
  <si>
    <t>hoh_labor_name</t>
  </si>
  <si>
    <t>Household Name</t>
  </si>
  <si>
    <t>Nom du ménage</t>
  </si>
  <si>
    <t>Sunan gida</t>
  </si>
  <si>
    <t>hoh_ag_days_member</t>
  </si>
  <si>
    <t>528. Can you estimate how many days during the last agricultural season did ${hoh_labor_name} work in field?</t>
  </si>
  <si>
    <t>528. Pouvez-vous estimer combien de jours au cours de la dernière saison agricole ${hoh_labor_name} a-t-il travaillé dans les champs ?</t>
  </si>
  <si>
    <t>528. Za ku iya ƙiyasin kwanaki nawa a lokacin noman da ya gabata ${hoh_labor_name} ya yi aikin a noma?</t>
  </si>
  <si>
    <t>hoh_hire_note</t>
  </si>
  <si>
    <t>529. The following questions about agricultural labor are for the last agricultural season (last 180 days).</t>
  </si>
  <si>
    <t>529. Les questions suivantes sur le travail agricole concernent la dernière saison agricole (180 derniers jours).</t>
  </si>
  <si>
    <t>529. Tambayoyi masu zuwa game da aikin noma na ƙarshe ne (kwanaki 180 na ƙarshe).</t>
  </si>
  <si>
    <t>hoh_hire_ag</t>
  </si>
  <si>
    <t>530. Did you hire anyone outside of your household to work in your fields?</t>
  </si>
  <si>
    <t>530. Avez-vous embauché quelqu'un en dehors de votre ménage pour travailler dans vos champs ?</t>
  </si>
  <si>
    <t>530. Ko kun ɗauki wani dan barema da ba ɗan gidanku ba don yin aiki a gonakinku?</t>
  </si>
  <si>
    <t>hoh_hire_ag_num</t>
  </si>
  <si>
    <t>531. How many different people did you hire people to work in your fields?</t>
  </si>
  <si>
    <t>531. Combien de personnes avez-vous embauchées pour travailler dans vos champs ?</t>
  </si>
  <si>
    <t>531. Mutane nawa kuka ɗauka don yin aiki a gonakinku?</t>
  </si>
  <si>
    <t>hoh_hire_ag_days</t>
  </si>
  <si>
    <t>hoh_hire_ag_wage</t>
  </si>
  <si>
    <t>hoh_total_paid</t>
  </si>
  <si>
    <t>Calculate total, you paid X amount, is this correct? 
Sold - investments - paid for day labor</t>
  </si>
  <si>
    <t>Calculez le total, vous avez payé X montant, est-ce correct ?
 Vendu - investissements - payé pour le travail journalier</t>
  </si>
  <si>
    <t>Kayi lissafin jimillar, kun biya kuɗin X, ko daidai ne?
  An saida - zuba jari - biya ga aikin wuni</t>
  </si>
  <si>
    <t>hoh_confirm_total</t>
  </si>
  <si>
    <t>534. Thinking of your expenses related to labor and investment in your fields during the last agricultural season, you spent a total of ${hoh_total_paid} in CFA, is this correct?</t>
  </si>
  <si>
    <t>534. Pour toutes les dépenses pour vos champs dont nous avons parlé, vous avez payé ${hoh_total_paid} en CFA, est-ce correct ?</t>
  </si>
  <si>
    <t>534. Ku tuna da dukkan kuɗaɗen da kuka kashe a kan aikin gona a lokacin aikin noma na ƙarshe, kun kashe jimillar ${hoh_total_paid} a CFA, wannan daidai ne?</t>
  </si>
  <si>
    <t>hoh_paid_ag_note</t>
  </si>
  <si>
    <t>535. Now we'll ask about any work by members of your household in fields owned by other people.</t>
  </si>
  <si>
    <t>535. Nous allons maintenant poser des questions sur tout travail effectué par des membres de votre ménage dans des champs appartenant à d'autres personnes.</t>
  </si>
  <si>
    <t>535. Yanzu za mu yi tambayoyi game da duk wani aiki da ƴan gidanku suka yi a gonakin wasu mutane.</t>
  </si>
  <si>
    <t>hoh_members_paid_ag</t>
  </si>
  <si>
    <t>536. Have any family members worked as a day labor in fields for someone else?</t>
  </si>
  <si>
    <t>536. Pensez à tout membre de votre ménage, y-a t-il des membres de votre ménage qui ont travaillé comme journaliers dans le champs de quelqu'un d'autre ?</t>
  </si>
  <si>
    <t>536. Ko wani ɗan gidanku ya yi aiki a matsayin ɗan barema a gonar wani?</t>
  </si>
  <si>
    <t>speedcheck_hoh_labor_end</t>
  </si>
  <si>
    <t>dur_hoh_labor</t>
  </si>
  <si>
    <t>speedcheck_hoh_paid_start</t>
  </si>
  <si>
    <t>hoh_hh_paid</t>
  </si>
  <si>
    <t>Household Day Laborers</t>
  </si>
  <si>
    <t>Travaileurs journaliers</t>
  </si>
  <si>
    <t>Masu aikin wuni</t>
  </si>
  <si>
    <t>hoh_paid_name</t>
  </si>
  <si>
    <t>hoh_paid_age</t>
  </si>
  <si>
    <t>hoh_paid_ag</t>
  </si>
  <si>
    <t>537. Can you estimate how many days ${hoh_paid_name} worked as a day laborer in the fields for someone else?</t>
  </si>
  <si>
    <t>537. Pouvez-vous estimer combien de jours ${hoh_paid_name} a travaillé comme journalier dans les champs d'autres personnes ?</t>
  </si>
  <si>
    <t>537. Za ku iya misalta ko wuni nawa ${hoh_paid_name} yayi aiki a matsayin ma'aikacin barema a gonar wasu mutane?</t>
  </si>
  <si>
    <t>hoh_paid_ag_wage</t>
  </si>
  <si>
    <t>538. What was the daily wage paid to ${hoh_paid_name} working as a day laborer for someone else in CFA?</t>
  </si>
  <si>
    <t>538. Quel était le salaire journalier payé à ${hoh_paid_name} travaillant comme journalier pour quelqu'un d'autre en CFA ?</t>
  </si>
  <si>
    <t>538. Nawa biyan ${hoh_paid_name} na wuni a lokacin da yake barema a gonar wani a sefa?</t>
  </si>
  <si>
    <t>hoh_paid_ag_total</t>
  </si>
  <si>
    <t>paid_ag * paid_ag_wage</t>
  </si>
  <si>
    <t>payé_ag * payé_ag_wage</t>
  </si>
  <si>
    <t>biya_ag * biya_ag_wage</t>
  </si>
  <si>
    <t>speedcheck_hoh_paid_end</t>
  </si>
  <si>
    <t>dur_hoh_paid</t>
  </si>
  <si>
    <t>hoh_ag_exp_other</t>
  </si>
  <si>
    <t>hoh_ag_exp_other_name</t>
  </si>
  <si>
    <t>hoh_ag_exp_other_amt</t>
  </si>
  <si>
    <t>541. What was the approximate value of ${hoh_ag_exp_other_name} in CFA?</t>
  </si>
  <si>
    <t>541. Quelle était la valeur approximative de ${hoh_ag_exp_other_name} en CFA ?</t>
  </si>
  <si>
    <t>541. Nawa farashin ${hoh_ag_exp_other_name} a wacan lokacin a sefa?</t>
  </si>
  <si>
    <t>hoh_income1</t>
  </si>
  <si>
    <t>Total wages from outside ag work</t>
  </si>
  <si>
    <t>hoh_income2</t>
  </si>
  <si>
    <t>Total sales of own crops (not incl. own consumption)</t>
  </si>
  <si>
    <t>hoh_income3</t>
  </si>
  <si>
    <t>Wages paid for work on own farm</t>
  </si>
  <si>
    <t>hoh_income4</t>
  </si>
  <si>
    <t>Cost of seed</t>
  </si>
  <si>
    <t>hoh_income5</t>
  </si>
  <si>
    <t>Cost of fertilizer</t>
  </si>
  <si>
    <t>hoh_income6</t>
  </si>
  <si>
    <t>Cost of machinery</t>
  </si>
  <si>
    <t>hoh_income7</t>
  </si>
  <si>
    <t>Cost of water</t>
  </si>
  <si>
    <t>hoh_income8</t>
  </si>
  <si>
    <t>Cost of other expenses</t>
  </si>
  <si>
    <t>hoh_total_income</t>
  </si>
  <si>
    <t>total_income_confirm</t>
  </si>
  <si>
    <t>542. Total income: ${hoh_total_income}
 Does this seem right?</t>
  </si>
  <si>
    <t>542. Revenu total : ${hoh_total_income}
  Cela vous semble-t-il juste ?</t>
  </si>
  <si>
    <t>542. Jimillar kuɗin shiga: ${hoh_total_income}
  ko kuna ganin hakan yayi daidai?</t>
  </si>
  <si>
    <t>livestock_act_note</t>
  </si>
  <si>
    <t>543. Now we'll ask about income generating activity from animal husbandry in the past three months</t>
  </si>
  <si>
    <t>543. Maintenant, nous allons poser des questions sur l'activité génératrice de revenus liée à l'élevage au cours des trois derniers mois</t>
  </si>
  <si>
    <t>543. Yanzu za mu yi hira game da ayyukan samar da kuɗaɗen shiga na kiwo a cikin watanni uku da suka gabata</t>
  </si>
  <si>
    <t>speedcheck_hoh_livestockact_start</t>
  </si>
  <si>
    <t>hoh_livestock_activity</t>
  </si>
  <si>
    <t>Livestock Activity</t>
  </si>
  <si>
    <t>Activité d'élevage</t>
  </si>
  <si>
    <t>Ayyukan kiwo</t>
  </si>
  <si>
    <t>hoh_livestock_act_name</t>
  </si>
  <si>
    <t>hoh_livestock_bought</t>
  </si>
  <si>
    <t>304. How many ${hoh_livestock_act_name} did you buy?</t>
  </si>
  <si>
    <t>304. Au cours des trois derniers mois, combien de ${hoh_livestock_act_name} avez-vous acheté ?</t>
  </si>
  <si>
    <t>304. ${hoh_livestock_act_name} Nawa kuka saye?</t>
  </si>
  <si>
    <t>hoh_livestock_bought_val</t>
  </si>
  <si>
    <t>How much did you buy ${hoh_livestock_act_name} for in CFA?</t>
  </si>
  <si>
    <t>hoh_livestock_sold</t>
  </si>
  <si>
    <t>305. How many ${hoh_livestock_act_name} did you sell?</t>
  </si>
  <si>
    <t>305. Au cours des trois derniers mois, combien de ${hoh_livestock_act_name} avez-vous vendu ?</t>
  </si>
  <si>
    <t>305. ${hoh_livestock_act_name} nawa kuka saida?</t>
  </si>
  <si>
    <t>hoh_livestock_sold_val</t>
  </si>
  <si>
    <t>How much did you sell ${hoh_livestock_act_name} for in CFA?</t>
  </si>
  <si>
    <t>hoh_livestock_consumed</t>
  </si>
  <si>
    <t>306. How many ${hoh_livestock_act_name} did you consume?</t>
  </si>
  <si>
    <t>306. Au cours des trois derniers mois, combien de ${hoh_livestock_act_name} avez-vous consommé ?</t>
  </si>
  <si>
    <t>306. ${hoh_livestock_act_name} Nawa kuka cinye ?</t>
  </si>
  <si>
    <t>hoh_livestock_consumed_val</t>
  </si>
  <si>
    <t>If you were to sell the ${hoh_livestock_act_name} you consumed, how much would you sell them for in CFA?</t>
  </si>
  <si>
    <t>hoh_livestock_expend</t>
  </si>
  <si>
    <t>hoh_typical_week_note</t>
  </si>
  <si>
    <t>hoh_livestock_days_member</t>
  </si>
  <si>
    <t>hoh_hire_livestock</t>
  </si>
  <si>
    <t>hoh_hire_livestock_days</t>
  </si>
  <si>
    <t>hoh_hire_livestock_wage</t>
  </si>
  <si>
    <t>hoh_hire_livestock_total</t>
  </si>
  <si>
    <t>hoh_livestock_total_confirm</t>
  </si>
  <si>
    <t>hoh_paid_livestock</t>
  </si>
  <si>
    <t>554. In the past three months, did any member of your household care for livestock owned by other people?</t>
  </si>
  <si>
    <t>554. Au cours des trois derniers mois, un membre de votre ménage s'est-il occupé du bétail appartenant à d'autres personnes ?</t>
  </si>
  <si>
    <t>554. A cikin watanni uku da suka wuce, akwai wani ɗan gidanku da ya kula da dabbobin wasu mutane?</t>
  </si>
  <si>
    <t>hoh_paid_livestock_days</t>
  </si>
  <si>
    <t>hoh_paid_livestock_wage</t>
  </si>
  <si>
    <t>hoh_other_income_note</t>
  </si>
  <si>
    <t>hoh_own_other</t>
  </si>
  <si>
    <t>hoh_earn_rent</t>
  </si>
  <si>
    <t>hoh_earn_interest</t>
  </si>
  <si>
    <t>speedcheck_hoh_livestockact_end</t>
  </si>
  <si>
    <t>dur_hoh_livestockact</t>
  </si>
  <si>
    <t>speedcheck_hoh_biz_start</t>
  </si>
  <si>
    <t>hoh_own_biz</t>
  </si>
  <si>
    <t>hoh_biz_type</t>
  </si>
  <si>
    <t>hoh_biz_type_o</t>
  </si>
  <si>
    <t>hoh_biz_type_name</t>
  </si>
  <si>
    <t>hoh_biz_loc</t>
  </si>
  <si>
    <t>564. Do you have a permanent location (i.e. building)?</t>
  </si>
  <si>
    <t>564. Avez-vous un emplacement permanent (c'est-à-dire un bâtiment) ?</t>
  </si>
  <si>
    <t>564. Kuna da wurin dindindin (kamar gini)?</t>
  </si>
  <si>
    <t>hoh_biz_employ</t>
  </si>
  <si>
    <t>565. How many people outside of your household do you employ in this business?</t>
  </si>
  <si>
    <t>565. Combien de personnes en dehors de votre ménage employez-vous dans cette entreprise ?</t>
  </si>
  <si>
    <t>565. Mutane nawa ne kuka dauka aiki banda ƴan gidan a wannan kasuwancin?</t>
  </si>
  <si>
    <t>hoh_biz_wage</t>
  </si>
  <si>
    <t>566. How much do you pay per day for people to work in this business in CFA?</t>
  </si>
  <si>
    <t>566. Combien payez-vous par jour pour que les gens travaillent dans cette entreprise (en CFA) ?</t>
  </si>
  <si>
    <t>566. Nawa kuke biyan su a wuni (a sefa) ?</t>
  </si>
  <si>
    <t>hoh_biz_days_total</t>
  </si>
  <si>
    <t>Members in Business</t>
  </si>
  <si>
    <t>hoh_biz_index</t>
  </si>
  <si>
    <t>hoh_biz_name</t>
  </si>
  <si>
    <t>hoh_biz_age</t>
  </si>
  <si>
    <t>hoh_biz_days</t>
  </si>
  <si>
    <t>567. In a typical week during the past three months, how many days did ${hoh_biz_name} work in the household business?</t>
  </si>
  <si>
    <t>567. Au cours d'une semaine normale au cours des trois derniers mois, combien de jours ${hoh_biz_name} a-t-il travaillé dans l'entreprise familiale ?</t>
  </si>
  <si>
    <t>567. Kwanaki nawa a cikin kowane mako guda a cikin watanni uku da suka gabata, ${hoh_biz_name} yayi aiki a cikin kasuwancin gida?</t>
  </si>
  <si>
    <t>speedcheck_hoh_biz_end</t>
  </si>
  <si>
    <t>dur_hoh_biz</t>
  </si>
  <si>
    <t>hoh_biz_revenue</t>
  </si>
  <si>
    <t>568. Thinking about all of the revenues from this business in the past three months, what was the total amount of money coming in from this business in the last three months?</t>
  </si>
  <si>
    <t>568. Pense à tous les revenus de cette entreprise au cours des trois derniers mois, quel a été le montant total provenant de cette entreprise au cours des trois derniers mois ?</t>
  </si>
  <si>
    <t>568. Tuna da dukkan kuɗaɗen shiga na wannan kasuwancin a cikin watanni uku da suka wuce, nawa ne yawan kuɗin da aka samu daga wannan kasuwancin a cikin watanni uku da suka wuce?</t>
  </si>
  <si>
    <t>hoh_biz_expense</t>
  </si>
  <si>
    <t>569. Thinking about all of the the expenses from this business, what was the total amount of money you spent on costs related to this business in the last three months?</t>
  </si>
  <si>
    <t>569. Pense à toutes les dépenses de cette entreprise, quel a été le montant total que vous avez dépensé pour les coûts liés à cette entreprise au cours des trois derniers mois ?</t>
  </si>
  <si>
    <t>569. Tuna da dukkan kuɗin da aka kashe don wannan kasuwancin, nawa ne jimillar kuɗin da kuka kashe a kan wannan kasuwancin a cikin watanni uku da suka wuce?</t>
  </si>
  <si>
    <t>hoh_biz_income</t>
  </si>
  <si>
    <t>hoh_biz_income_confirm</t>
  </si>
  <si>
    <t>hoh_members_other_activity_note</t>
  </si>
  <si>
    <t>speedcheck_hoh_memact_start</t>
  </si>
  <si>
    <t>hoh_member_activity</t>
  </si>
  <si>
    <t>Outside Activities</t>
  </si>
  <si>
    <t>Activités extérieures</t>
  </si>
  <si>
    <t>Ayyukan da ba na gida ba</t>
  </si>
  <si>
    <t>hoh_member_act_index</t>
  </si>
  <si>
    <t>hoh_member_act_name</t>
  </si>
  <si>
    <t>hoh_member_other_activity</t>
  </si>
  <si>
    <t>hoh_member_other_act</t>
  </si>
  <si>
    <t>573. What was the activity?</t>
  </si>
  <si>
    <t>573. Quelle était l'activité ?</t>
  </si>
  <si>
    <t>573. Menene aikin?</t>
  </si>
  <si>
    <t>hoh_member_other_activity_o</t>
  </si>
  <si>
    <t>574. Specify the activity</t>
  </si>
  <si>
    <t>574. Précisez l'activité</t>
  </si>
  <si>
    <t>574. Baiyana aikin</t>
  </si>
  <si>
    <t>hoh_member_other_activity_name</t>
  </si>
  <si>
    <t>hoh_member_other_amt</t>
  </si>
  <si>
    <t>hoh_member_other_weeks</t>
  </si>
  <si>
    <t>576. Think about the past 3 months how many weeks did they engage in ${hoh_member_other_activity_name}?</t>
  </si>
  <si>
    <t>576. Pensez aux 3 derniers mois, combien de semaines ont-ils participé à ${hoh_member_other_activity_name} ?</t>
  </si>
  <si>
    <t>576. A watanni 3 da suka gabata, sati nawa suka yi aikin ${hoh_member_other_activity_name}?</t>
  </si>
  <si>
    <t>hoh_member_contribute</t>
  </si>
  <si>
    <t>577. Can you estimate how much ${hoh_member_act_name} contributes to the household common pot in a typical week (excluding labor) including both cash and in goods?</t>
  </si>
  <si>
    <t>577. Pouvez-vous estimer la contribution de ${hoh_member_act_name} au fond commun du ménage au cours d'une semaine normale (hors main-d'œuvre), y compris en espèces et en nature ?</t>
  </si>
  <si>
    <t>577. Ko za ku iya kimanta gudunmawar kuɗi da kaya da ${hoh_member_act_name} ya kawo gidan a cikin sati guda (banda aiki)?</t>
  </si>
  <si>
    <t>speedcheck_hoh_memact_end</t>
  </si>
  <si>
    <t>dur_hoh_memact</t>
  </si>
  <si>
    <t>hoh_remittance_qs</t>
  </si>
  <si>
    <t>Questions about remittances</t>
  </si>
  <si>
    <t>speedcheck_hoh_remit_start</t>
  </si>
  <si>
    <t>hoh_remit_rec_niger</t>
  </si>
  <si>
    <t>578. In the past three months, have you or anyone in your household received money from someone who is not a member of your household and who lives elsewhere in Niger (outside your village)?</t>
  </si>
  <si>
    <t>578. Au cours des trois derniers mois, vous ou un membre de votre ménage avez reçu &lt;b&gt;de l'argent&lt;/b&gt; d'une personne qui n'est pas membre de votre ménage et qui habite &lt;b&gt;ailleurs au Niger&lt;/b&gt; (en dehors de votre village)?</t>
  </si>
  <si>
    <t>578. A cikin watanni uku da suka wuce, kai ko ɗan gidanku kun samu kuɗi daga wani da ba ɗan gidanku ba wanda yake zaune a wani gari a Nijar (wajen kauyenku)?</t>
  </si>
  <si>
    <t>hoh_remit_rec_niger_amt</t>
  </si>
  <si>
    <t>hoh_remit_rec_niger_how</t>
  </si>
  <si>
    <t>hoh_remit_rec_niger_how_o</t>
  </si>
  <si>
    <t>hoh_goods_rec_niger</t>
  </si>
  <si>
    <t>hoh_goods_rec_niger_amt</t>
  </si>
  <si>
    <t>583. Quel était la valeur au totale des biens que les membres de votre ménage ont reçu des personnes qui sont quelques part au Niger 
 (en USD)?</t>
  </si>
  <si>
    <t>select_multiple goods_transfer</t>
  </si>
  <si>
    <t>hoh_goods_rec_niger_how</t>
  </si>
  <si>
    <t>hoh_goods_rec_niger_how_o</t>
  </si>
  <si>
    <t>hoh_remit_rec_out</t>
  </si>
  <si>
    <t>hoh_remit_rec_out_amt</t>
  </si>
  <si>
    <t>hoh_remit_rec_out_how</t>
  </si>
  <si>
    <t>588. How was this money transmitted to your household?</t>
  </si>
  <si>
    <t>588. Comment cet argent a-t-il été envoyé à votre ménage ?</t>
  </si>
  <si>
    <t>588. Ta wace hanya aka aikawa gidanku wannan kuɗin ?</t>
  </si>
  <si>
    <t>hoh_remit_rec_out_how_o</t>
  </si>
  <si>
    <t>hoh_goods_rec_out</t>
  </si>
  <si>
    <t>hoh_goods_rec_out_amt</t>
  </si>
  <si>
    <t>hoh_goods_rec_out_how</t>
  </si>
  <si>
    <t>592. How were these goods transmitted to your household?</t>
  </si>
  <si>
    <t>592. Comment ces biens ont-ils été envoyé à votre ménage ?</t>
  </si>
  <si>
    <t>592. Ta yaya aka aika waɗannan kayan zuwa gidanku?</t>
  </si>
  <si>
    <t>hoh_goods_rec_out_how_o</t>
  </si>
  <si>
    <t>593. Specify other transfer method</t>
  </si>
  <si>
    <t>593. Précisez la méthode du transfert</t>
  </si>
  <si>
    <t>593. Wani daban a Bayyana</t>
  </si>
  <si>
    <t>hoh_remit_send_niger</t>
  </si>
  <si>
    <t>594. In the past three months, have you or anyone in your household shared or sent money to someone who is not a member of your household and who lives elsewhere in Niger (outside your village)?</t>
  </si>
  <si>
    <t>594. Au cours des trois derniers mois, vous ou quelqu'un de votre ménage avez-vous partagé ou envoyé &lt;b&gt;de l'argent&lt;/b&gt; à quelqu'un qui n'est pas membre de votre ménage et qui habite &lt;b&gt;ailleurs au Niger&lt;/b&gt;(en dehors de votre village)</t>
  </si>
  <si>
    <t>594. A cikin watanni uku da suka wuce, kai ko wani a cikin gidanku kun bada ko kun aika kuɗi ga wani wanda ba dan gidanku ba da ke zaune a wani wuri a Nijar (wajen garinku)</t>
  </si>
  <si>
    <t>hoh_remit_send_niger_amt</t>
  </si>
  <si>
    <t>595. How much did your household send to people elsewhere in Niger?</t>
  </si>
  <si>
    <t>595. Combien votre ménage a-t-il envoyé à des personnes qui sont quelque part au Niger ?</t>
  </si>
  <si>
    <t>595. Nawa ne gidanku ya aikawa mutanen da ke wasu wurare a Nijar?</t>
  </si>
  <si>
    <t>hoh_remit_send_niger_how</t>
  </si>
  <si>
    <t>596. How did you transmit the money to the recipient?</t>
  </si>
  <si>
    <t>596. Comment avez-vous envoyé l'argent au destinataire ?</t>
  </si>
  <si>
    <t>596. Ta wace hanya kuka aika kuɗin ga mai karɓa?</t>
  </si>
  <si>
    <t>hoh_remit_send_niger_how_o</t>
  </si>
  <si>
    <t>597. Specify other transfer method</t>
  </si>
  <si>
    <t>597. Précisez la méthode du transfert</t>
  </si>
  <si>
    <t>597. Wani daban a Bayyana</t>
  </si>
  <si>
    <t>hoh_goods_send_niger</t>
  </si>
  <si>
    <t>598. In the past three months, have you or anyone in your household shared or sent goods (payment in kind) to someone who is not a member of your household and who lives elsewhere in Niger (outside your village)?</t>
  </si>
  <si>
    <t>598. Au cours des trois derniers mois, vous ou quelqu'un de votre ménage avez-vous partagé ou envoyé &lt;b&gt;des biens&lt;/b&gt; (paiement en nature) à quelqu'un qui n'est pas membre de votre ménage et qui habite &lt;b&gt;ailleurs au Niger&lt;/b&gt; (en dehors de votre village) ?</t>
  </si>
  <si>
    <t>598. A cikin watanni uku da suka wuce, kai ko wani a cikin gidanku kun bada ko kun aika kaya (a matsayin biya) ga wanda ba dan giɗanku ba da ke zaune a wani wuri a cikin Nijar (Ba'a garinku ba)?</t>
  </si>
  <si>
    <t>hoh_goods_send_niger_amt</t>
  </si>
  <si>
    <t>599. What was the value of the goods members of your household sent to people elsewhere in Niger?</t>
  </si>
  <si>
    <t>599. Quel était la valeur au totale des biens que les membres de votre ménage ont envoyé aux personnes qui sont quelques part au Niger ?</t>
  </si>
  <si>
    <t>599. Nawa ne kimar kayan da ƴan gidanku suka aika wa mutane a wasu wurare a cikin Nijar?</t>
  </si>
  <si>
    <t>hoh_goods_send_niger_how</t>
  </si>
  <si>
    <t>600. How were these goods transmitted to the recipient?</t>
  </si>
  <si>
    <t>600. Comment ces biens ont-ils été envoyé au destinataire ?</t>
  </si>
  <si>
    <t>600. Ta yaya aka aika waɗannan kayayyaki zuwa ga mai karɓa?</t>
  </si>
  <si>
    <t>hoh_goods_send_niger_how_o</t>
  </si>
  <si>
    <t>601. Specify other transfer method</t>
  </si>
  <si>
    <t>601. Precisez la methode du transfert</t>
  </si>
  <si>
    <t>601. Wani daban a Bayyana</t>
  </si>
  <si>
    <t>hoh_remit_send_out</t>
  </si>
  <si>
    <t>602. In the past three months, have you or anyone in your household shared or sent money to someone who is not a member of your household and who lives in a foreign country (outside of Niger)?</t>
  </si>
  <si>
    <t>602. Au cours des trois derniers mois, vous ou quelqu'un de votre ménage avez-vous partagé ou envoyé &lt;b&gt;de l'argent&lt;/b&gt; à quelqu'un qui n'est pas membre de votre ménage et qui habite &lt;b&gt;à l'extérieur du Niger&lt;/b&gt; (dans un autre pays)?</t>
  </si>
  <si>
    <t>602. A cikin watanni uku da suka gabata, kai ko wani a cikin gidanku kun bada ko kun aika kuɗi ga wanda ba ɗan gidanku ba da ke zaune a wajen Nijar (a wata kasa)?</t>
  </si>
  <si>
    <t>hoh_remit_send_out_amt</t>
  </si>
  <si>
    <t>603. How much did your household send to people people out of Niger?</t>
  </si>
  <si>
    <t>603. Combien votre ménage a-t-il envoyé à d'autres personnes qui sont quelque part hors du Niger ?</t>
  </si>
  <si>
    <t>603. Nawa gidanku ya aikawa wasu mutane da ke wani wuri ba a Nijar ba?</t>
  </si>
  <si>
    <t>hoh_remit_send_out_how</t>
  </si>
  <si>
    <t>604. How did you transmit the money to the recipient?</t>
  </si>
  <si>
    <t>604. Comment avez-vous transmis l'argent au destinataire ?</t>
  </si>
  <si>
    <t>604. Ta wace hanya kuka aika kuɗin ga mai karɓa?</t>
  </si>
  <si>
    <t>hoh_remit_send_out_how_o</t>
  </si>
  <si>
    <t>hoh_goods_send_out</t>
  </si>
  <si>
    <t>hoh_goods_send_out_amt</t>
  </si>
  <si>
    <t>hoh_goods_send_out_how</t>
  </si>
  <si>
    <t>hoh_goods_send_out_how_o</t>
  </si>
  <si>
    <t>select_multiple support</t>
  </si>
  <si>
    <t>hoh_receive_support</t>
  </si>
  <si>
    <t>hoh_receive_support_amt</t>
  </si>
  <si>
    <t>hoh_income_gifts</t>
  </si>
  <si>
    <t>speedcheck_hoh_remit_end</t>
  </si>
  <si>
    <t>dur_hoh_remit</t>
  </si>
  <si>
    <t>speedcheck_hoh_homeimprove_start</t>
  </si>
  <si>
    <t>hoh_improve</t>
  </si>
  <si>
    <t>Improvements</t>
  </si>
  <si>
    <t>Améliorations</t>
  </si>
  <si>
    <t>Ingantawa</t>
  </si>
  <si>
    <t>hoh_improve_home</t>
  </si>
  <si>
    <t>613. In the past three months did your household make a significant investment or improvement in the house you reside in?</t>
  </si>
  <si>
    <t>613. &lt;b&gt; Au cours des trois derniers mois&lt;/b&gt;, votre ménage a-t-il fait un investissement important ou des améliorations dans la maison que vous habitez ?</t>
  </si>
  <si>
    <t>613. A cikin watanni uku da suka wuce, gidanku ya saka wani babban jari ko ya gyara gidan da kuke zaune?</t>
  </si>
  <si>
    <t>hoh_improve_add_rooms</t>
  </si>
  <si>
    <t>614. Build additional rooms</t>
  </si>
  <si>
    <t>614. Construire des chambres supplémentaires</t>
  </si>
  <si>
    <t>614. Ginin ƙarin ɗakuna</t>
  </si>
  <si>
    <t>hoh_improve_floors</t>
  </si>
  <si>
    <t>615. Improve floors</t>
  </si>
  <si>
    <t>615. Améliorer les sols</t>
  </si>
  <si>
    <t>615. Inganta filalayen gida</t>
  </si>
  <si>
    <t>hoh_improve_walls</t>
  </si>
  <si>
    <t>616. Improve walls</t>
  </si>
  <si>
    <t>616. Réfectionner les murs</t>
  </si>
  <si>
    <t>616. gyara katangun gida</t>
  </si>
  <si>
    <t>hoh_improve_roof</t>
  </si>
  <si>
    <t>617. Improve roof</t>
  </si>
  <si>
    <t>617. Réfectionner le toit</t>
  </si>
  <si>
    <t>617. gyara rufin gida</t>
  </si>
  <si>
    <t>hoh_improve_o</t>
  </si>
  <si>
    <t>618. Other improvement</t>
  </si>
  <si>
    <t>618. Autre amélioration</t>
  </si>
  <si>
    <t>618. Wasu gyare gyare daban</t>
  </si>
  <si>
    <t>hoh_improve_other</t>
  </si>
  <si>
    <t>619. Specify other improvement (i.e. connect to electricity, build latrine)</t>
  </si>
  <si>
    <t>619. Précisez les autres améliorations (c.-à-d. connecter de l'électricité, construire des latrines)</t>
  </si>
  <si>
    <t>619. Baiyana wasu abubuwan ingantawa (kamar sa wutar lantarki, gina salga (masai ) )</t>
  </si>
  <si>
    <t>hoh_improve_home_amt</t>
  </si>
  <si>
    <t>hoh_improve_business</t>
  </si>
  <si>
    <t>hoh_improve_business_o</t>
  </si>
  <si>
    <t>622. Specify the improvement to your business</t>
  </si>
  <si>
    <t>622. Précisez les investissements que vous avez fait dans votre entreprise</t>
  </si>
  <si>
    <t>622. Ku bayyana kuɗin da kuka kashe don haɓɓaka kasuwancin ku</t>
  </si>
  <si>
    <t>hoh_improve_land</t>
  </si>
  <si>
    <t>hoh_improve_land_other</t>
  </si>
  <si>
    <t>speedcheck_hoh_homeimprove_end</t>
  </si>
  <si>
    <t>dur_hoh_homeimprove</t>
  </si>
  <si>
    <t>speedcheck_hoh_savings_start</t>
  </si>
  <si>
    <t>hoh_use_money_note</t>
  </si>
  <si>
    <t>hoh_savings_type</t>
  </si>
  <si>
    <t>hoh_savings_type_o</t>
  </si>
  <si>
    <t>hoh_savings_amt</t>
  </si>
  <si>
    <t>hoh_savings_code</t>
  </si>
  <si>
    <t>hoh_savings_name</t>
  </si>
  <si>
    <t>Sunan irin tanadi</t>
  </si>
  <si>
    <t>hoh_savings_type_amt</t>
  </si>
  <si>
    <t>hoh_savings_interest</t>
  </si>
  <si>
    <t>speedcheck_hoh_savings_end</t>
  </si>
  <si>
    <t>dur_hoh_savings</t>
  </si>
  <si>
    <t>hoh_savings_total</t>
  </si>
  <si>
    <t>hoh_savings_confirm</t>
  </si>
  <si>
    <t>630. Total savings: ${hoh_savings_total}: Does this look correct?</t>
  </si>
  <si>
    <t>630. Économies totales : ${hoh_savings_total} : cela vous semble correct ?</t>
  </si>
  <si>
    <t>630. Jimillar ajiya: ${hoh_savings_total}: kuna ganin ​​wannan yayi daidai?</t>
  </si>
  <si>
    <t>hoh_emergency</t>
  </si>
  <si>
    <t>631. During ${period}, was your household negatively affected by any of the following types of events?</t>
  </si>
  <si>
    <t>631. Au cours de ${period_french}, votre ménage a-t-il été affecté négativement par l'un des types d'événements suivants ?</t>
  </si>
  <si>
    <t>631. A lokacin ${period_hausa}, ko gidanku ya fuskanci wani daga cikin matsaloli nan masu zuwa? Zaɓi duk abin da ya dace</t>
  </si>
  <si>
    <t>hoh_emergency_o</t>
  </si>
  <si>
    <t>632. Please briefly describe the event(s) that negatveily affected your household</t>
  </si>
  <si>
    <t>632. Veuillez décrire brièvement le/les événement(s) qui ont eu des effets négatifs sur votre ménage au cours des 3 derniers mois</t>
  </si>
  <si>
    <t>632. Da fatan za ku yi taƙaitaccen bayani a kan abin da ya shafi gidan ku</t>
  </si>
  <si>
    <t>speedcheck_hoh_emerg_start</t>
  </si>
  <si>
    <t>hoh_emerg_resp</t>
  </si>
  <si>
    <t>Emergency response</t>
  </si>
  <si>
    <t>hoh_emergency_name</t>
  </si>
  <si>
    <t>Emergency Name</t>
  </si>
  <si>
    <t>hoh_emerg_yes</t>
  </si>
  <si>
    <t>hoh_emerg_note</t>
  </si>
  <si>
    <t>633. In response to ${hoh_emergency_name}, did you or your household take the following actions?</t>
  </si>
  <si>
    <t>633. En réponse à ${hoh_emergency_name}, avez-vous vous ou votre ménage pris les mesures suivantes ??</t>
  </si>
  <si>
    <t>633. Dangance da ${hoh_emergency_name}, ku ko ƴan gindanku kun ɗauki waɗannan matakai?</t>
  </si>
  <si>
    <t>hoh_emerg_sell</t>
  </si>
  <si>
    <t>634. Sell assets?</t>
  </si>
  <si>
    <t>634. Vendre des actifs</t>
  </si>
  <si>
    <t>634. Saida kadarori</t>
  </si>
  <si>
    <t>hoh_emerg_borrow</t>
  </si>
  <si>
    <t>635. Borrow money?</t>
  </si>
  <si>
    <t>635. Emprunter de l'argent</t>
  </si>
  <si>
    <t>635. Bashin kuɗi</t>
  </si>
  <si>
    <t>hoh_emerg_spend</t>
  </si>
  <si>
    <t>636. Spend your savings?</t>
  </si>
  <si>
    <t>636. Utiliser votre épargne</t>
  </si>
  <si>
    <t>636. Kashe kuɗin ajiyar ku</t>
  </si>
  <si>
    <t>hoh_emerg_consume</t>
  </si>
  <si>
    <t>637. Reduce spending on food or change your food consumption?</t>
  </si>
  <si>
    <t>637. Réduire les dépenses alimentaires ou changé des habitudes de consommation ?</t>
  </si>
  <si>
    <t>637. Rage kashe kuɗi akan abinci ko canza abincin?</t>
  </si>
  <si>
    <t>hoh_emerg_amt</t>
  </si>
  <si>
    <t>hoh_emerg_note2</t>
  </si>
  <si>
    <t>638. For ${hoh_emergency_name}
 What was the value of the following in CFA?</t>
  </si>
  <si>
    <t>638. Par rapport à ${hoh_emergency_name}
 Quelle était la valeur des éléments suivantes en CFA?</t>
  </si>
  <si>
    <t>638. Game da ${hoh_emergency_name}
  Nawa ne kimar waɗannan abubuwan a kuɗin CFA?</t>
  </si>
  <si>
    <t>hoh_emerg_sell_amt</t>
  </si>
  <si>
    <t>hoh_emerg_borrow_amt</t>
  </si>
  <si>
    <t>hoh_emerg_spend_amt</t>
  </si>
  <si>
    <t>speedcheck_hoh_emerg_end</t>
  </si>
  <si>
    <t>dur_hoh_emerg</t>
  </si>
  <si>
    <t>speedcheck_hoh_credit_start</t>
  </si>
  <si>
    <t>hoh_owe_note</t>
  </si>
  <si>
    <t>hoh_credit_refuse</t>
  </si>
  <si>
    <t>hoh_credit_refuse_amt</t>
  </si>
  <si>
    <t>644. What was the value of the loan in CFA?</t>
  </si>
  <si>
    <t>644. Quelle était la valeur du prêt en CFA?</t>
  </si>
  <si>
    <t>644. Nawa ne yawan kuɗin bashin a sefa?</t>
  </si>
  <si>
    <t>hoh_borrow_total</t>
  </si>
  <si>
    <t>645. Think about all the people you or members of your household owe money, including recent loans, what is the total value your household owes (in CFA)?</t>
  </si>
  <si>
    <t>645. Pensez à toutes les personnes que vous ou les membres de votre ménage devez de l'argent, y compris les prêts récents, quelle est la valeur totale que votre ménage doit (en CFA) ?</t>
  </si>
  <si>
    <t>645. Ku tuna da duk mutanen da ke bin da ƴan gidanku kuɗi, dukan basussuka sabi da tsohi, nawa jimillar kuɗin a ke bin gidanku (a kuɗin sefa CFA)?</t>
  </si>
  <si>
    <t>hoh_borrow_ppm</t>
  </si>
  <si>
    <t>646. Do you know if a loan was given to your household by a household that participated in the TSARI or other Mercy Corp programs?</t>
  </si>
  <si>
    <t>646. Savez-vous si un prêt a été accordé à votre ménage par un ménage ayant participé au programme TSARI ou à d'autres programmes de Mercy Corp ?</t>
  </si>
  <si>
    <t>646. Kun san ko gidan ku ya ɗauki ramcen kuɗi daga wani gidan da yake cikin shirin TSARI ko wasu shirye-shiryen Mercy Corp?</t>
  </si>
  <si>
    <t>hoh_transfer_village</t>
  </si>
  <si>
    <t>hoh_transfer_village_ppm</t>
  </si>
  <si>
    <t>648. Do you know if the person who gave your hosuehold money was from a household that participated in the TSARI or other Mercy Corp programs?</t>
  </si>
  <si>
    <t>648. Savez-vous si la personne qui a donné l'argent à votre ménage appartenait à un ménage qui a participé au programme TSARI ou à d'autres programmes de Mercy Corp ?</t>
  </si>
  <si>
    <t>648. Shin kun san ko mutumin da ya ba gidan ku kuɗin ɗan wani gida ne wanda suka samu shiga cikin shirin TSARI ko wasu shirye-shiryen Mercy Corp?</t>
  </si>
  <si>
    <t>speedcheck_hoh_credit_end</t>
  </si>
  <si>
    <t>dur_hoh_credit</t>
  </si>
  <si>
    <t>speedcheck_hoh_foodinsec_start</t>
  </si>
  <si>
    <t>hoh_meals_note</t>
  </si>
  <si>
    <t>649. I will now ask you about meals people in your household have consumed in the past 7 days.</t>
  </si>
  <si>
    <t>649. Je vais maintenant vous poser des questions sur les repas que les membres de votre ménage ont consommé au cours des 7 derniers jours.</t>
  </si>
  <si>
    <t>649. Yanzu zan tambaye ku bisa abincin da mutanen gidanku suka ci a cikin kwanaki 7 da suka wuce.</t>
  </si>
  <si>
    <t>hoh_adults_skip_days</t>
  </si>
  <si>
    <t>650. In the last 7 days, have adults gone a whole day without meals?</t>
  </si>
  <si>
    <t>650. Au cours des 7 derniers jours, des adultes sont-ils restés une journée entière sans manger de repas ?</t>
  </si>
  <si>
    <t>650. A cikin kwanaki 7 da suka wuce, ko manya gidanku sun zauna tsawon wuni guda basu ci abinci ba?</t>
  </si>
  <si>
    <t>hoh_adults_skip_days_num</t>
  </si>
  <si>
    <t>651. How many days?</t>
  </si>
  <si>
    <t>651. Pendant combien de jours?</t>
  </si>
  <si>
    <t>651. 151a Tsawon kwanaki nawa?</t>
  </si>
  <si>
    <t>hoh_adults_skip_meals</t>
  </si>
  <si>
    <t>652. In the last 7 days, have adults cut the size of meals or skipped meals?</t>
  </si>
  <si>
    <t>652. Au cours des 7 derniers jours, les adultes ont-ils réduit la taille de leur repas ou les ont-ils sauté?</t>
  </si>
  <si>
    <t>652. A cikin kwanaki 7 na ƙarshe, ko manyan gidanku sun rage yawan abincin da suka saba ci ko sun tsallake shi?</t>
  </si>
  <si>
    <t>hoh_adults_skip_meal_num</t>
  </si>
  <si>
    <t>653. How many days?</t>
  </si>
  <si>
    <t>653. Pendant combien de jours?</t>
  </si>
  <si>
    <t>653. Tsawon kwanaki nawa?</t>
  </si>
  <si>
    <t>hoh_adult_protein</t>
  </si>
  <si>
    <t>hoh_child_skip_days</t>
  </si>
  <si>
    <t>hoh_child_skip_days_num</t>
  </si>
  <si>
    <t>656. How many days?</t>
  </si>
  <si>
    <t>656. Pendant combien de jours?</t>
  </si>
  <si>
    <t>656. 154a Tsawon kwanaki nawa?</t>
  </si>
  <si>
    <t>hoh_child_skip_meals</t>
  </si>
  <si>
    <t>657. In the last 7 days, have children (&lt;14) cut the size of meals or skipped meals?</t>
  </si>
  <si>
    <t>657. Au cours des 7 derniers jours, des enfants (&lt;14) ont-ils réduit la taille de leurs repas ou les ont-ils sauté?</t>
  </si>
  <si>
    <t>657. A cikin kwanaki 7 na ƙarshe, suna da yara (&lt;14) sun rage yawan abinci ko sun rasa gaba ɗaya?</t>
  </si>
  <si>
    <t>hoh_child_skip_meals_num</t>
  </si>
  <si>
    <t>658. How many days?</t>
  </si>
  <si>
    <t>658. Pendant combien de jours?</t>
  </si>
  <si>
    <t>658. 155a Tsawon kwanaki nawa?</t>
  </si>
  <si>
    <t>hoh_child_protein</t>
  </si>
  <si>
    <t>659. In the past week how many days have children in your household consumed animal protein (inlcuding fish, meat, poultry)?</t>
  </si>
  <si>
    <t>659. Au cours des 7 derniers jours, combien de fois les enfants de votre ménage ont-ils consommé des protéines animales (y compris poisson, viande, volaille) ?</t>
  </si>
  <si>
    <t>659. A cikin kwanaki 7 da suka gabata sau nawa yara a cikin gidanku suka ci abinci masu gina jiki kamar su kifi, nama, kaji ?</t>
  </si>
  <si>
    <t>speedcheck_hoh_foodinsec_end</t>
  </si>
  <si>
    <t>dur_hoh_foodinsec</t>
  </si>
  <si>
    <t>hoh_consumption</t>
  </si>
  <si>
    <t>speedcheck_hoh_cons_start</t>
  </si>
  <si>
    <t>select_multiple cons_month</t>
  </si>
  <si>
    <t>hoh_monthly_consumption_any</t>
  </si>
  <si>
    <t>hoh_cons_month</t>
  </si>
  <si>
    <t>Consumption - Monthly</t>
  </si>
  <si>
    <t>Consommation - Mensuelle</t>
  </si>
  <si>
    <t>Cimaka - kowane wata</t>
  </si>
  <si>
    <t>hoh_item</t>
  </si>
  <si>
    <t>item</t>
  </si>
  <si>
    <t>article</t>
  </si>
  <si>
    <t>kaya</t>
  </si>
  <si>
    <t>hoh_monthly_consumption_amt</t>
  </si>
  <si>
    <t>661. How much did your household spend on ${hoh_item} in the past month (in CFA)?</t>
  </si>
  <si>
    <t>661. Combien votre ménage a-t-il dépensé pour ${hoh_item} au cours du dernier mois (en CFA) ?</t>
  </si>
  <si>
    <t>661. Nawa ne (a CFA) gidanku ya kashe akan ${hoh_item} cikin watan da ya gabata ?</t>
  </si>
  <si>
    <t>select_multiple cons_week</t>
  </si>
  <si>
    <t>hoh_weekly_consumption_any</t>
  </si>
  <si>
    <t>662. Has your household spent money on the following types of expenses in the past week?</t>
  </si>
  <si>
    <t>662. Votre ménage a-t-il dépensé de l'argent pour les types de dépenses suivants au cours de la semaine dernière ?</t>
  </si>
  <si>
    <t>662. Ko gidanku sun kashe kuɗi akan ire iren waɗannan abubuwan a cikin satin da ya gabata?</t>
  </si>
  <si>
    <t>hoh_cons_week</t>
  </si>
  <si>
    <t>Consumption - Weekly</t>
  </si>
  <si>
    <t>Consommation - Hebdomadaire</t>
  </si>
  <si>
    <t>Cimakar - sati-sati</t>
  </si>
  <si>
    <t>hoh_item_week</t>
  </si>
  <si>
    <t>item weekly</t>
  </si>
  <si>
    <t>article hebdomadaire</t>
  </si>
  <si>
    <t>kayan sati-sati</t>
  </si>
  <si>
    <t>hoh_weekly_consumption_amt</t>
  </si>
  <si>
    <t>663. How much did your household spend on ${hoh_item_week} in the past week (in CFA)?</t>
  </si>
  <si>
    <t>663. Combien votre ménage a-t-il dépensé en ${hoh_item_week} la semaine dernière (en CFA) ?</t>
  </si>
  <si>
    <t>663. Nawa ne gidan ku ya kashe (a CFA) a ${hoh_item_week} satin da ya gabata ?</t>
  </si>
  <si>
    <t>hoh_ramadan</t>
  </si>
  <si>
    <t>hoh_purchase</t>
  </si>
  <si>
    <t>664. For Ramadan, did your household purchase any of the following?</t>
  </si>
  <si>
    <t>664. Pour le Ramadan, votre ménage a-t-il acheté l'un des produits suivants ?</t>
  </si>
  <si>
    <t>664. Ga watan azumi, gidanku ya sayi ɗaya daga cikin wadannan?</t>
  </si>
  <si>
    <t>hoh_purchase_clothing</t>
  </si>
  <si>
    <t>665. Clothing</t>
  </si>
  <si>
    <t>665. Vêtements</t>
  </si>
  <si>
    <t>665. Tufafi</t>
  </si>
  <si>
    <t>hoh_purchase_sheep</t>
  </si>
  <si>
    <t>666. Sheep</t>
  </si>
  <si>
    <t>666. Mouton</t>
  </si>
  <si>
    <t>666. Rago</t>
  </si>
  <si>
    <t>hoh_purchase_goat</t>
  </si>
  <si>
    <t>hoh_purchase_poultry</t>
  </si>
  <si>
    <t>speedcheck_hoh_cons_end</t>
  </si>
  <si>
    <t>dur_hoh_cons</t>
  </si>
  <si>
    <t>speedcheck_hoh_end</t>
  </si>
  <si>
    <t>dur_hoh</t>
  </si>
  <si>
    <t>followup</t>
  </si>
  <si>
    <t>Follow Up Questions</t>
  </si>
  <si>
    <t>Questions de suivi</t>
  </si>
  <si>
    <t>Tambayoyi na bibiya</t>
  </si>
  <si>
    <t>followup_note</t>
  </si>
  <si>
    <t>669. As I mentioned at the beginning of our interview, we would like to stay in touch with you.</t>
  </si>
  <si>
    <t>669. Comme je l'ai mentionné au début de notre entretien, nous aimerions rester en contact avec vous.</t>
  </si>
  <si>
    <t>669. Kamar yadda na faɗa a farkon hirarmu, muna son mu ci gaba da tuntuɓar ku.</t>
  </si>
  <si>
    <t>primary_phone</t>
  </si>
  <si>
    <t>670. What is the phone number where we can reach you?</t>
  </si>
  <si>
    <t>670. Quel est le numéro de téléphone auquel nous pouvons vous joindre?</t>
  </si>
  <si>
    <t>670. Wace lambar waya ce zamu iya samun ku da ita?</t>
  </si>
  <si>
    <t>primary_phone_confirm</t>
  </si>
  <si>
    <t>671. I am going to read back the phone number you just shared with me. Can you confirm this is your primary phone number? ${primary_phone}</t>
  </si>
  <si>
    <t>671. Je vais relire le numéro de téléphone que vous venez de me donner. Pouvez-vous confirmer qu'il s'agit de votre numéro de téléphone principal ? ${primary_phone}</t>
  </si>
  <si>
    <t>671. Zan sake karanta lambar wayar da kuka bani. Zaku iya tabbatar mini da wannan itace lambar wayarku ta farko? ${primary_phone}</t>
  </si>
  <si>
    <t>primary_phone_2</t>
  </si>
  <si>
    <t>672. Please go back and correct the number.</t>
  </si>
  <si>
    <t>672. Veuillez revenir en arrière pour corriger le numéro.</t>
  </si>
  <si>
    <t>672. ko za ka koma baya ka gyara lambar.</t>
  </si>
  <si>
    <t>select_one call</t>
  </si>
  <si>
    <t>primary_phone_test</t>
  </si>
  <si>
    <t>673. I am going to call this phone number to confirm it is correct.</t>
  </si>
  <si>
    <t>673. Je vais appeler ce numéro de téléphone pour confirmer qu'il est correct.</t>
  </si>
  <si>
    <t>673. Zan kirayi wannan lambar don tabbatar da cewa daidai ce.</t>
  </si>
  <si>
    <t>primary_phone_test_note</t>
  </si>
  <si>
    <t>674. Please go back and enter a new phone number.</t>
  </si>
  <si>
    <t>674. Veuillez revenir en arrière pour entrer un nouveau numéro de téléphone.</t>
  </si>
  <si>
    <t>674. Ko za ka koma baya ka shigar da sabuwar lambar waya.</t>
  </si>
  <si>
    <t>use_whatsapp</t>
  </si>
  <si>
    <t>675. Do you have a Whatsapp account/ phone number you use for WhatsApp?</t>
  </si>
  <si>
    <t>675. Avez-vous un compte/numéro de téléphone Whatsapp que vous utilisez pour WhatsApp ?</t>
  </si>
  <si>
    <t>675. Kuna yin WhatsApp / lambar wayar da kuke amfani da ita ta WhatsApp ce?</t>
  </si>
  <si>
    <t>phone_whatsapp</t>
  </si>
  <si>
    <t>676. Is this the phone number you use for whatsapp?</t>
  </si>
  <si>
    <t>676. Est-ce le numéro de téléphone que vous utilisez pour WhatsApp ?</t>
  </si>
  <si>
    <t>676. Wannan ita ce lambar wayar da kuke amfani da ita don yin whatsapp?</t>
  </si>
  <si>
    <t>phone_whatsapp_number</t>
  </si>
  <si>
    <t>phone_whatsapp_confirm</t>
  </si>
  <si>
    <t>whatsapp_mismatch</t>
  </si>
  <si>
    <t>primary_other_phone</t>
  </si>
  <si>
    <t>primary_other_phones</t>
  </si>
  <si>
    <t>other_phones</t>
  </si>
  <si>
    <t>Other Phones</t>
  </si>
  <si>
    <t>primary_other_phone_num</t>
  </si>
  <si>
    <t>secondary_contact1</t>
  </si>
  <si>
    <t>683. In case we cannot reach you, could you please provide us with the name and phone number of someone outside your household that we could call to ask for your number? 
 We would only call that person if we cannot reach you after a few attempts and this would really help us stay in contact with you.</t>
  </si>
  <si>
    <t>683. Si nous ne pouvons pas vous joindre, pourriez-vous nous fournir le nom et le numéro de téléphone d'une personne extérieure à votre foyer que nous pourrions appeler pour demander votre numéro ?
  Nous n'appellerions cette personne que si nous ne pouvons pas vous joindre après quelques tentatives, cela nous aiderait vraiment à rester en contact avec vous.</t>
  </si>
  <si>
    <t>683. Idan ba za mu iya samun ku ba, ko za ku iya ba mu suna da lambar wayar wani wanda ba na gidanku ba da za mu iya kira don neman lambar ku?
  Za mu kirayi mutumen ne kawai idan bamu sameku ba bayan kira biyu zuwa uku, hakan zai taimaka mana ci gaba da tuntuɓar ku.</t>
  </si>
  <si>
    <t>secondary_name_create1</t>
  </si>
  <si>
    <t>Name of Secondary Contact 1</t>
  </si>
  <si>
    <t>secondary_name1_last</t>
  </si>
  <si>
    <t>684. What is the last name of this person</t>
  </si>
  <si>
    <t>684. Quel est le nom de cette personne</t>
  </si>
  <si>
    <t>684. Menene sunan uban wannan mutumen?</t>
  </si>
  <si>
    <t>secondary_name1_first</t>
  </si>
  <si>
    <t>685. What is the first name of this person</t>
  </si>
  <si>
    <t>685. Quel est le prénom de cette personne</t>
  </si>
  <si>
    <t>685. Menene sunan wannan mutumen?</t>
  </si>
  <si>
    <t>secondary_name1</t>
  </si>
  <si>
    <t>secondary_phone1</t>
  </si>
  <si>
    <t>686. What is their phone number?</t>
  </si>
  <si>
    <t>secondary_relation1</t>
  </si>
  <si>
    <t>687. What is ${secondary_name1}'s relationship to you?</t>
  </si>
  <si>
    <t>687. Quelle est la relation entre ${secondary_name1} et vous ?</t>
  </si>
  <si>
    <t>687. Menene alaƙar ku da ${secondary_name1} ?</t>
  </si>
  <si>
    <t>secondary_phone1_confirm</t>
  </si>
  <si>
    <t>688. Just to confirm, is this the number? 
  ${secondary_name1}
  ${secondary_phone1}</t>
  </si>
  <si>
    <t>688. Juste pour confirmer, est-ce bien le numéro ?
  ${secondary_name1}
  ${secondary_phone1}</t>
  </si>
  <si>
    <t>688. Don tabbatarwa kawai, da wannan itace lambar?
  ${secondary_name1}
  ${secondary_phone1}</t>
  </si>
  <si>
    <t>secondary_phone1_note</t>
  </si>
  <si>
    <t>689. Please go back and correct the name and phone number.</t>
  </si>
  <si>
    <t>689. Veuillez revenir en arrière et corriger le nom et le numéro de téléphone.</t>
  </si>
  <si>
    <t>689. Da fatan za ka koma baya don ka gyara suna da lambar waya.</t>
  </si>
  <si>
    <t>secondary_phone1_test</t>
  </si>
  <si>
    <t>secondary_phone1_test_note</t>
  </si>
  <si>
    <t>secondary_contact2</t>
  </si>
  <si>
    <t>692. We currently have the number of ${secondary_name1} that you shared with us, could you give us the name of phone number of someone else that you're usually in contact with? We would only call that person if we cannot reach you or ${secondary_name1} after a few attempts and this would really help us stay in contact with you.</t>
  </si>
  <si>
    <t>692. Nous avons actuellement le numéro de ${secondary_name1} que vous nous avez donné nous, pourriez-vous nous donner le nom et le numéro de téléphone de quelqu'un d'autre avec qui vous êtes habituellement en contact ? Nous n'appellerions cette personne que si nous ne parvenions pas à vous joindre ou à joindre ${secondary_name1} après quelques tentatives puisque cela nous aiderait vraiment à rester en contact avec vous.</t>
  </si>
  <si>
    <t>692. A halin yanzu muna da lambar ${secondary_name1} da kuka bamu, za ku iya bamu suna da lambar wayar wani da kuke kiran juna da shi? Za mu kiraye wannan mutumen ne kawai idan bamu sameku ba ko bamu samu ${secondary_name1} bayan kira biyu zuwa uku, wannan zai taimaka mana wajen ci gaba da tuntuɓar ku.</t>
  </si>
  <si>
    <t>secondary_name_create2</t>
  </si>
  <si>
    <t>Name of Secondary Contact 2</t>
  </si>
  <si>
    <t>secondary_name2_last</t>
  </si>
  <si>
    <t>693. What is the last name of this person</t>
  </si>
  <si>
    <t>693. Quel est le nom de cette personne?</t>
  </si>
  <si>
    <t>693. Menene sunan uban wannan mutumen?</t>
  </si>
  <si>
    <t>secondary_name2_first</t>
  </si>
  <si>
    <t>694. What is the first name of this person</t>
  </si>
  <si>
    <t>694. Quel est le prénom de cette personne?</t>
  </si>
  <si>
    <t>694. Menene sunan wannan mutumen?</t>
  </si>
  <si>
    <t>secondary_name2</t>
  </si>
  <si>
    <t>secondary_phone2</t>
  </si>
  <si>
    <t>695. What is their phone number?</t>
  </si>
  <si>
    <t>695. Quel est leur numéro de téléphone?</t>
  </si>
  <si>
    <t>695. Menene lambar wayarsu?</t>
  </si>
  <si>
    <t>secondary_relation2</t>
  </si>
  <si>
    <t>696. What is ${secondary_name2}'s relationship to you?</t>
  </si>
  <si>
    <t>696. Quelle est la relation entre ${secondary_name2} et vous ?</t>
  </si>
  <si>
    <t>696. Menene alaƙar ku da ${secondary_name2} ?</t>
  </si>
  <si>
    <t>secondary_phone2_confirm</t>
  </si>
  <si>
    <t>697. Just to confirm, is this the number? 
  ${secondary_name2}
  ${secondary_phone2}</t>
  </si>
  <si>
    <t>697. Juste pour confirmer, est-ce bien le numéro ?
  ${secondary_name2}
  ${secondary_phone2}</t>
  </si>
  <si>
    <t>697. Don tabbatar kawai, da wannan itace lambar?
  ${secondary_name2}
  ${secondary_phone2}</t>
  </si>
  <si>
    <t>secondary_phone2_note</t>
  </si>
  <si>
    <t>698. Please go back and correct the name and phone number.</t>
  </si>
  <si>
    <t>698. Veuillez revenir en arrière et corriger le nom et le numéro de téléphone.</t>
  </si>
  <si>
    <t>698. Da fatan za ka koma baya ka gyara suna da lambar waya.</t>
  </si>
  <si>
    <t>secondary_phone2_test</t>
  </si>
  <si>
    <t>secondary_phone2_test_note</t>
  </si>
  <si>
    <t>700. Da fatan zaku rubuta lambar</t>
  </si>
  <si>
    <t>select_one interest</t>
  </si>
  <si>
    <t>resp_interest</t>
  </si>
  <si>
    <t>select_one patient</t>
  </si>
  <si>
    <t>resp_patient</t>
  </si>
  <si>
    <t>select_one comprehension</t>
  </si>
  <si>
    <t>resp_understand</t>
  </si>
  <si>
    <t>703. How well did the respondent understand the questions?</t>
  </si>
  <si>
    <t>703. Dans quelle mesure le répondant a-t-il compris les questions ?</t>
  </si>
  <si>
    <t>703. Yaya kake ganin mai bada amsa ya fahimci tambayoyin?</t>
  </si>
  <si>
    <t>select_one present</t>
  </si>
  <si>
    <t>other_people</t>
  </si>
  <si>
    <t>704. Was the interview conducted in the presence of other people?</t>
  </si>
  <si>
    <t>704. L'entretien a-t-il été réalisé en présence d'autres personnes ?</t>
  </si>
  <si>
    <t>704. Ko an yi hirar ne a gaban wasu mutane?</t>
  </si>
  <si>
    <t>705. Enumerator: Record any comments on the survey</t>
  </si>
  <si>
    <t>705. Enquêteur : Veuillez noter vos commentaires si vous en avez</t>
  </si>
  <si>
    <t>705. Ɗan bincike: Yi rikodin duk wani sharhi akan binciken</t>
  </si>
</sst>
</file>

<file path=xl/styles.xml><?xml version="1.0" encoding="utf-8"?>
<styleSheet xmlns="http://schemas.openxmlformats.org/spreadsheetml/2006/main" xmlns:x14ac="http://schemas.microsoft.com/office/spreadsheetml/2009/9/ac" xmlns:mc="http://schemas.openxmlformats.org/markup-compatibility/2006">
  <fonts count="40">
    <font>
      <sz val="12.0"/>
      <color rgb="FF000000"/>
      <name val="Calibri"/>
      <scheme val="minor"/>
    </font>
    <font>
      <b/>
      <sz val="12.0"/>
      <color theme="1"/>
      <name val="Calibri"/>
    </font>
    <font>
      <b/>
      <u/>
      <sz val="12.0"/>
      <color rgb="FF000000"/>
      <name val="Calibri"/>
    </font>
    <font/>
    <font>
      <b/>
      <sz val="10.0"/>
      <color rgb="FF000000"/>
      <name val="Fira Code"/>
    </font>
    <font>
      <sz val="12.0"/>
      <color rgb="FF000000"/>
      <name val="Calibri"/>
    </font>
    <font>
      <b/>
      <sz val="10.0"/>
      <color theme="1"/>
      <name val="Fira Code"/>
    </font>
    <font>
      <color theme="1"/>
      <name val="Arial"/>
    </font>
    <font>
      <sz val="12.0"/>
      <color theme="1"/>
      <name val="Calibri"/>
    </font>
    <font>
      <sz val="10.0"/>
      <color theme="1"/>
      <name val="Fira Code"/>
    </font>
    <font>
      <sz val="10.0"/>
      <color rgb="FF000000"/>
      <name val="Fira Code"/>
    </font>
    <font>
      <sz val="11.0"/>
      <color rgb="FF333333"/>
      <name val="&quot;Helvetica Neue&quot;"/>
    </font>
    <font>
      <i/>
      <u/>
      <sz val="12.0"/>
      <color rgb="FF0000D4"/>
      <name val="Calibri"/>
    </font>
    <font>
      <b/>
      <sz val="12.0"/>
      <color rgb="FF000000"/>
      <name val="Calibri"/>
    </font>
    <font>
      <sz val="10.0"/>
      <color theme="1"/>
      <name val="Calibri"/>
      <scheme val="minor"/>
    </font>
    <font>
      <i/>
      <u/>
      <sz val="12.0"/>
      <color rgb="FF0000D4"/>
      <name val="Calibri"/>
    </font>
    <font>
      <i/>
      <u/>
      <sz val="12.0"/>
      <color rgb="FF0000D4"/>
      <name val="Calibri"/>
    </font>
    <font>
      <b/>
      <u/>
      <sz val="12.0"/>
      <color rgb="FF000000"/>
      <name val="Calibri"/>
    </font>
    <font>
      <b/>
      <u/>
      <sz val="12.0"/>
      <color rgb="FF000000"/>
      <name val="Calibri"/>
    </font>
    <font>
      <i/>
      <u/>
      <sz val="12.0"/>
      <color rgb="FF0000D4"/>
      <name val="Calibri"/>
    </font>
    <font>
      <i/>
      <u/>
      <sz val="12.0"/>
      <color rgb="FF0000D4"/>
      <name val="Calibri"/>
    </font>
    <font>
      <u/>
      <sz val="12.0"/>
      <color rgb="FF000000"/>
      <name val="Calibri"/>
    </font>
    <font>
      <u/>
      <sz val="12.0"/>
      <color rgb="FF0000D4"/>
      <name val="Calibri"/>
    </font>
    <font>
      <i/>
      <u/>
      <sz val="12.0"/>
      <color rgb="FF0000D4"/>
      <name val="Calibri"/>
    </font>
    <font>
      <i/>
      <u/>
      <sz val="12.0"/>
      <color rgb="FF0000D4"/>
      <name val="Calibri"/>
    </font>
    <font>
      <color theme="1"/>
      <name val="Fira Code"/>
    </font>
    <font>
      <color theme="1"/>
      <name val="Calibri"/>
      <scheme val="minor"/>
    </font>
    <font>
      <b/>
      <u/>
      <sz val="12.0"/>
      <color rgb="FF000000"/>
      <name val="Calibri"/>
    </font>
    <font>
      <sz val="10.0"/>
      <color theme="1"/>
      <name val="&quot;Fira Code&quot;"/>
    </font>
    <font>
      <sz val="10.0"/>
      <color theme="1"/>
      <name val="Calibri"/>
    </font>
    <font>
      <b/>
      <color theme="1"/>
      <name val="Fira Code"/>
    </font>
    <font>
      <u/>
      <sz val="12.0"/>
      <color rgb="FF0000D4"/>
      <name val="Calibri"/>
    </font>
    <font>
      <sz val="10.0"/>
      <color rgb="FF333333"/>
      <name val="Fira Code"/>
    </font>
    <font>
      <u/>
      <sz val="12.0"/>
      <color rgb="FF0000D4"/>
      <name val="Calibri"/>
    </font>
    <font>
      <u/>
      <sz val="12.0"/>
      <color rgb="FF000000"/>
      <name val="Calibri"/>
    </font>
    <font>
      <i/>
      <u/>
      <sz val="12.0"/>
      <color rgb="FF0000D4"/>
      <name val="Calibri"/>
    </font>
    <font>
      <b/>
      <sz val="12.0"/>
      <color rgb="FF333333"/>
      <name val="Calibri"/>
    </font>
    <font>
      <sz val="12.0"/>
      <color rgb="FF333333"/>
      <name val="Calibri"/>
    </font>
    <font>
      <sz val="10.0"/>
      <color rgb="FF444746"/>
      <name val="Fira Code"/>
    </font>
    <font>
      <sz val="10.0"/>
      <color rgb="FF222221"/>
      <name val="Fira Code"/>
    </font>
  </fonts>
  <fills count="29">
    <fill>
      <patternFill patternType="none"/>
    </fill>
    <fill>
      <patternFill patternType="lightGray"/>
    </fill>
    <fill>
      <patternFill patternType="solid">
        <fgColor rgb="FFD8D8D8"/>
        <bgColor rgb="FFD8D8D8"/>
      </patternFill>
    </fill>
    <fill>
      <patternFill patternType="solid">
        <fgColor rgb="FFDAEEF3"/>
        <bgColor rgb="FFDAEEF3"/>
      </patternFill>
    </fill>
    <fill>
      <patternFill patternType="solid">
        <fgColor rgb="FFFFFFFF"/>
        <bgColor rgb="FFFFFFFF"/>
      </patternFill>
    </fill>
    <fill>
      <patternFill patternType="solid">
        <fgColor rgb="FFD6E3BC"/>
        <bgColor rgb="FFD6E3BC"/>
      </patternFill>
    </fill>
    <fill>
      <patternFill patternType="solid">
        <fgColor rgb="FFEAF1DD"/>
        <bgColor rgb="FFEAF1DD"/>
      </patternFill>
    </fill>
    <fill>
      <patternFill patternType="solid">
        <fgColor rgb="FFFDE9D9"/>
        <bgColor rgb="FFFDE9D9"/>
      </patternFill>
    </fill>
    <fill>
      <patternFill patternType="solid">
        <fgColor rgb="FFE4E300"/>
        <bgColor rgb="FFE4E300"/>
      </patternFill>
    </fill>
    <fill>
      <patternFill patternType="solid">
        <fgColor rgb="FFFBFB00"/>
        <bgColor rgb="FFFBFB00"/>
      </patternFill>
    </fill>
    <fill>
      <patternFill patternType="solid">
        <fgColor rgb="FFEEB400"/>
        <bgColor rgb="FFEEB400"/>
      </patternFill>
    </fill>
    <fill>
      <patternFill patternType="solid">
        <fgColor rgb="FFFFD44B"/>
        <bgColor rgb="FFFFD44B"/>
      </patternFill>
    </fill>
    <fill>
      <patternFill patternType="solid">
        <fgColor rgb="FFFABF8F"/>
        <bgColor rgb="FFFABF8F"/>
      </patternFill>
    </fill>
    <fill>
      <patternFill patternType="solid">
        <fgColor rgb="FFFBD4B4"/>
        <bgColor rgb="FFFBD4B4"/>
      </patternFill>
    </fill>
    <fill>
      <patternFill patternType="solid">
        <fgColor rgb="FFFF9900"/>
        <bgColor rgb="FFFF9900"/>
      </patternFill>
    </fill>
    <fill>
      <patternFill patternType="solid">
        <fgColor rgb="FFF2F2F2"/>
        <bgColor rgb="FFF2F2F2"/>
      </patternFill>
    </fill>
    <fill>
      <patternFill patternType="solid">
        <fgColor rgb="FFFF0000"/>
        <bgColor rgb="FFFF0000"/>
      </patternFill>
    </fill>
    <fill>
      <patternFill patternType="solid">
        <fgColor rgb="FFFF6969"/>
        <bgColor rgb="FFFF6969"/>
      </patternFill>
    </fill>
    <fill>
      <patternFill patternType="solid">
        <fgColor rgb="FFC4BD97"/>
        <bgColor rgb="FFC4BD97"/>
      </patternFill>
    </fill>
    <fill>
      <patternFill patternType="solid">
        <fgColor rgb="FFE3E0CF"/>
        <bgColor rgb="FFE3E0CF"/>
      </patternFill>
    </fill>
    <fill>
      <patternFill patternType="solid">
        <fgColor rgb="FFDCC97A"/>
        <bgColor rgb="FFDCC97A"/>
      </patternFill>
    </fill>
    <fill>
      <patternFill patternType="solid">
        <fgColor rgb="FFE7D480"/>
        <bgColor rgb="FFE7D480"/>
      </patternFill>
    </fill>
    <fill>
      <patternFill patternType="solid">
        <fgColor rgb="FFB8CCE4"/>
        <bgColor rgb="FFB8CCE4"/>
      </patternFill>
    </fill>
    <fill>
      <patternFill patternType="solid">
        <fgColor rgb="FFDBE5F1"/>
        <bgColor rgb="FFDBE5F1"/>
      </patternFill>
    </fill>
    <fill>
      <patternFill patternType="solid">
        <fgColor rgb="FFFFBB57"/>
        <bgColor rgb="FFFFBB57"/>
      </patternFill>
    </fill>
    <fill>
      <patternFill patternType="solid">
        <fgColor rgb="FFB2A1C7"/>
        <bgColor rgb="FFB2A1C7"/>
      </patternFill>
    </fill>
    <fill>
      <patternFill patternType="solid">
        <fgColor rgb="FFCCC0D9"/>
        <bgColor rgb="FFCCC0D9"/>
      </patternFill>
    </fill>
    <fill>
      <patternFill patternType="solid">
        <fgColor rgb="FF4685D2"/>
        <bgColor rgb="FF4685D2"/>
      </patternFill>
    </fill>
    <fill>
      <patternFill patternType="solid">
        <fgColor rgb="FF99BCE7"/>
        <bgColor rgb="FF99BCE7"/>
      </patternFill>
    </fill>
  </fills>
  <borders count="50">
    <border/>
    <border>
      <left style="thin">
        <color rgb="FFBFBFBF"/>
      </left>
      <right style="thin">
        <color rgb="FFBFBFBF"/>
      </right>
      <top style="thin">
        <color rgb="FFBFBFBF"/>
      </top>
      <bottom style="thin">
        <color rgb="FFBFBFBF"/>
      </bottom>
    </border>
    <border>
      <left style="thin">
        <color rgb="FF000000"/>
      </left>
      <top style="thin">
        <color rgb="FF000000"/>
      </top>
      <bottom/>
    </border>
    <border>
      <right style="thin">
        <color rgb="FF000000"/>
      </right>
      <top style="thin">
        <color rgb="FF000000"/>
      </top>
      <bottom/>
    </border>
    <border>
      <right style="thin">
        <color rgb="FFBFBFBF"/>
      </right>
      <top style="thin">
        <color rgb="FFBFBFBF"/>
      </top>
      <bottom style="thin">
        <color rgb="FFBFBFBF"/>
      </bottom>
    </border>
    <border>
      <left style="thin">
        <color rgb="FFBFBFBF"/>
      </left>
      <right style="thin">
        <color rgb="FFBFBFBF"/>
      </right>
      <top style="thin">
        <color rgb="FFBFBFBF"/>
      </top>
      <bottom style="thin">
        <color rgb="FF000000"/>
      </bottom>
    </border>
    <border>
      <right style="thin">
        <color rgb="FFBFBFBF"/>
      </right>
      <top style="thin">
        <color rgb="FFBFBFBF"/>
      </top>
      <bottom style="thin">
        <color rgb="FF000000"/>
      </bottom>
    </border>
    <border>
      <left style="thin">
        <color rgb="FFBFBFBF"/>
      </left>
      <bottom style="thin">
        <color rgb="FF000000"/>
      </bottom>
    </border>
    <border>
      <bottom style="thin">
        <color rgb="FF000000"/>
      </bottom>
    </border>
    <border>
      <left style="thin">
        <color rgb="FFBFBFBF"/>
      </left>
      <right style="thin">
        <color rgb="FFBFBFBF"/>
      </right>
      <bottom style="thin">
        <color rgb="FFBFBFBF"/>
      </bottom>
    </border>
    <border>
      <right style="thin">
        <color rgb="FFBFBFBF"/>
      </right>
      <bottom style="thin">
        <color rgb="FFBFBFBF"/>
      </bottom>
    </border>
    <border>
      <left style="thin">
        <color rgb="FF000000"/>
      </left>
      <top/>
      <bottom/>
    </border>
    <border>
      <right style="thin">
        <color rgb="FF000000"/>
      </right>
      <top/>
      <bottom/>
    </border>
    <border>
      <left style="thin">
        <color rgb="FFBFBFBF"/>
      </left>
      <right style="thin">
        <color rgb="FFBFBFBF"/>
      </right>
      <bottom style="thin">
        <color rgb="FF000000"/>
      </bottom>
    </border>
    <border>
      <left style="thin">
        <color rgb="FF000000"/>
      </left>
      <top/>
      <bottom style="thin">
        <color rgb="FF000000"/>
      </bottom>
    </border>
    <border>
      <right style="thin">
        <color rgb="FFBFBFBF"/>
      </right>
      <bottom style="thin">
        <color rgb="FF000000"/>
      </bottom>
    </border>
    <border>
      <right style="thin">
        <color rgb="FF000000"/>
      </right>
      <top/>
      <bottom style="thin">
        <color rgb="FF000000"/>
      </bottom>
    </border>
    <border>
      <left style="thin">
        <color rgb="FFBFBFBF"/>
      </left>
      <right style="thin">
        <color rgb="FFBFBFBF"/>
      </right>
      <top style="thin">
        <color rgb="FF000000"/>
      </top>
      <bottom style="thin">
        <color rgb="FFBFBFBF"/>
      </bottom>
    </border>
    <border>
      <right style="thin">
        <color rgb="FFBFBFBF"/>
      </right>
      <top style="thin">
        <color rgb="FF000000"/>
      </top>
      <bottom style="thin">
        <color rgb="FFBFBFBF"/>
      </bottom>
    </border>
    <border>
      <left style="thin">
        <color rgb="FF7F7F7F"/>
      </left>
      <right style="thin">
        <color rgb="FF7F7F7F"/>
      </right>
      <top style="thin">
        <color rgb="FF7F7F7F"/>
      </top>
      <bottom/>
    </border>
    <border>
      <right style="thin">
        <color rgb="FF000000"/>
      </right>
      <top style="thin">
        <color rgb="FF000000"/>
      </top>
      <bottom style="thin">
        <color rgb="FF000000"/>
      </bottom>
    </border>
    <border>
      <top style="thin">
        <color rgb="FF000000"/>
      </top>
    </border>
    <border>
      <right style="thin">
        <color rgb="FF000000"/>
      </right>
      <bottom style="thin">
        <color rgb="FFBFBFBF"/>
      </bottom>
    </border>
    <border>
      <right style="thin">
        <color rgb="FF000000"/>
      </right>
      <bottom style="thin">
        <color rgb="FF000000"/>
      </bottom>
    </border>
    <border>
      <left/>
      <right/>
      <top/>
      <bottom/>
    </border>
    <border>
      <left style="thin">
        <color rgb="FF000000"/>
      </left>
      <right style="thin">
        <color rgb="FF000000"/>
      </right>
      <top style="thin">
        <color rgb="FF000000"/>
      </top>
      <bottom style="thin">
        <color rgb="FF000000"/>
      </bottom>
    </border>
    <border>
      <left style="thin">
        <color rgb="FF000000"/>
      </left>
      <right/>
      <top/>
      <bottom/>
    </border>
    <border>
      <left/>
      <right style="thin">
        <color rgb="FF000000"/>
      </right>
      <top/>
      <bottom/>
    </border>
    <border>
      <left style="thin">
        <color rgb="FF7F7F7F"/>
      </left>
      <top style="thin">
        <color rgb="FF7F7F7F"/>
      </top>
      <bottom style="thin">
        <color rgb="FF7F7F7F"/>
      </bottom>
    </border>
    <border>
      <right style="thin">
        <color rgb="FF7F7F7F"/>
      </right>
      <top style="thin">
        <color rgb="FF7F7F7F"/>
      </top>
      <bottom style="thin">
        <color rgb="FF7F7F7F"/>
      </bottom>
    </border>
    <border>
      <left style="thin">
        <color rgb="FF7F7F7F"/>
      </left>
      <right style="thin">
        <color rgb="FF7F7F7F"/>
      </right>
      <top style="thin">
        <color rgb="FF7F7F7F"/>
      </top>
      <bottom style="thin">
        <color rgb="FF7F7F7F"/>
      </bottom>
    </border>
    <border>
      <bottom style="thin">
        <color rgb="FFBFBFBF"/>
      </bottom>
    </border>
    <border>
      <right style="thin">
        <color rgb="FFBFBFBF"/>
      </right>
    </border>
    <border>
      <right style="thin">
        <color rgb="FF000000"/>
      </right>
      <top style="thin">
        <color rgb="FF000000"/>
      </top>
      <bottom style="thin">
        <color rgb="FFBFBFBF"/>
      </bottom>
    </border>
    <border>
      <left style="thin">
        <color rgb="FF7F7F7F"/>
      </left>
      <top style="thin">
        <color rgb="FF7F7F7F"/>
      </top>
      <bottom/>
    </border>
    <border>
      <right style="thin">
        <color rgb="FF7F7F7F"/>
      </right>
      <top style="thin">
        <color rgb="FF7F7F7F"/>
      </top>
      <bottom/>
    </border>
    <border>
      <left style="thin">
        <color rgb="FF7F7F7F"/>
      </left>
      <top/>
      <bottom/>
    </border>
    <border>
      <right style="thin">
        <color rgb="FF7F7F7F"/>
      </right>
      <top/>
      <bottom/>
    </border>
    <border>
      <left style="thin">
        <color rgb="FF7F7F7F"/>
      </left>
      <top/>
      <bottom style="thin">
        <color rgb="FF7F7F7F"/>
      </bottom>
    </border>
    <border>
      <right style="thin">
        <color rgb="FF7F7F7F"/>
      </right>
      <top/>
      <bottom style="thin">
        <color rgb="FF7F7F7F"/>
      </bottom>
    </border>
    <border>
      <left style="thin">
        <color rgb="FF808080"/>
      </left>
      <right style="thin">
        <color rgb="FF808080"/>
      </right>
      <top style="thin">
        <color rgb="FF808080"/>
      </top>
      <bottom style="thin">
        <color rgb="FF808080"/>
      </bottom>
    </border>
    <border>
      <top style="thin">
        <color rgb="FF000000"/>
      </top>
      <bottom style="thin">
        <color rgb="FFBFBFBF"/>
      </bottom>
    </border>
    <border>
      <left style="thin">
        <color rgb="FFBFBFBF"/>
      </left>
      <right style="thin">
        <color rgb="FFBFBFBF"/>
      </right>
      <top style="thin">
        <color rgb="FF000000"/>
      </top>
      <bottom style="thin">
        <color rgb="FF000000"/>
      </bottom>
    </border>
    <border>
      <right style="thin">
        <color rgb="FFBFBFBF"/>
      </right>
      <top style="thin">
        <color rgb="FF000000"/>
      </top>
      <bottom style="thin">
        <color rgb="FF000000"/>
      </bottom>
    </border>
    <border>
      <top style="thin">
        <color rgb="FF000000"/>
      </top>
      <bottom style="thin">
        <color rgb="FF000000"/>
      </bottom>
    </border>
    <border>
      <left style="thin">
        <color rgb="FF000000"/>
      </left>
      <top style="thin">
        <color rgb="FF000000"/>
      </top>
      <bottom style="thin">
        <color rgb="FF000000"/>
      </bottom>
    </border>
    <border>
      <left style="thin">
        <color rgb="FF7F7F7F"/>
      </left>
      <right style="thin">
        <color rgb="FF7F7F7F"/>
      </right>
      <top style="thin">
        <color rgb="FF7F7F7F"/>
      </top>
      <bottom style="thin">
        <color rgb="FF000000"/>
      </bottom>
    </border>
    <border>
      <right style="thin">
        <color rgb="FF000000"/>
      </right>
    </border>
    <border>
      <right style="thin">
        <color rgb="FFBFBFBF"/>
      </right>
      <top style="thin">
        <color rgb="FF000000"/>
      </top>
    </border>
    <border>
      <left style="thin">
        <color rgb="FFBFBFBF"/>
      </left>
      <right style="thin">
        <color rgb="FFBFBFBF"/>
      </right>
    </border>
  </borders>
  <cellStyleXfs count="1">
    <xf borderId="0" fillId="0" fontId="0" numFmtId="0" applyAlignment="1" applyFont="1"/>
  </cellStyleXfs>
  <cellXfs count="327">
    <xf borderId="0" fillId="0" fontId="0" numFmtId="0" xfId="0" applyAlignment="1" applyFont="1">
      <alignment readingOrder="0" shrinkToFit="0" vertical="bottom" wrapText="0"/>
    </xf>
    <xf borderId="1" fillId="2" fontId="1" numFmtId="0" xfId="0" applyAlignment="1" applyBorder="1" applyFill="1" applyFont="1">
      <alignment vertical="bottom"/>
    </xf>
    <xf borderId="2" fillId="3" fontId="2" numFmtId="0" xfId="0" applyAlignment="1" applyBorder="1" applyFill="1" applyFont="1">
      <alignment horizontal="left" shrinkToFit="0" vertical="center" wrapText="1"/>
    </xf>
    <xf borderId="3" fillId="0" fontId="3" numFmtId="0" xfId="0" applyBorder="1" applyFont="1"/>
    <xf borderId="0" fillId="2" fontId="4" numFmtId="0" xfId="0" applyAlignment="1" applyFont="1">
      <alignment readingOrder="0" shrinkToFit="0" wrapText="1"/>
    </xf>
    <xf borderId="0" fillId="2" fontId="4" numFmtId="0" xfId="0" applyAlignment="1" applyFont="1">
      <alignment shrinkToFit="0" wrapText="1"/>
    </xf>
    <xf borderId="4" fillId="2" fontId="1" numFmtId="0" xfId="0" applyAlignment="1" applyBorder="1" applyFont="1">
      <alignment vertical="bottom"/>
    </xf>
    <xf borderId="0" fillId="0" fontId="5" numFmtId="0" xfId="0" applyAlignment="1" applyFont="1">
      <alignment shrinkToFit="0" wrapText="1"/>
    </xf>
    <xf borderId="5" fillId="0" fontId="6" numFmtId="0" xfId="0" applyAlignment="1" applyBorder="1" applyFont="1">
      <alignment vertical="bottom"/>
    </xf>
    <xf borderId="4" fillId="2" fontId="1" numFmtId="49" xfId="0" applyAlignment="1" applyBorder="1" applyFont="1" applyNumberFormat="1">
      <alignment shrinkToFit="0" vertical="bottom" wrapText="1"/>
    </xf>
    <xf borderId="6" fillId="0" fontId="6" numFmtId="0" xfId="0" applyAlignment="1" applyBorder="1" applyFont="1">
      <alignment vertical="bottom"/>
    </xf>
    <xf borderId="0" fillId="0" fontId="5" numFmtId="0" xfId="0" applyFont="1"/>
    <xf borderId="6" fillId="0" fontId="6" numFmtId="49" xfId="0" applyAlignment="1" applyBorder="1" applyFont="1" applyNumberFormat="1">
      <alignment shrinkToFit="0" vertical="bottom" wrapText="1"/>
    </xf>
    <xf borderId="4" fillId="2" fontId="1" numFmtId="0" xfId="0" applyAlignment="1" applyBorder="1" applyFont="1">
      <alignment shrinkToFit="0" vertical="bottom" wrapText="1"/>
    </xf>
    <xf borderId="0" fillId="2" fontId="7" numFmtId="0" xfId="0" applyAlignment="1" applyFont="1">
      <alignment vertical="bottom"/>
    </xf>
    <xf borderId="6" fillId="0" fontId="6" numFmtId="0" xfId="0" applyAlignment="1" applyBorder="1" applyFont="1">
      <alignment vertical="bottom"/>
    </xf>
    <xf borderId="7" fillId="0" fontId="6" numFmtId="0" xfId="0" applyAlignment="1" applyBorder="1" applyFont="1">
      <alignment vertical="bottom"/>
    </xf>
    <xf borderId="0" fillId="2" fontId="4" numFmtId="49" xfId="0" applyAlignment="1" applyFont="1" applyNumberFormat="1">
      <alignment shrinkToFit="0" wrapText="1"/>
    </xf>
    <xf borderId="8" fillId="0" fontId="6" numFmtId="0" xfId="0" applyAlignment="1" applyBorder="1" applyFont="1">
      <alignment vertical="bottom"/>
    </xf>
    <xf borderId="9" fillId="0" fontId="8" numFmtId="0" xfId="0" applyAlignment="1" applyBorder="1" applyFont="1">
      <alignment readingOrder="0" vertical="bottom"/>
    </xf>
    <xf borderId="8" fillId="0" fontId="9" numFmtId="0" xfId="0" applyAlignment="1" applyBorder="1" applyFont="1">
      <alignment vertical="bottom"/>
    </xf>
    <xf borderId="10" fillId="0" fontId="8" numFmtId="0" xfId="0" applyAlignment="1" applyBorder="1" applyFont="1">
      <alignment readingOrder="0" vertical="bottom"/>
    </xf>
    <xf borderId="0" fillId="2" fontId="6" numFmtId="0" xfId="0" applyAlignment="1" applyFont="1">
      <alignment shrinkToFit="0" wrapText="1"/>
    </xf>
    <xf borderId="11" fillId="3" fontId="5" numFmtId="0" xfId="0" applyAlignment="1" applyBorder="1" applyFont="1">
      <alignment horizontal="center" shrinkToFit="0" vertical="center" wrapText="1"/>
    </xf>
    <xf borderId="12" fillId="0" fontId="3" numFmtId="0" xfId="0" applyBorder="1" applyFont="1"/>
    <xf borderId="9" fillId="0" fontId="9" numFmtId="0" xfId="0" applyAlignment="1" applyBorder="1" applyFont="1">
      <alignment vertical="bottom"/>
    </xf>
    <xf borderId="10" fillId="0" fontId="9" numFmtId="0" xfId="0" applyAlignment="1" applyBorder="1" applyFont="1">
      <alignment horizontal="right" vertical="bottom"/>
    </xf>
    <xf borderId="10" fillId="0" fontId="9" numFmtId="0" xfId="0" applyAlignment="1" applyBorder="1" applyFont="1">
      <alignment vertical="bottom"/>
    </xf>
    <xf borderId="10" fillId="0" fontId="9" numFmtId="0" xfId="0" applyAlignment="1" applyBorder="1" applyFont="1">
      <alignment vertical="bottom"/>
    </xf>
    <xf borderId="0" fillId="0" fontId="10" numFmtId="0" xfId="0" applyAlignment="1" applyFont="1">
      <alignment shrinkToFit="0" wrapText="1"/>
    </xf>
    <xf borderId="0" fillId="0" fontId="9" numFmtId="0" xfId="0" applyAlignment="1" applyFont="1">
      <alignment vertical="bottom"/>
    </xf>
    <xf borderId="0" fillId="0" fontId="10" numFmtId="49" xfId="0" applyAlignment="1" applyFont="1" applyNumberFormat="1">
      <alignment shrinkToFit="0" wrapText="1"/>
    </xf>
    <xf borderId="11" fillId="3" fontId="5" numFmtId="0" xfId="0" applyAlignment="1" applyBorder="1" applyFont="1">
      <alignment horizontal="left" shrinkToFit="0" vertical="center" wrapText="1"/>
    </xf>
    <xf borderId="10" fillId="0" fontId="8" numFmtId="0" xfId="0" applyAlignment="1" applyBorder="1" applyFont="1">
      <alignment vertical="bottom"/>
    </xf>
    <xf borderId="10" fillId="0" fontId="7" numFmtId="0" xfId="0" applyAlignment="1" applyBorder="1" applyFont="1">
      <alignment vertical="bottom"/>
    </xf>
    <xf borderId="0" fillId="0" fontId="7" numFmtId="0" xfId="0" applyAlignment="1" applyFont="1">
      <alignment vertical="bottom"/>
    </xf>
    <xf borderId="0" fillId="4" fontId="11" numFmtId="0" xfId="0" applyAlignment="1" applyFill="1" applyFont="1">
      <alignment readingOrder="0"/>
    </xf>
    <xf borderId="13" fillId="0" fontId="9" numFmtId="0" xfId="0" applyAlignment="1" applyBorder="1" applyFont="1">
      <alignment vertical="bottom"/>
    </xf>
    <xf borderId="14" fillId="3" fontId="12" numFmtId="0" xfId="0" applyAlignment="1" applyBorder="1" applyFont="1">
      <alignment horizontal="left" shrinkToFit="0" vertical="top" wrapText="1"/>
    </xf>
    <xf borderId="15" fillId="0" fontId="9" numFmtId="0" xfId="0" applyAlignment="1" applyBorder="1" applyFont="1">
      <alignment horizontal="right" vertical="bottom"/>
    </xf>
    <xf borderId="16" fillId="0" fontId="3" numFmtId="0" xfId="0" applyBorder="1" applyFont="1"/>
    <xf borderId="15" fillId="0" fontId="9" numFmtId="0" xfId="0" applyAlignment="1" applyBorder="1" applyFont="1">
      <alignment vertical="bottom"/>
    </xf>
    <xf borderId="15" fillId="0" fontId="9" numFmtId="0" xfId="0" applyAlignment="1" applyBorder="1" applyFont="1">
      <alignment vertical="bottom"/>
    </xf>
    <xf borderId="17" fillId="0" fontId="9" numFmtId="0" xfId="0" applyAlignment="1" applyBorder="1" applyFont="1">
      <alignment vertical="bottom"/>
    </xf>
    <xf borderId="18" fillId="0" fontId="9" numFmtId="0" xfId="0" applyAlignment="1" applyBorder="1" applyFont="1">
      <alignment horizontal="right" readingOrder="0" vertical="bottom"/>
    </xf>
    <xf borderId="18" fillId="0" fontId="9" numFmtId="0" xfId="0" applyAlignment="1" applyBorder="1" applyFont="1">
      <alignment readingOrder="0" vertical="bottom"/>
    </xf>
    <xf borderId="19" fillId="2" fontId="13" numFmtId="0" xfId="0" applyBorder="1" applyFont="1"/>
    <xf borderId="20" fillId="0" fontId="9" numFmtId="0" xfId="0" applyAlignment="1" applyBorder="1" applyFont="1">
      <alignment readingOrder="0" vertical="bottom"/>
    </xf>
    <xf borderId="19" fillId="2" fontId="13" numFmtId="0" xfId="0" applyAlignment="1" applyBorder="1" applyFont="1">
      <alignment shrinkToFit="0" wrapText="1"/>
    </xf>
    <xf borderId="21" fillId="0" fontId="9" numFmtId="0" xfId="0" applyAlignment="1" applyBorder="1" applyFont="1">
      <alignment vertical="bottom"/>
    </xf>
    <xf borderId="21" fillId="0" fontId="9" numFmtId="0" xfId="0" applyAlignment="1" applyBorder="1" applyFont="1">
      <alignment readingOrder="0" vertical="bottom"/>
    </xf>
    <xf borderId="19" fillId="2" fontId="1" numFmtId="0" xfId="0" applyAlignment="1" applyBorder="1" applyFont="1">
      <alignment shrinkToFit="0" wrapText="1"/>
    </xf>
    <xf borderId="10" fillId="0" fontId="9" numFmtId="0" xfId="0" applyAlignment="1" applyBorder="1" applyFont="1">
      <alignment horizontal="right" readingOrder="0" vertical="bottom"/>
    </xf>
    <xf borderId="22" fillId="0" fontId="9" numFmtId="0" xfId="0" applyAlignment="1" applyBorder="1" applyFont="1">
      <alignment readingOrder="0" vertical="bottom"/>
    </xf>
    <xf borderId="23" fillId="0" fontId="9" numFmtId="0" xfId="0" applyAlignment="1" applyBorder="1" applyFont="1">
      <alignment readingOrder="0" vertical="bottom"/>
    </xf>
    <xf borderId="0" fillId="0" fontId="9" numFmtId="0" xfId="0" applyAlignment="1" applyFont="1">
      <alignment readingOrder="0" vertical="bottom"/>
    </xf>
    <xf borderId="0" fillId="0" fontId="10" numFmtId="0" xfId="0" applyAlignment="1" applyFont="1">
      <alignment readingOrder="0" shrinkToFit="0" wrapText="1"/>
    </xf>
    <xf borderId="0" fillId="0" fontId="10" numFmtId="49" xfId="0" applyAlignment="1" applyFont="1" applyNumberFormat="1">
      <alignment readingOrder="0" shrinkToFit="0" wrapText="1"/>
    </xf>
    <xf borderId="24" fillId="2" fontId="13" numFmtId="0" xfId="0" applyBorder="1" applyFont="1"/>
    <xf borderId="25" fillId="3" fontId="5" numFmtId="0" xfId="0" applyAlignment="1" applyBorder="1" applyFont="1">
      <alignment horizontal="left" shrinkToFit="0" vertical="top" wrapText="1"/>
    </xf>
    <xf borderId="24" fillId="3" fontId="5" numFmtId="0" xfId="0" applyAlignment="1" applyBorder="1" applyFont="1">
      <alignment shrinkToFit="0" vertical="top" wrapText="1"/>
    </xf>
    <xf borderId="22" fillId="0" fontId="9" numFmtId="0" xfId="0" applyAlignment="1" applyBorder="1" applyFont="1">
      <alignment vertical="bottom"/>
    </xf>
    <xf borderId="23" fillId="0" fontId="9" numFmtId="0" xfId="0" applyAlignment="1" applyBorder="1" applyFont="1">
      <alignment vertical="bottom"/>
    </xf>
    <xf borderId="0" fillId="0" fontId="10" numFmtId="0" xfId="0" applyAlignment="1" applyFont="1">
      <alignment shrinkToFit="0" vertical="bottom" wrapText="1"/>
    </xf>
    <xf borderId="0" fillId="5" fontId="9" numFmtId="0" xfId="0" applyAlignment="1" applyFill="1" applyFont="1">
      <alignment readingOrder="0" shrinkToFit="0" vertical="bottom" wrapText="1"/>
    </xf>
    <xf borderId="0" fillId="6" fontId="9" numFmtId="0" xfId="0" applyAlignment="1" applyFill="1" applyFont="1">
      <alignment readingOrder="0" shrinkToFit="0" vertical="bottom" wrapText="1"/>
    </xf>
    <xf borderId="0" fillId="5" fontId="9" numFmtId="0" xfId="0" applyAlignment="1" applyFont="1">
      <alignment shrinkToFit="0" vertical="bottom" wrapText="1"/>
    </xf>
    <xf borderId="24" fillId="3" fontId="5" numFmtId="0" xfId="0" applyAlignment="1" applyBorder="1" applyFont="1">
      <alignment horizontal="left" shrinkToFit="0" vertical="top" wrapText="1"/>
    </xf>
    <xf borderId="0" fillId="6" fontId="9" numFmtId="0" xfId="0" applyAlignment="1" applyFont="1">
      <alignment shrinkToFit="0" vertical="bottom" wrapText="1"/>
    </xf>
    <xf borderId="0" fillId="5" fontId="9" numFmtId="0" xfId="0" applyAlignment="1" applyFont="1">
      <alignment shrinkToFit="0" vertical="bottom" wrapText="1"/>
    </xf>
    <xf borderId="25" fillId="3" fontId="5" numFmtId="0" xfId="0" applyAlignment="1" applyBorder="1" applyFont="1">
      <alignment vertical="top"/>
    </xf>
    <xf borderId="25" fillId="3" fontId="5" numFmtId="0" xfId="0" applyAlignment="1" applyBorder="1" applyFont="1">
      <alignment shrinkToFit="0" vertical="top" wrapText="1"/>
    </xf>
    <xf borderId="0" fillId="6" fontId="9" numFmtId="0" xfId="0" applyAlignment="1" applyFont="1">
      <alignment shrinkToFit="0" vertical="bottom" wrapText="1"/>
    </xf>
    <xf borderId="0" fillId="0" fontId="14" numFmtId="0" xfId="0" applyFont="1"/>
    <xf borderId="25" fillId="3" fontId="15" numFmtId="0" xfId="0" applyAlignment="1" applyBorder="1" applyFont="1">
      <alignment vertical="top"/>
    </xf>
    <xf borderId="0" fillId="0" fontId="9" numFmtId="0" xfId="0" applyAlignment="1" applyFont="1">
      <alignment shrinkToFit="0" vertical="bottom" wrapText="1"/>
    </xf>
    <xf borderId="25" fillId="3" fontId="16" numFmtId="0" xfId="0" applyAlignment="1" applyBorder="1" applyFont="1">
      <alignment shrinkToFit="0" vertical="top" wrapText="1"/>
    </xf>
    <xf borderId="13" fillId="0" fontId="9" numFmtId="0" xfId="0" applyAlignment="1" applyBorder="1" applyFont="1">
      <alignment vertical="bottom"/>
    </xf>
    <xf borderId="26" fillId="3" fontId="17" numFmtId="0" xfId="0" applyAlignment="1" applyBorder="1" applyFont="1">
      <alignment horizontal="left" shrinkToFit="0" vertical="center" wrapText="1"/>
    </xf>
    <xf borderId="27" fillId="3" fontId="18" numFmtId="0" xfId="0" applyAlignment="1" applyBorder="1" applyFont="1">
      <alignment horizontal="left" shrinkToFit="0" vertical="center" wrapText="1"/>
    </xf>
    <xf borderId="11" fillId="3" fontId="19" numFmtId="0" xfId="0" applyAlignment="1" applyBorder="1" applyFont="1">
      <alignment horizontal="left" shrinkToFit="0" vertical="top" wrapText="1"/>
    </xf>
    <xf borderId="25" fillId="3" fontId="20" numFmtId="49" xfId="0" applyAlignment="1" applyBorder="1" applyFont="1" applyNumberFormat="1">
      <alignment shrinkToFit="0" vertical="top" wrapText="1"/>
    </xf>
    <xf borderId="8" fillId="0" fontId="9" numFmtId="0" xfId="0" applyAlignment="1" applyBorder="1" applyFont="1">
      <alignment shrinkToFit="0" vertical="bottom" wrapText="0"/>
    </xf>
    <xf borderId="28" fillId="7" fontId="21" numFmtId="0" xfId="0" applyAlignment="1" applyBorder="1" applyFill="1" applyFont="1">
      <alignment horizontal="left"/>
    </xf>
    <xf borderId="29" fillId="0" fontId="3" numFmtId="0" xfId="0" applyBorder="1" applyFont="1"/>
    <xf borderId="30" fillId="7" fontId="5" numFmtId="0" xfId="0" applyAlignment="1" applyBorder="1" applyFont="1">
      <alignment shrinkToFit="0" wrapText="1"/>
    </xf>
    <xf borderId="30" fillId="7" fontId="5" numFmtId="0" xfId="0" applyBorder="1" applyFont="1"/>
    <xf borderId="1" fillId="2" fontId="13" numFmtId="0" xfId="0" applyBorder="1" applyFont="1"/>
    <xf borderId="1" fillId="2" fontId="13" numFmtId="0" xfId="0" applyAlignment="1" applyBorder="1" applyFont="1">
      <alignment shrinkToFit="0" wrapText="1"/>
    </xf>
    <xf borderId="24" fillId="7" fontId="5" numFmtId="0" xfId="0" applyBorder="1" applyFont="1"/>
    <xf borderId="19" fillId="3" fontId="5" numFmtId="0" xfId="0" applyAlignment="1" applyBorder="1" applyFont="1">
      <alignment horizontal="left" shrinkToFit="0" vertical="top" wrapText="1"/>
    </xf>
    <xf borderId="30" fillId="7" fontId="22" numFmtId="0" xfId="0" applyAlignment="1" applyBorder="1" applyFont="1">
      <alignment horizontal="left" vertical="top"/>
    </xf>
    <xf borderId="30" fillId="7" fontId="5" numFmtId="0" xfId="0" applyAlignment="1" applyBorder="1" applyFont="1">
      <alignment horizontal="left" vertical="top"/>
    </xf>
    <xf borderId="30" fillId="7" fontId="5" numFmtId="0" xfId="0" applyAlignment="1" applyBorder="1" applyFont="1">
      <alignment horizontal="left" shrinkToFit="0" vertical="top" wrapText="1"/>
    </xf>
    <xf borderId="9" fillId="0" fontId="9" numFmtId="0" xfId="0" applyAlignment="1" applyBorder="1" applyFont="1">
      <alignment vertical="bottom"/>
    </xf>
    <xf borderId="10" fillId="0" fontId="9" numFmtId="0" xfId="0" applyAlignment="1" applyBorder="1" applyFont="1">
      <alignment horizontal="right" vertical="bottom"/>
    </xf>
    <xf borderId="31" fillId="0" fontId="9" numFmtId="0" xfId="0" applyAlignment="1" applyBorder="1" applyFont="1">
      <alignment shrinkToFit="0" vertical="bottom" wrapText="0"/>
    </xf>
    <xf borderId="19" fillId="3" fontId="5" numFmtId="0" xfId="0" applyAlignment="1" applyBorder="1" applyFont="1">
      <alignment vertical="top"/>
    </xf>
    <xf borderId="0" fillId="0" fontId="9" numFmtId="0" xfId="0" applyAlignment="1" applyFont="1">
      <alignment horizontal="right" vertical="bottom"/>
    </xf>
    <xf borderId="0" fillId="8" fontId="9" numFmtId="0" xfId="0" applyAlignment="1" applyFill="1" applyFont="1">
      <alignment shrinkToFit="0" vertical="bottom" wrapText="1"/>
    </xf>
    <xf borderId="0" fillId="9" fontId="9" numFmtId="49" xfId="0" applyAlignment="1" applyFill="1" applyFont="1" applyNumberFormat="1">
      <alignment shrinkToFit="0" vertical="bottom" wrapText="1"/>
    </xf>
    <xf borderId="0" fillId="8" fontId="9" numFmtId="49" xfId="0" applyAlignment="1" applyFont="1" applyNumberFormat="1">
      <alignment shrinkToFit="0" vertical="bottom" wrapText="1"/>
    </xf>
    <xf borderId="0" fillId="8" fontId="9" numFmtId="0" xfId="0" applyAlignment="1" applyFont="1">
      <alignment shrinkToFit="0" vertical="bottom" wrapText="1"/>
    </xf>
    <xf borderId="25" fillId="3" fontId="5" numFmtId="0" xfId="0" applyAlignment="1" applyBorder="1" applyFont="1">
      <alignment horizontal="left" vertical="top"/>
    </xf>
    <xf borderId="32" fillId="0" fontId="9" numFmtId="0" xfId="0" applyAlignment="1" applyBorder="1" applyFont="1">
      <alignment horizontal="right" readingOrder="0" vertical="bottom"/>
    </xf>
    <xf borderId="0" fillId="0" fontId="10" numFmtId="0" xfId="0" applyAlignment="1" applyFont="1">
      <alignment readingOrder="0" shrinkToFit="0" vertical="bottom" wrapText="1"/>
    </xf>
    <xf borderId="10" fillId="0" fontId="9" numFmtId="0" xfId="0" applyAlignment="1" applyBorder="1" applyFont="1">
      <alignment readingOrder="0" vertical="bottom"/>
    </xf>
    <xf borderId="32" fillId="0" fontId="9" numFmtId="0" xfId="0" applyAlignment="1" applyBorder="1" applyFont="1">
      <alignment vertical="bottom"/>
    </xf>
    <xf borderId="25" fillId="3" fontId="23" numFmtId="0" xfId="0" applyAlignment="1" applyBorder="1" applyFont="1">
      <alignment horizontal="left" vertical="top"/>
    </xf>
    <xf borderId="0" fillId="0" fontId="9" numFmtId="0" xfId="0" applyAlignment="1" applyFont="1">
      <alignment horizontal="right" readingOrder="0" vertical="bottom"/>
    </xf>
    <xf borderId="25" fillId="3" fontId="24" numFmtId="0" xfId="0" applyAlignment="1" applyBorder="1" applyFont="1">
      <alignment horizontal="left" shrinkToFit="0" vertical="top" wrapText="1"/>
    </xf>
    <xf borderId="15" fillId="0" fontId="9" numFmtId="0" xfId="0" applyAlignment="1" applyBorder="1" applyFont="1">
      <alignment horizontal="right" vertical="bottom"/>
    </xf>
    <xf borderId="8" fillId="0" fontId="9" numFmtId="0" xfId="0" applyAlignment="1" applyBorder="1" applyFont="1">
      <alignment vertical="bottom"/>
    </xf>
    <xf borderId="8" fillId="0" fontId="9" numFmtId="0" xfId="0" applyAlignment="1" applyBorder="1" applyFont="1">
      <alignment horizontal="right" vertical="bottom"/>
    </xf>
    <xf borderId="0" fillId="0" fontId="9" numFmtId="0" xfId="0" applyAlignment="1" applyFont="1">
      <alignment vertical="bottom"/>
    </xf>
    <xf borderId="0" fillId="0" fontId="9" numFmtId="0" xfId="0" applyAlignment="1" applyFont="1">
      <alignment horizontal="right" vertical="bottom"/>
    </xf>
    <xf borderId="0" fillId="0" fontId="10" numFmtId="0" xfId="0" applyAlignment="1" applyFont="1">
      <alignment horizontal="left" readingOrder="0"/>
    </xf>
    <xf borderId="21" fillId="0" fontId="25" numFmtId="0" xfId="0" applyAlignment="1" applyBorder="1" applyFont="1">
      <alignment vertical="bottom"/>
    </xf>
    <xf borderId="0" fillId="0" fontId="25" numFmtId="0" xfId="0" applyAlignment="1" applyFont="1">
      <alignment vertical="bottom"/>
    </xf>
    <xf borderId="0" fillId="0" fontId="10" numFmtId="0" xfId="0" applyAlignment="1" applyFont="1">
      <alignment horizontal="left" readingOrder="0" shrinkToFit="0" vertical="bottom" wrapText="1"/>
    </xf>
    <xf borderId="0" fillId="0" fontId="26" numFmtId="0" xfId="0" applyFont="1"/>
    <xf borderId="0" fillId="0" fontId="9" numFmtId="0" xfId="0" applyAlignment="1" applyFont="1">
      <alignment shrinkToFit="0" wrapText="1"/>
    </xf>
    <xf borderId="0" fillId="10" fontId="9" numFmtId="0" xfId="0" applyAlignment="1" applyFill="1" applyFont="1">
      <alignment readingOrder="0" shrinkToFit="0" vertical="bottom" wrapText="1"/>
    </xf>
    <xf borderId="17" fillId="0" fontId="9" numFmtId="0" xfId="0" applyAlignment="1" applyBorder="1" applyFont="1">
      <alignment vertical="bottom"/>
    </xf>
    <xf borderId="0" fillId="11" fontId="9" numFmtId="0" xfId="0" applyAlignment="1" applyFill="1" applyFont="1">
      <alignment readingOrder="0" shrinkToFit="0" vertical="bottom" wrapText="1"/>
    </xf>
    <xf borderId="0" fillId="11" fontId="9" numFmtId="49" xfId="0" applyAlignment="1" applyFont="1" applyNumberFormat="1">
      <alignment shrinkToFit="0" vertical="bottom" wrapText="1"/>
    </xf>
    <xf borderId="18" fillId="0" fontId="9" numFmtId="0" xfId="0" applyAlignment="1" applyBorder="1" applyFont="1">
      <alignment horizontal="right" vertical="bottom"/>
    </xf>
    <xf borderId="0" fillId="11" fontId="9" numFmtId="49" xfId="0" applyAlignment="1" applyFont="1" applyNumberFormat="1">
      <alignment readingOrder="0" shrinkToFit="0" vertical="bottom" wrapText="1"/>
    </xf>
    <xf borderId="0" fillId="10" fontId="9" numFmtId="0" xfId="0" applyAlignment="1" applyFont="1">
      <alignment shrinkToFit="0" vertical="bottom" wrapText="1"/>
    </xf>
    <xf borderId="33" fillId="0" fontId="9" numFmtId="0" xfId="0" applyAlignment="1" applyBorder="1" applyFont="1">
      <alignment vertical="bottom"/>
    </xf>
    <xf borderId="0" fillId="11" fontId="9" numFmtId="0" xfId="0" applyAlignment="1" applyFont="1">
      <alignment shrinkToFit="0" vertical="bottom" wrapText="1"/>
    </xf>
    <xf borderId="0" fillId="10" fontId="9" numFmtId="0" xfId="0" applyAlignment="1" applyFont="1">
      <alignment shrinkToFit="0" vertical="bottom" wrapText="1"/>
    </xf>
    <xf borderId="20" fillId="0" fontId="9" numFmtId="0" xfId="0" applyAlignment="1" applyBorder="1" applyFont="1">
      <alignment vertical="bottom"/>
    </xf>
    <xf borderId="18" fillId="0" fontId="9" numFmtId="0" xfId="0" applyAlignment="1" applyBorder="1" applyFont="1">
      <alignment vertical="bottom"/>
    </xf>
    <xf borderId="0" fillId="9" fontId="9" numFmtId="0" xfId="0" applyAlignment="1" applyFont="1">
      <alignment readingOrder="0" shrinkToFit="0" vertical="bottom" wrapText="1"/>
    </xf>
    <xf borderId="23" fillId="0" fontId="9" numFmtId="0" xfId="0" applyAlignment="1" applyBorder="1" applyFont="1">
      <alignment vertical="bottom"/>
    </xf>
    <xf borderId="18" fillId="0" fontId="9" numFmtId="0" xfId="0" applyAlignment="1" applyBorder="1" applyFont="1">
      <alignment vertical="bottom"/>
    </xf>
    <xf borderId="34" fillId="3" fontId="27" numFmtId="0" xfId="0" applyAlignment="1" applyBorder="1" applyFont="1">
      <alignment horizontal="left" shrinkToFit="0" vertical="center" wrapText="1"/>
    </xf>
    <xf borderId="35" fillId="0" fontId="3" numFmtId="0" xfId="0" applyBorder="1" applyFont="1"/>
    <xf borderId="0" fillId="0" fontId="5" numFmtId="0" xfId="0" applyAlignment="1" applyFont="1">
      <alignment horizontal="left" shrinkToFit="0" vertical="center" wrapText="1"/>
    </xf>
    <xf borderId="36" fillId="3" fontId="5" numFmtId="0" xfId="0" applyAlignment="1" applyBorder="1" applyFont="1">
      <alignment horizontal="center" shrinkToFit="0" vertical="center" wrapText="1"/>
    </xf>
    <xf borderId="37" fillId="0" fontId="3" numFmtId="0" xfId="0" applyBorder="1" applyFont="1"/>
    <xf borderId="0" fillId="8" fontId="9" numFmtId="0" xfId="0" applyAlignment="1" applyFont="1">
      <alignment readingOrder="0" shrinkToFit="0" vertical="bottom" wrapText="1"/>
    </xf>
    <xf borderId="0" fillId="8" fontId="9" numFmtId="0" xfId="0" applyAlignment="1" applyFont="1">
      <alignment shrinkToFit="0" vertical="bottom" wrapText="1"/>
    </xf>
    <xf borderId="38" fillId="3" fontId="5" numFmtId="0" xfId="0" applyAlignment="1" applyBorder="1" applyFont="1">
      <alignment horizontal="left" shrinkToFit="0" vertical="center" wrapText="1"/>
    </xf>
    <xf borderId="39" fillId="0" fontId="3" numFmtId="0" xfId="0" applyBorder="1" applyFont="1"/>
    <xf borderId="0" fillId="9" fontId="9" numFmtId="0" xfId="0" applyAlignment="1" applyFont="1">
      <alignment shrinkToFit="0" vertical="bottom" wrapText="1"/>
    </xf>
    <xf borderId="0" fillId="10" fontId="28" numFmtId="0" xfId="0" applyAlignment="1" applyFont="1">
      <alignment vertical="bottom"/>
    </xf>
    <xf borderId="0" fillId="11" fontId="28" numFmtId="0" xfId="0" applyAlignment="1" applyFont="1">
      <alignment vertical="bottom"/>
    </xf>
    <xf borderId="0" fillId="11" fontId="29" numFmtId="49" xfId="0" applyAlignment="1" applyFont="1" applyNumberFormat="1">
      <alignment vertical="bottom"/>
    </xf>
    <xf borderId="0" fillId="10" fontId="29" numFmtId="0" xfId="0" applyAlignment="1" applyFont="1">
      <alignment vertical="bottom"/>
    </xf>
    <xf borderId="0" fillId="11" fontId="29" numFmtId="0" xfId="0" applyAlignment="1" applyFont="1">
      <alignment vertical="bottom"/>
    </xf>
    <xf borderId="0" fillId="11" fontId="28" numFmtId="0" xfId="0" applyAlignment="1" applyFont="1">
      <alignment vertical="bottom"/>
    </xf>
    <xf borderId="0" fillId="10" fontId="29" numFmtId="0" xfId="0" applyAlignment="1" applyFont="1">
      <alignment vertical="bottom"/>
    </xf>
    <xf borderId="25" fillId="2" fontId="13" numFmtId="0" xfId="0" applyAlignment="1" applyBorder="1" applyFont="1">
      <alignment horizontal="left" shrinkToFit="0" vertical="center" wrapText="1"/>
    </xf>
    <xf borderId="0" fillId="0" fontId="29" numFmtId="0" xfId="0" applyAlignment="1" applyFont="1">
      <alignment vertical="bottom"/>
    </xf>
    <xf borderId="25" fillId="2" fontId="1" numFmtId="0" xfId="0" applyAlignment="1" applyBorder="1" applyFont="1">
      <alignment horizontal="left" shrinkToFit="0" vertical="center" wrapText="1"/>
    </xf>
    <xf borderId="25" fillId="2" fontId="13" numFmtId="0" xfId="0" applyBorder="1" applyFont="1"/>
    <xf borderId="25" fillId="2" fontId="13" numFmtId="0" xfId="0" applyAlignment="1" applyBorder="1" applyFont="1">
      <alignment shrinkToFit="0" wrapText="1"/>
    </xf>
    <xf borderId="25" fillId="3" fontId="5" numFmtId="49" xfId="0" applyAlignment="1" applyBorder="1" applyFont="1" applyNumberFormat="1">
      <alignment shrinkToFit="0" vertical="top" wrapText="1"/>
    </xf>
    <xf borderId="0" fillId="0" fontId="5" numFmtId="49" xfId="0" applyAlignment="1" applyFont="1" applyNumberFormat="1">
      <alignment horizontal="left" shrinkToFit="0" vertical="center" wrapText="1"/>
    </xf>
    <xf borderId="22" fillId="0" fontId="9" numFmtId="0" xfId="0" applyAlignment="1" applyBorder="1" applyFont="1">
      <alignment vertical="bottom"/>
    </xf>
    <xf borderId="32" fillId="0" fontId="9" numFmtId="0" xfId="0" applyAlignment="1" applyBorder="1" applyFont="1">
      <alignment vertical="bottom"/>
    </xf>
    <xf borderId="0" fillId="6" fontId="9" numFmtId="49" xfId="0" applyAlignment="1" applyFont="1" applyNumberFormat="1">
      <alignment shrinkToFit="0" vertical="bottom" wrapText="1"/>
    </xf>
    <xf borderId="40" fillId="7" fontId="5" numFmtId="0" xfId="0" applyAlignment="1" applyBorder="1" applyFont="1">
      <alignment horizontal="left" shrinkToFit="0" vertical="top" wrapText="1"/>
    </xf>
    <xf borderId="0" fillId="12" fontId="9" numFmtId="0" xfId="0" applyAlignment="1" applyFill="1" applyFont="1">
      <alignment shrinkToFit="0" vertical="bottom" wrapText="1"/>
    </xf>
    <xf borderId="0" fillId="13" fontId="9" numFmtId="49" xfId="0" applyAlignment="1" applyFill="1" applyFont="1" applyNumberFormat="1">
      <alignment shrinkToFit="0" vertical="bottom" wrapText="1"/>
    </xf>
    <xf borderId="0" fillId="12" fontId="9" numFmtId="0" xfId="0" applyAlignment="1" applyFont="1">
      <alignment shrinkToFit="0" vertical="bottom" wrapText="1"/>
    </xf>
    <xf borderId="0" fillId="13" fontId="9" numFmtId="0" xfId="0" applyAlignment="1" applyFont="1">
      <alignment shrinkToFit="0" vertical="bottom" wrapText="1"/>
    </xf>
    <xf borderId="0" fillId="9" fontId="9" numFmtId="0" xfId="0" applyAlignment="1" applyFont="1">
      <alignment shrinkToFit="0" vertical="bottom" wrapText="1"/>
    </xf>
    <xf borderId="0" fillId="2" fontId="30" numFmtId="0" xfId="0" applyAlignment="1" applyFont="1">
      <alignment shrinkToFit="0" vertical="bottom" wrapText="1"/>
    </xf>
    <xf borderId="0" fillId="2" fontId="30" numFmtId="49" xfId="0" applyAlignment="1" applyFont="1" applyNumberFormat="1">
      <alignment shrinkToFit="0" vertical="bottom" wrapText="1"/>
    </xf>
    <xf borderId="0" fillId="0" fontId="8" numFmtId="0" xfId="0" applyAlignment="1" applyFont="1">
      <alignment vertical="bottom"/>
    </xf>
    <xf borderId="0" fillId="8" fontId="9" numFmtId="49" xfId="0" applyAlignment="1" applyFont="1" applyNumberFormat="1">
      <alignment readingOrder="0" shrinkToFit="0" vertical="bottom" wrapText="1"/>
    </xf>
    <xf borderId="0" fillId="0" fontId="8" numFmtId="49" xfId="0" applyAlignment="1" applyFont="1" applyNumberFormat="1">
      <alignment vertical="bottom"/>
    </xf>
    <xf borderId="0" fillId="0" fontId="8" numFmtId="0" xfId="0" applyAlignment="1" applyFont="1">
      <alignment horizontal="right" vertical="bottom"/>
    </xf>
    <xf borderId="0" fillId="0" fontId="8" numFmtId="0" xfId="0" applyAlignment="1" applyFont="1">
      <alignment shrinkToFit="0" vertical="bottom" wrapText="0"/>
    </xf>
    <xf borderId="0" fillId="9" fontId="9" numFmtId="49" xfId="0" applyAlignment="1" applyFont="1" applyNumberFormat="1">
      <alignment readingOrder="0" shrinkToFit="0" vertical="bottom" wrapText="1"/>
    </xf>
    <xf borderId="0" fillId="14" fontId="9" numFmtId="0" xfId="0" applyAlignment="1" applyFill="1" applyFont="1">
      <alignment readingOrder="0" shrinkToFit="0" vertical="bottom" wrapText="1"/>
    </xf>
    <xf borderId="0" fillId="5" fontId="9" numFmtId="0" xfId="0" applyAlignment="1" applyFont="1">
      <alignment shrinkToFit="0" vertical="top" wrapText="1"/>
    </xf>
    <xf borderId="0" fillId="15" fontId="25" numFmtId="0" xfId="0" applyAlignment="1" applyFill="1" applyFont="1">
      <alignment shrinkToFit="0" vertical="bottom" wrapText="1"/>
    </xf>
    <xf borderId="0" fillId="15" fontId="8" numFmtId="49" xfId="0" applyAlignment="1" applyFont="1" applyNumberFormat="1">
      <alignment vertical="bottom"/>
    </xf>
    <xf borderId="0" fillId="0" fontId="8" numFmtId="0" xfId="0" applyAlignment="1" applyFont="1">
      <alignment horizontal="right" readingOrder="0" vertical="bottom"/>
    </xf>
    <xf borderId="0" fillId="15" fontId="25" numFmtId="49" xfId="0" applyAlignment="1" applyFont="1" applyNumberFormat="1">
      <alignment shrinkToFit="0" vertical="bottom" wrapText="1"/>
    </xf>
    <xf borderId="1" fillId="0" fontId="9" numFmtId="0" xfId="0" applyAlignment="1" applyBorder="1" applyFont="1">
      <alignment vertical="bottom"/>
    </xf>
    <xf borderId="4" fillId="0" fontId="9" numFmtId="0" xfId="0" applyAlignment="1" applyBorder="1" applyFont="1">
      <alignment horizontal="right" vertical="bottom"/>
    </xf>
    <xf borderId="4" fillId="0" fontId="9" numFmtId="0" xfId="0" applyAlignment="1" applyBorder="1" applyFont="1">
      <alignment vertical="bottom"/>
    </xf>
    <xf borderId="4" fillId="0" fontId="9" numFmtId="0" xfId="0" applyAlignment="1" applyBorder="1" applyFont="1">
      <alignment vertical="bottom"/>
    </xf>
    <xf borderId="0" fillId="8" fontId="25" numFmtId="0" xfId="0" applyAlignment="1" applyFont="1">
      <alignment shrinkToFit="0" vertical="bottom" wrapText="1"/>
    </xf>
    <xf borderId="0" fillId="9" fontId="25" numFmtId="49" xfId="0" applyAlignment="1" applyFont="1" applyNumberFormat="1">
      <alignment shrinkToFit="0" vertical="bottom" wrapText="1"/>
    </xf>
    <xf borderId="0" fillId="8" fontId="8" numFmtId="49" xfId="0" applyAlignment="1" applyFont="1" applyNumberFormat="1">
      <alignment vertical="bottom"/>
    </xf>
    <xf borderId="31" fillId="0" fontId="9" numFmtId="0" xfId="0" applyAlignment="1" applyBorder="1" applyFont="1">
      <alignment vertical="bottom"/>
    </xf>
    <xf borderId="0" fillId="10" fontId="9" numFmtId="49" xfId="0" applyAlignment="1" applyFont="1" applyNumberFormat="1">
      <alignment readingOrder="0" shrinkToFit="0" vertical="bottom" wrapText="1"/>
    </xf>
    <xf borderId="0" fillId="4" fontId="9" numFmtId="0" xfId="0" applyAlignment="1" applyFont="1">
      <alignment readingOrder="0" shrinkToFit="0" vertical="bottom" wrapText="1"/>
    </xf>
    <xf borderId="0" fillId="10" fontId="9" numFmtId="49" xfId="0" applyAlignment="1" applyFont="1" applyNumberFormat="1">
      <alignment shrinkToFit="0" vertical="bottom" wrapText="1"/>
    </xf>
    <xf borderId="0" fillId="16" fontId="25" numFmtId="0" xfId="0" applyAlignment="1" applyFill="1" applyFont="1">
      <alignment shrinkToFit="0" vertical="bottom" wrapText="1"/>
    </xf>
    <xf borderId="0" fillId="17" fontId="25" numFmtId="49" xfId="0" applyAlignment="1" applyFill="1" applyFont="1" applyNumberFormat="1">
      <alignment shrinkToFit="0" vertical="bottom" wrapText="1"/>
    </xf>
    <xf borderId="0" fillId="16" fontId="25" numFmtId="49" xfId="0" applyAlignment="1" applyFont="1" applyNumberFormat="1">
      <alignment shrinkToFit="0" vertical="bottom" wrapText="1"/>
    </xf>
    <xf borderId="0" fillId="16" fontId="8" numFmtId="49" xfId="0" applyAlignment="1" applyFont="1" applyNumberFormat="1">
      <alignment vertical="bottom"/>
    </xf>
    <xf borderId="0" fillId="0" fontId="9" numFmtId="49" xfId="0" applyAlignment="1" applyFont="1" applyNumberFormat="1">
      <alignment shrinkToFit="0" vertical="bottom" wrapText="1"/>
    </xf>
    <xf borderId="24" fillId="7" fontId="31" numFmtId="0" xfId="0" applyBorder="1" applyFont="1"/>
    <xf borderId="0" fillId="18" fontId="9" numFmtId="0" xfId="0" applyAlignment="1" applyFill="1" applyFont="1">
      <alignment shrinkToFit="0" vertical="bottom" wrapText="1"/>
    </xf>
    <xf borderId="0" fillId="19" fontId="9" numFmtId="0" xfId="0" applyAlignment="1" applyFill="1" applyFont="1">
      <alignment shrinkToFit="0" vertical="bottom" wrapText="1"/>
    </xf>
    <xf borderId="0" fillId="19" fontId="9" numFmtId="49" xfId="0" applyAlignment="1" applyFont="1" applyNumberFormat="1">
      <alignment shrinkToFit="0" vertical="bottom" wrapText="1"/>
    </xf>
    <xf borderId="0" fillId="18" fontId="32" numFmtId="0" xfId="0" applyAlignment="1" applyFont="1">
      <alignment shrinkToFit="0" vertical="bottom" wrapText="1"/>
    </xf>
    <xf borderId="0" fillId="20" fontId="9" numFmtId="0" xfId="0" applyAlignment="1" applyFill="1" applyFont="1">
      <alignment shrinkToFit="0" vertical="bottom" wrapText="1"/>
    </xf>
    <xf borderId="0" fillId="21" fontId="9" numFmtId="0" xfId="0" applyAlignment="1" applyFill="1" applyFont="1">
      <alignment shrinkToFit="0" vertical="bottom" wrapText="1"/>
    </xf>
    <xf borderId="0" fillId="20" fontId="25" numFmtId="0" xfId="0" applyAlignment="1" applyFont="1">
      <alignment shrinkToFit="0" vertical="bottom" wrapText="1"/>
    </xf>
    <xf borderId="0" fillId="21" fontId="25" numFmtId="49" xfId="0" applyAlignment="1" applyFont="1" applyNumberFormat="1">
      <alignment shrinkToFit="0" vertical="bottom" wrapText="1"/>
    </xf>
    <xf borderId="0" fillId="10" fontId="28" numFmtId="0" xfId="0" applyAlignment="1" applyFont="1">
      <alignment readingOrder="0" vertical="bottom"/>
    </xf>
    <xf borderId="0" fillId="0" fontId="9" numFmtId="0" xfId="0" applyAlignment="1" applyFont="1">
      <alignment shrinkToFit="0" vertical="bottom" wrapText="0"/>
    </xf>
    <xf borderId="0" fillId="10" fontId="25" numFmtId="0" xfId="0" applyAlignment="1" applyFont="1">
      <alignment shrinkToFit="0" vertical="bottom" wrapText="1"/>
    </xf>
    <xf borderId="0" fillId="11" fontId="25" numFmtId="49" xfId="0" applyAlignment="1" applyFont="1" applyNumberFormat="1">
      <alignment shrinkToFit="0" vertical="bottom" wrapText="1"/>
    </xf>
    <xf borderId="41" fillId="0" fontId="9" numFmtId="0" xfId="0" applyAlignment="1" applyBorder="1" applyFont="1">
      <alignment shrinkToFit="0" vertical="bottom" wrapText="0"/>
    </xf>
    <xf borderId="0" fillId="11" fontId="8" numFmtId="49" xfId="0" applyAlignment="1" applyFont="1" applyNumberFormat="1">
      <alignment vertical="bottom"/>
    </xf>
    <xf borderId="0" fillId="5" fontId="25" numFmtId="0" xfId="0" applyAlignment="1" applyFont="1">
      <alignment shrinkToFit="0" vertical="bottom" wrapText="1"/>
    </xf>
    <xf borderId="0" fillId="6" fontId="25" numFmtId="49" xfId="0" applyAlignment="1" applyFont="1" applyNumberFormat="1">
      <alignment shrinkToFit="0" vertical="bottom" wrapText="1"/>
    </xf>
    <xf borderId="0" fillId="8" fontId="25" numFmtId="49" xfId="0" applyAlignment="1" applyFont="1" applyNumberFormat="1">
      <alignment shrinkToFit="0" vertical="bottom" wrapText="1"/>
    </xf>
    <xf borderId="42" fillId="0" fontId="9" numFmtId="0" xfId="0" applyAlignment="1" applyBorder="1" applyFont="1">
      <alignment vertical="bottom"/>
    </xf>
    <xf borderId="43" fillId="0" fontId="9" numFmtId="0" xfId="0" applyAlignment="1" applyBorder="1" applyFont="1">
      <alignment vertical="bottom"/>
    </xf>
    <xf borderId="43" fillId="0" fontId="9" numFmtId="0" xfId="0" applyAlignment="1" applyBorder="1" applyFont="1">
      <alignment vertical="bottom"/>
    </xf>
    <xf borderId="44" fillId="0" fontId="9" numFmtId="0" xfId="0" applyAlignment="1" applyBorder="1" applyFont="1">
      <alignment vertical="bottom"/>
    </xf>
    <xf borderId="30" fillId="7" fontId="33" numFmtId="0" xfId="0" applyAlignment="1" applyBorder="1" applyFont="1">
      <alignment horizontal="left" readingOrder="0" vertical="top"/>
    </xf>
    <xf borderId="41" fillId="0" fontId="9" numFmtId="0" xfId="0" applyAlignment="1" applyBorder="1" applyFont="1">
      <alignment horizontal="right" vertical="bottom"/>
    </xf>
    <xf borderId="0" fillId="10" fontId="25" numFmtId="49" xfId="0" applyAlignment="1" applyFont="1" applyNumberFormat="1">
      <alignment shrinkToFit="0" vertical="bottom" wrapText="1"/>
    </xf>
    <xf borderId="0" fillId="10" fontId="8" numFmtId="49" xfId="0" applyAlignment="1" applyFont="1" applyNumberFormat="1">
      <alignment vertical="bottom"/>
    </xf>
    <xf borderId="30" fillId="7" fontId="5" numFmtId="0" xfId="0" applyAlignment="1" applyBorder="1" applyFont="1">
      <alignment horizontal="center" vertical="top"/>
    </xf>
    <xf borderId="0" fillId="21" fontId="8" numFmtId="49" xfId="0" applyAlignment="1" applyFont="1" applyNumberFormat="1">
      <alignment vertical="bottom"/>
    </xf>
    <xf borderId="0" fillId="10" fontId="25" numFmtId="0" xfId="0" applyAlignment="1" applyFont="1">
      <alignment vertical="bottom"/>
    </xf>
    <xf borderId="41" fillId="0" fontId="9" numFmtId="0" xfId="0" applyAlignment="1" applyBorder="1" applyFont="1">
      <alignment vertical="bottom"/>
    </xf>
    <xf borderId="45" fillId="6" fontId="34" numFmtId="0" xfId="0" applyAlignment="1" applyBorder="1" applyFont="1">
      <alignment horizontal="left"/>
    </xf>
    <xf borderId="0" fillId="11" fontId="25" numFmtId="49" xfId="0" applyAlignment="1" applyFont="1" applyNumberFormat="1">
      <alignment vertical="bottom"/>
    </xf>
    <xf borderId="20" fillId="0" fontId="3" numFmtId="0" xfId="0" applyBorder="1" applyFont="1"/>
    <xf borderId="25" fillId="6" fontId="5" numFmtId="0" xfId="0" applyAlignment="1" applyBorder="1" applyFont="1">
      <alignment shrinkToFit="0" wrapText="1"/>
    </xf>
    <xf borderId="25" fillId="6" fontId="5" numFmtId="0" xfId="0" applyBorder="1" applyFont="1"/>
    <xf borderId="45" fillId="6" fontId="35" numFmtId="0" xfId="0" applyAlignment="1" applyBorder="1" applyFont="1">
      <alignment horizontal="left" vertical="top"/>
    </xf>
    <xf borderId="44" fillId="0" fontId="3" numFmtId="0" xfId="0" applyBorder="1" applyFont="1"/>
    <xf borderId="30" fillId="6" fontId="36" numFmtId="0" xfId="0" applyAlignment="1" applyBorder="1" applyFont="1">
      <alignment horizontal="center"/>
    </xf>
    <xf borderId="30" fillId="6" fontId="37" numFmtId="0" xfId="0" applyAlignment="1" applyBorder="1" applyFont="1">
      <alignment horizontal="center"/>
    </xf>
    <xf borderId="30" fillId="6" fontId="37" numFmtId="16" xfId="0" applyAlignment="1" applyBorder="1" applyFont="1" applyNumberFormat="1">
      <alignment horizontal="center"/>
    </xf>
    <xf borderId="30" fillId="6" fontId="5" numFmtId="0" xfId="0" applyBorder="1" applyFont="1"/>
    <xf borderId="30" fillId="6" fontId="5" numFmtId="0" xfId="0" applyAlignment="1" applyBorder="1" applyFont="1">
      <alignment shrinkToFit="0" wrapText="1"/>
    </xf>
    <xf borderId="30" fillId="6" fontId="37" numFmtId="0" xfId="0" applyAlignment="1" applyBorder="1" applyFont="1">
      <alignment horizontal="center" shrinkToFit="0" wrapText="1"/>
    </xf>
    <xf borderId="30" fillId="6" fontId="37" numFmtId="0" xfId="0" applyAlignment="1" applyBorder="1" applyFont="1">
      <alignment horizontal="center" shrinkToFit="0" vertical="center" wrapText="1"/>
    </xf>
    <xf borderId="30" fillId="6" fontId="5" numFmtId="0" xfId="0" applyAlignment="1" applyBorder="1" applyFont="1">
      <alignment horizontal="center" shrinkToFit="0" vertical="center" wrapText="1"/>
    </xf>
    <xf borderId="30" fillId="6" fontId="5" numFmtId="0" xfId="0" applyAlignment="1" applyBorder="1" applyFont="1">
      <alignment horizontal="center" shrinkToFit="0" wrapText="1"/>
    </xf>
    <xf borderId="0" fillId="12" fontId="25" numFmtId="0" xfId="0" applyAlignment="1" applyFont="1">
      <alignment shrinkToFit="0" vertical="bottom" wrapText="1"/>
    </xf>
    <xf borderId="0" fillId="13" fontId="25" numFmtId="49" xfId="0" applyAlignment="1" applyFont="1" applyNumberFormat="1">
      <alignment shrinkToFit="0" vertical="bottom" wrapText="1"/>
    </xf>
    <xf borderId="0" fillId="5" fontId="25" numFmtId="49" xfId="0" applyAlignment="1" applyFont="1" applyNumberFormat="1">
      <alignment shrinkToFit="0" vertical="bottom" wrapText="1"/>
    </xf>
    <xf borderId="0" fillId="6" fontId="25" numFmtId="49" xfId="0" applyAlignment="1" applyFont="1" applyNumberFormat="1">
      <alignment vertical="bottom"/>
    </xf>
    <xf borderId="46" fillId="6" fontId="5" numFmtId="0" xfId="0" applyBorder="1" applyFont="1"/>
    <xf borderId="46" fillId="6" fontId="5" numFmtId="0" xfId="0" applyAlignment="1" applyBorder="1" applyFont="1">
      <alignment horizontal="center" shrinkToFit="0" wrapText="1"/>
    </xf>
    <xf borderId="0" fillId="0" fontId="5" numFmtId="0" xfId="0" applyAlignment="1" applyFont="1">
      <alignment horizontal="center" shrinkToFit="0" wrapText="1"/>
    </xf>
    <xf borderId="0" fillId="22" fontId="25" numFmtId="0" xfId="0" applyAlignment="1" applyFill="1" applyFont="1">
      <alignment shrinkToFit="0" vertical="bottom" wrapText="1"/>
    </xf>
    <xf borderId="0" fillId="23" fontId="25" numFmtId="49" xfId="0" applyAlignment="1" applyFill="1" applyFont="1" applyNumberFormat="1">
      <alignment shrinkToFit="0" vertical="bottom" wrapText="1"/>
    </xf>
    <xf borderId="0" fillId="14" fontId="25" numFmtId="0" xfId="0" applyAlignment="1" applyFont="1">
      <alignment shrinkToFit="0" vertical="bottom" wrapText="1"/>
    </xf>
    <xf borderId="0" fillId="24" fontId="25" numFmtId="49" xfId="0" applyAlignment="1" applyFill="1" applyFont="1" applyNumberFormat="1">
      <alignment shrinkToFit="0" vertical="bottom" wrapText="1"/>
    </xf>
    <xf borderId="0" fillId="24" fontId="8" numFmtId="49" xfId="0" applyAlignment="1" applyFont="1" applyNumberFormat="1">
      <alignment vertical="bottom"/>
    </xf>
    <xf borderId="47" fillId="0" fontId="9" numFmtId="0" xfId="0" applyAlignment="1" applyBorder="1" applyFont="1">
      <alignment vertical="bottom"/>
    </xf>
    <xf borderId="31" fillId="0" fontId="9" numFmtId="0" xfId="0" applyAlignment="1" applyBorder="1" applyFont="1">
      <alignment vertical="bottom"/>
    </xf>
    <xf borderId="0" fillId="0" fontId="26" numFmtId="49" xfId="0" applyFont="1" applyNumberFormat="1"/>
    <xf borderId="0" fillId="14" fontId="25" numFmtId="49" xfId="0" applyAlignment="1" applyFont="1" applyNumberFormat="1">
      <alignment shrinkToFit="0" vertical="bottom" wrapText="1"/>
    </xf>
    <xf borderId="0" fillId="14" fontId="8" numFmtId="49" xfId="0" applyAlignment="1" applyFont="1" applyNumberFormat="1">
      <alignment vertical="bottom"/>
    </xf>
    <xf borderId="0" fillId="10" fontId="8" numFmtId="0" xfId="0" applyAlignment="1" applyFont="1">
      <alignment vertical="bottom"/>
    </xf>
    <xf borderId="0" fillId="14" fontId="8" numFmtId="49" xfId="0" applyAlignment="1" applyFont="1" applyNumberFormat="1">
      <alignment vertical="top"/>
    </xf>
    <xf borderId="0" fillId="8" fontId="8" numFmtId="49" xfId="0" applyAlignment="1" applyFont="1" applyNumberFormat="1">
      <alignment vertical="top"/>
    </xf>
    <xf borderId="0" fillId="9" fontId="25" numFmtId="49" xfId="0" applyAlignment="1" applyFont="1" applyNumberFormat="1">
      <alignment vertical="bottom"/>
    </xf>
    <xf borderId="0" fillId="0" fontId="8" numFmtId="49" xfId="0" applyAlignment="1" applyFont="1" applyNumberFormat="1">
      <alignment vertical="top"/>
    </xf>
    <xf borderId="21" fillId="0" fontId="9" numFmtId="0" xfId="0" applyAlignment="1" applyBorder="1" applyFont="1">
      <alignment vertical="bottom"/>
    </xf>
    <xf borderId="0" fillId="5" fontId="8" numFmtId="0" xfId="0" applyAlignment="1" applyFont="1">
      <alignment vertical="bottom"/>
    </xf>
    <xf borderId="0" fillId="6" fontId="8" numFmtId="49" xfId="0" applyAlignment="1" applyFont="1" applyNumberFormat="1">
      <alignment vertical="bottom"/>
    </xf>
    <xf borderId="32" fillId="0" fontId="9" numFmtId="0" xfId="0" applyAlignment="1" applyBorder="1" applyFont="1">
      <alignment horizontal="right" vertical="bottom"/>
    </xf>
    <xf borderId="0" fillId="11" fontId="8" numFmtId="49" xfId="0" applyAlignment="1" applyFont="1" applyNumberFormat="1">
      <alignment vertical="top"/>
    </xf>
    <xf borderId="0" fillId="6" fontId="25" numFmtId="0" xfId="0" applyAlignment="1" applyFont="1">
      <alignment shrinkToFit="0" vertical="bottom" wrapText="1"/>
    </xf>
    <xf borderId="0" fillId="23" fontId="25" numFmtId="49" xfId="0" applyAlignment="1" applyFont="1" applyNumberFormat="1">
      <alignment vertical="bottom"/>
    </xf>
    <xf borderId="0" fillId="24" fontId="25" numFmtId="49" xfId="0" applyAlignment="1" applyFont="1" applyNumberFormat="1">
      <alignment shrinkToFit="0" vertical="top" wrapText="1"/>
    </xf>
    <xf borderId="0" fillId="24" fontId="8" numFmtId="49" xfId="0" applyAlignment="1" applyFont="1" applyNumberFormat="1">
      <alignment vertical="top"/>
    </xf>
    <xf borderId="0" fillId="13" fontId="25" numFmtId="49" xfId="0" applyAlignment="1" applyFont="1" applyNumberFormat="1">
      <alignment vertical="bottom"/>
    </xf>
    <xf borderId="0" fillId="10" fontId="8" numFmtId="49" xfId="0" applyAlignment="1" applyFont="1" applyNumberFormat="1">
      <alignment vertical="top"/>
    </xf>
    <xf borderId="0" fillId="9" fontId="25" numFmtId="0" xfId="0" applyAlignment="1" applyFont="1">
      <alignment shrinkToFit="0" vertical="bottom" wrapText="1"/>
    </xf>
    <xf borderId="0" fillId="9" fontId="8" numFmtId="49" xfId="0" applyAlignment="1" applyFont="1" applyNumberFormat="1">
      <alignment vertical="bottom"/>
    </xf>
    <xf borderId="0" fillId="8" fontId="25" numFmtId="0" xfId="0" applyAlignment="1" applyFont="1">
      <alignment vertical="bottom"/>
    </xf>
    <xf borderId="0" fillId="5" fontId="25" numFmtId="0" xfId="0" applyAlignment="1" applyFont="1">
      <alignment vertical="bottom"/>
    </xf>
    <xf borderId="0" fillId="22" fontId="25" numFmtId="0" xfId="0" applyAlignment="1" applyFont="1">
      <alignment vertical="bottom"/>
    </xf>
    <xf borderId="0" fillId="12" fontId="25" numFmtId="0" xfId="0" applyAlignment="1" applyFont="1">
      <alignment vertical="bottom"/>
    </xf>
    <xf borderId="0" fillId="14" fontId="8" numFmtId="0" xfId="0" applyAlignment="1" applyFont="1">
      <alignment vertical="bottom"/>
    </xf>
    <xf borderId="0" fillId="14" fontId="25" numFmtId="0" xfId="0" applyAlignment="1" applyFont="1">
      <alignment vertical="bottom"/>
    </xf>
    <xf borderId="0" fillId="24" fontId="25" numFmtId="49" xfId="0" applyAlignment="1" applyFont="1" applyNumberFormat="1">
      <alignment vertical="bottom"/>
    </xf>
    <xf quotePrefix="1" borderId="0" fillId="0" fontId="9" numFmtId="0" xfId="0" applyAlignment="1" applyFont="1">
      <alignment vertical="bottom"/>
    </xf>
    <xf borderId="0" fillId="14" fontId="25" numFmtId="49" xfId="0" applyAlignment="1" applyFont="1" applyNumberFormat="1">
      <alignment vertical="bottom"/>
    </xf>
    <xf borderId="0" fillId="8" fontId="8" numFmtId="0" xfId="0" applyAlignment="1" applyFont="1">
      <alignment vertical="bottom"/>
    </xf>
    <xf borderId="0" fillId="20" fontId="25" numFmtId="0" xfId="0" applyAlignment="1" applyFont="1">
      <alignment vertical="bottom"/>
    </xf>
    <xf borderId="0" fillId="21" fontId="25" numFmtId="49" xfId="0" applyAlignment="1" applyFont="1" applyNumberFormat="1">
      <alignment vertical="bottom"/>
    </xf>
    <xf borderId="48" fillId="0" fontId="9" numFmtId="0" xfId="0" applyAlignment="1" applyBorder="1" applyFont="1">
      <alignment vertical="bottom"/>
    </xf>
    <xf borderId="49" fillId="0" fontId="9" numFmtId="0" xfId="0" applyAlignment="1" applyBorder="1" applyFont="1">
      <alignment vertical="bottom"/>
    </xf>
    <xf borderId="0" fillId="0" fontId="26" numFmtId="0" xfId="0" applyAlignment="1" applyFont="1">
      <alignment readingOrder="0"/>
    </xf>
    <xf borderId="21" fillId="0" fontId="38" numFmtId="0" xfId="0" applyAlignment="1" applyBorder="1" applyFont="1">
      <alignment vertical="bottom"/>
    </xf>
    <xf borderId="21" fillId="0" fontId="9" numFmtId="0" xfId="0" applyAlignment="1" applyBorder="1" applyFont="1">
      <alignment shrinkToFit="0" vertical="bottom" wrapText="0"/>
    </xf>
    <xf borderId="8" fillId="0" fontId="9" numFmtId="0" xfId="0" applyAlignment="1" applyBorder="1" applyFont="1">
      <alignment readingOrder="0" vertical="bottom"/>
    </xf>
    <xf borderId="0" fillId="0" fontId="39" numFmtId="0" xfId="0" applyAlignment="1" applyFont="1">
      <alignment vertical="bottom"/>
    </xf>
    <xf borderId="8" fillId="0" fontId="39" numFmtId="0" xfId="0" applyAlignment="1" applyBorder="1" applyFont="1">
      <alignment vertical="bottom"/>
    </xf>
    <xf borderId="0" fillId="0" fontId="10" numFmtId="0" xfId="0" applyAlignment="1" applyFont="1">
      <alignment readingOrder="0" shrinkToFit="0" vertical="bottom" wrapText="0"/>
    </xf>
    <xf borderId="0" fillId="0" fontId="10" numFmtId="49" xfId="0" applyAlignment="1" applyFont="1" applyNumberFormat="1">
      <alignment readingOrder="0" vertical="bottom"/>
    </xf>
    <xf borderId="0" fillId="0" fontId="10" numFmtId="0" xfId="0" applyAlignment="1" applyFont="1">
      <alignment shrinkToFit="0" vertical="bottom" wrapText="0"/>
    </xf>
    <xf borderId="21" fillId="0" fontId="28" numFmtId="0" xfId="0" applyAlignment="1" applyBorder="1" applyFont="1">
      <alignment vertical="bottom"/>
    </xf>
    <xf borderId="8" fillId="0" fontId="28" numFmtId="0" xfId="0" applyAlignment="1" applyBorder="1" applyFont="1">
      <alignment readingOrder="0" vertical="bottom"/>
    </xf>
    <xf borderId="8" fillId="0" fontId="28" numFmtId="0" xfId="0" applyAlignment="1" applyBorder="1" applyFont="1">
      <alignment vertical="bottom"/>
    </xf>
    <xf borderId="21" fillId="0" fontId="29" numFmtId="0" xfId="0" applyAlignment="1" applyBorder="1" applyFont="1">
      <alignment vertical="bottom"/>
    </xf>
    <xf borderId="0" fillId="0" fontId="28" numFmtId="0" xfId="0" applyAlignment="1" applyFont="1">
      <alignment vertical="bottom"/>
    </xf>
    <xf borderId="8" fillId="0" fontId="29" numFmtId="0" xfId="0" applyAlignment="1" applyBorder="1" applyFont="1">
      <alignment vertical="bottom"/>
    </xf>
    <xf borderId="0" fillId="20" fontId="8" numFmtId="0" xfId="0" applyAlignment="1" applyFont="1">
      <alignment vertical="bottom"/>
    </xf>
    <xf borderId="0" fillId="11" fontId="25" numFmtId="0" xfId="0" applyAlignment="1" applyFont="1">
      <alignment shrinkToFit="0" vertical="bottom" wrapText="1"/>
    </xf>
    <xf borderId="0" fillId="23" fontId="25" numFmtId="0" xfId="0" applyAlignment="1" applyFont="1">
      <alignment shrinkToFit="0" vertical="bottom" wrapText="1"/>
    </xf>
    <xf borderId="0" fillId="25" fontId="25" numFmtId="0" xfId="0" applyAlignment="1" applyFill="1" applyFont="1">
      <alignment shrinkToFit="0" vertical="bottom" wrapText="1"/>
    </xf>
    <xf borderId="0" fillId="26" fontId="25" numFmtId="49" xfId="0" applyAlignment="1" applyFill="1" applyFont="1" applyNumberFormat="1">
      <alignment shrinkToFit="0" vertical="bottom" wrapText="1"/>
    </xf>
    <xf borderId="0" fillId="11" fontId="8" numFmtId="0" xfId="0" applyAlignment="1" applyFont="1">
      <alignment vertical="bottom"/>
    </xf>
    <xf borderId="0" fillId="21" fontId="25" numFmtId="0" xfId="0" applyAlignment="1" applyFont="1">
      <alignment shrinkToFit="0" vertical="bottom" wrapText="1"/>
    </xf>
    <xf borderId="0" fillId="27" fontId="25" numFmtId="0" xfId="0" applyAlignment="1" applyFill="1" applyFont="1">
      <alignment shrinkToFit="0" vertical="bottom" wrapText="1"/>
    </xf>
    <xf borderId="0" fillId="28" fontId="25" numFmtId="49" xfId="0" applyAlignment="1" applyFill="1" applyFont="1" applyNumberFormat="1">
      <alignment shrinkToFit="0" vertical="bottom" wrapText="1"/>
    </xf>
    <xf borderId="0" fillId="23" fontId="8" numFmtId="49" xfId="0" applyAlignment="1" applyFont="1" applyNumberFormat="1">
      <alignment vertical="bottom"/>
    </xf>
    <xf borderId="0" fillId="13" fontId="25" numFmtId="0" xfId="0" applyAlignment="1" applyFont="1">
      <alignment shrinkToFit="0" vertical="bottom" wrapText="1"/>
    </xf>
    <xf borderId="0" fillId="24" fontId="25" numFmtId="0" xfId="0" applyAlignment="1" applyFont="1">
      <alignment shrinkToFit="0" vertical="bottom" wrapText="1"/>
    </xf>
    <xf borderId="0" fillId="24" fontId="8" numFmtId="0" xfId="0" applyAlignment="1" applyFont="1">
      <alignment vertical="bottom"/>
    </xf>
    <xf borderId="0" fillId="13" fontId="8" numFmtId="49" xfId="0" applyAlignment="1" applyFont="1" applyNumberFormat="1">
      <alignment vertical="bottom"/>
    </xf>
    <xf borderId="0" fillId="18" fontId="25" numFmtId="0" xfId="0" applyAlignment="1" applyFont="1">
      <alignment shrinkToFit="0" vertical="bottom" wrapText="1"/>
    </xf>
    <xf borderId="0" fillId="19" fontId="25" numFmtId="0" xfId="0" applyAlignment="1" applyFont="1">
      <alignment shrinkToFit="0" vertical="bottom" wrapText="1"/>
    </xf>
    <xf borderId="0" fillId="19" fontId="25" numFmtId="49" xfId="0" applyAlignment="1" applyFont="1" applyNumberFormat="1">
      <alignment shrinkToFit="0" vertical="bottom" wrapText="1"/>
    </xf>
  </cellXfs>
  <cellStyles count="1">
    <cellStyle xfId="0" name="Normal" builtinId="0"/>
  </cellStyles>
  <dxfs count="37">
    <dxf>
      <font/>
      <fill>
        <patternFill patternType="solid">
          <fgColor rgb="FFFFD44B"/>
          <bgColor rgb="FFFFD44B"/>
        </patternFill>
      </fill>
      <border/>
    </dxf>
    <dxf>
      <font/>
      <fill>
        <patternFill patternType="solid">
          <fgColor rgb="FFFFBB57"/>
          <bgColor rgb="FFFFBB57"/>
        </patternFill>
      </fill>
      <border/>
    </dxf>
    <dxf>
      <font/>
      <fill>
        <patternFill patternType="solid">
          <fgColor rgb="FFFBD4B4"/>
          <bgColor rgb="FFFBD4B4"/>
        </patternFill>
      </fill>
      <border/>
    </dxf>
    <dxf>
      <font/>
      <fill>
        <patternFill patternType="solid">
          <fgColor rgb="FFDBE5F1"/>
          <bgColor rgb="FFDBE5F1"/>
        </patternFill>
      </fill>
      <border/>
    </dxf>
    <dxf>
      <font/>
      <fill>
        <patternFill patternType="solid">
          <fgColor rgb="FF99BCE7"/>
          <bgColor rgb="FF99BCE7"/>
        </patternFill>
      </fill>
      <border/>
    </dxf>
    <dxf>
      <font/>
      <fill>
        <patternFill patternType="solid">
          <fgColor rgb="FFEAF1DD"/>
          <bgColor rgb="FFEAF1DD"/>
        </patternFill>
      </fill>
      <border/>
    </dxf>
    <dxf>
      <font/>
      <fill>
        <patternFill patternType="solid">
          <fgColor rgb="FFFF6969"/>
          <bgColor rgb="FFFF6969"/>
        </patternFill>
      </fill>
      <border/>
    </dxf>
    <dxf>
      <font/>
      <fill>
        <patternFill patternType="solid">
          <fgColor rgb="FFE7D480"/>
          <bgColor rgb="FFE7D480"/>
        </patternFill>
      </fill>
      <border/>
    </dxf>
    <dxf>
      <font/>
      <fill>
        <patternFill patternType="solid">
          <fgColor rgb="FFDDE8C6"/>
          <bgColor rgb="FFDDE8C6"/>
        </patternFill>
      </fill>
      <border/>
    </dxf>
    <dxf>
      <font/>
      <fill>
        <patternFill patternType="solid">
          <fgColor rgb="FFE3E0CF"/>
          <bgColor rgb="FFE3E0CF"/>
        </patternFill>
      </fill>
      <border/>
    </dxf>
    <dxf>
      <font/>
      <fill>
        <patternFill patternType="solid">
          <fgColor rgb="FFFBFB00"/>
          <bgColor rgb="FFFBFB00"/>
        </patternFill>
      </fill>
      <border/>
    </dxf>
    <dxf>
      <font/>
      <fill>
        <patternFill patternType="solid">
          <fgColor rgb="FFCCC0D9"/>
          <bgColor rgb="FFCCC0D9"/>
        </patternFill>
      </fill>
      <border/>
    </dxf>
    <dxf>
      <font/>
      <fill>
        <patternFill patternType="solid">
          <fgColor rgb="FFF2DBDA"/>
          <bgColor rgb="FFF2DBDA"/>
        </patternFill>
      </fill>
      <border/>
    </dxf>
    <dxf>
      <font/>
      <fill>
        <patternFill patternType="solid">
          <fgColor rgb="FFBA005D"/>
          <bgColor rgb="FFBA005D"/>
        </patternFill>
      </fill>
      <border/>
    </dxf>
    <dxf>
      <font/>
      <fill>
        <patternFill patternType="solid">
          <fgColor rgb="FFBFBFBF"/>
          <bgColor rgb="FFBFBFBF"/>
        </patternFill>
      </fill>
      <border/>
    </dxf>
    <dxf>
      <font/>
      <fill>
        <patternFill patternType="solid">
          <fgColor rgb="FF9E004F"/>
          <bgColor rgb="FF9E004F"/>
        </patternFill>
      </fill>
      <border/>
    </dxf>
    <dxf>
      <font/>
      <fill>
        <patternFill patternType="solid">
          <fgColor rgb="FFE1AAA9"/>
          <bgColor rgb="FFE1AAA9"/>
        </patternFill>
      </fill>
      <border/>
    </dxf>
    <dxf>
      <font/>
      <fill>
        <patternFill patternType="solid">
          <fgColor rgb="FFB2A1C7"/>
          <bgColor rgb="FFB2A1C7"/>
        </patternFill>
      </fill>
      <border/>
    </dxf>
    <dxf>
      <font/>
      <fill>
        <patternFill patternType="solid">
          <fgColor rgb="FFE4E300"/>
          <bgColor rgb="FFE4E300"/>
        </patternFill>
      </fill>
      <border/>
    </dxf>
    <dxf>
      <font/>
      <fill>
        <patternFill patternType="solid">
          <fgColor rgb="FFDCC97A"/>
          <bgColor rgb="FFDCC97A"/>
        </patternFill>
      </fill>
      <border/>
    </dxf>
    <dxf>
      <font/>
      <fill>
        <patternFill patternType="solid">
          <fgColor rgb="FFC2D69B"/>
          <bgColor rgb="FFC2D69B"/>
        </patternFill>
      </fill>
      <border/>
    </dxf>
    <dxf>
      <font/>
      <fill>
        <patternFill patternType="solid">
          <fgColor rgb="FFC4BD97"/>
          <bgColor rgb="FFC4BD97"/>
        </patternFill>
      </fill>
      <border/>
    </dxf>
    <dxf>
      <font/>
      <fill>
        <patternFill patternType="solid">
          <fgColor rgb="FFFF0000"/>
          <bgColor rgb="FFFF0000"/>
        </patternFill>
      </fill>
      <border/>
    </dxf>
    <dxf>
      <font/>
      <fill>
        <patternFill patternType="solid">
          <fgColor rgb="FFF2F2F2"/>
          <bgColor rgb="FFF2F2F2"/>
        </patternFill>
      </fill>
      <border/>
    </dxf>
    <dxf>
      <font/>
      <fill>
        <patternFill patternType="solid">
          <fgColor rgb="FFD6E3BC"/>
          <bgColor rgb="FFD6E3BC"/>
        </patternFill>
      </fill>
      <border/>
    </dxf>
    <dxf>
      <font/>
      <fill>
        <patternFill patternType="solid">
          <fgColor rgb="FF4685D2"/>
          <bgColor rgb="FF4685D2"/>
        </patternFill>
      </fill>
      <border/>
    </dxf>
    <dxf>
      <font/>
      <fill>
        <patternFill patternType="solid">
          <fgColor rgb="FFB8CCE4"/>
          <bgColor rgb="FFB8CCE4"/>
        </patternFill>
      </fill>
      <border/>
    </dxf>
    <dxf>
      <font/>
      <fill>
        <patternFill patternType="solid">
          <fgColor rgb="FFFABF8F"/>
          <bgColor rgb="FFFABF8F"/>
        </patternFill>
      </fill>
      <border/>
    </dxf>
    <dxf>
      <font/>
      <fill>
        <patternFill patternType="solid">
          <fgColor rgb="FFFF9900"/>
          <bgColor rgb="FFFF9900"/>
        </patternFill>
      </fill>
      <border/>
    </dxf>
    <dxf>
      <font/>
      <fill>
        <patternFill patternType="solid">
          <fgColor rgb="FFEEB400"/>
          <bgColor rgb="FFEEB400"/>
        </patternFill>
      </fill>
      <border/>
    </dxf>
    <dxf>
      <font/>
      <fill>
        <patternFill patternType="solid">
          <fgColor rgb="FFD8D8D8"/>
          <bgColor rgb="FFD8D8D8"/>
        </patternFill>
      </fill>
      <border/>
    </dxf>
    <dxf>
      <font/>
      <fill>
        <patternFill patternType="solid">
          <fgColor rgb="FF92CDDC"/>
          <bgColor rgb="FF92CDDC"/>
        </patternFill>
      </fill>
      <border/>
    </dxf>
    <dxf>
      <font/>
      <fill>
        <patternFill patternType="solid">
          <fgColor rgb="FFEAEB74"/>
          <bgColor rgb="FFEAEB74"/>
        </patternFill>
      </fill>
      <border/>
    </dxf>
    <dxf>
      <font/>
      <fill>
        <patternFill patternType="solid">
          <fgColor rgb="FFBBBB59"/>
          <bgColor rgb="FFBBBB59"/>
        </patternFill>
      </fill>
      <border/>
    </dxf>
    <dxf>
      <font/>
      <fill>
        <patternFill patternType="solid">
          <fgColor theme="8"/>
          <bgColor theme="8"/>
        </patternFill>
      </fill>
      <border/>
    </dxf>
    <dxf>
      <font/>
      <fill>
        <patternFill patternType="solid">
          <fgColor rgb="FFFF6D9E"/>
          <bgColor rgb="FFFF6D9E"/>
        </patternFill>
      </fill>
      <border/>
    </dxf>
    <dxf>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docs.surveycto.com/02-designing-forms/01-core-concepts/03s.field-types-deviceid.html" TargetMode="External"/><Relationship Id="rId42" Type="http://schemas.openxmlformats.org/officeDocument/2006/relationships/hyperlink" Target="https://docs.surveycto.com/02-designing-forms/01-core-concepts/03v.field-types-simserial.html" TargetMode="External"/><Relationship Id="rId41" Type="http://schemas.openxmlformats.org/officeDocument/2006/relationships/hyperlink" Target="https://docs.surveycto.com/02-designing-forms/01-core-concepts/03u.field-types-subscriberid.html" TargetMode="External"/><Relationship Id="rId44" Type="http://schemas.openxmlformats.org/officeDocument/2006/relationships/hyperlink" Target="https://docs.surveycto.com/02-designing-forms/01-core-concepts/03w.field-types-phonenumber.html" TargetMode="External"/><Relationship Id="rId43" Type="http://schemas.openxmlformats.org/officeDocument/2006/relationships/hyperlink" Target="https://docs.surveycto.com/02-designing-forms/01-core-concepts/03y.field-types-caseid.html" TargetMode="External"/><Relationship Id="rId46" Type="http://schemas.openxmlformats.org/officeDocument/2006/relationships/hyperlink" Target="https://docs.surveycto.com/02-designing-forms/01-core-concepts/03zd.field-types-text-audit.html" TargetMode="External"/><Relationship Id="rId45" Type="http://schemas.openxmlformats.org/officeDocument/2006/relationships/hyperlink" Target="https://docs.surveycto.com/02-designing-forms/01-core-concepts/03za.field-types-comments.html" TargetMode="External"/><Relationship Id="rId1" Type="http://schemas.openxmlformats.org/officeDocument/2006/relationships/hyperlink" Target="https://docs.surveycto.com/02-designing-forms/02-additional-topics/07.translating.html" TargetMode="External"/><Relationship Id="rId2" Type="http://schemas.openxmlformats.org/officeDocument/2006/relationships/hyperlink" Target="https://docs.surveycto.com/02-designing-forms/02-additional-topics/07.translating.html" TargetMode="External"/><Relationship Id="rId3" Type="http://schemas.openxmlformats.org/officeDocument/2006/relationships/hyperlink" Target="https://docs.surveycto.com/02-designing-forms/03-advanced-topics/03.preloading.html" TargetMode="External"/><Relationship Id="rId4" Type="http://schemas.openxmlformats.org/officeDocument/2006/relationships/hyperlink" Target="https://docs.surveycto.com/02-designing-forms/01-core-concepts/07.constraints.html" TargetMode="External"/><Relationship Id="rId9" Type="http://schemas.openxmlformats.org/officeDocument/2006/relationships/hyperlink" Target="https://docs.surveycto.com/02-designing-forms/01-core-concepts/05.other-columns.html" TargetMode="External"/><Relationship Id="rId48" Type="http://schemas.openxmlformats.org/officeDocument/2006/relationships/hyperlink" Target="https://docs.surveycto.com/02-designing-forms/01-core-concepts/06.groups.html" TargetMode="External"/><Relationship Id="rId47" Type="http://schemas.openxmlformats.org/officeDocument/2006/relationships/hyperlink" Target="https://docs.surveycto.com/02-designing-forms/01-core-concepts/06.groups.html" TargetMode="External"/><Relationship Id="rId49" Type="http://schemas.openxmlformats.org/officeDocument/2006/relationships/hyperlink" Target="https://docs.surveycto.com/02-designing-forms/01-core-concepts/06.groups.html" TargetMode="External"/><Relationship Id="rId5" Type="http://schemas.openxmlformats.org/officeDocument/2006/relationships/hyperlink" Target="https://docs.surveycto.com/02-designing-forms/01-core-concepts/07.constraints.html" TargetMode="External"/><Relationship Id="rId6" Type="http://schemas.openxmlformats.org/officeDocument/2006/relationships/hyperlink" Target="https://docs.surveycto.com/02-designing-forms/01-core-concepts/08.relevance.html" TargetMode="External"/><Relationship Id="rId7" Type="http://schemas.openxmlformats.org/officeDocument/2006/relationships/hyperlink" Target="https://docs.surveycto.com/02-designing-forms/01-core-concepts/05.other-columns.html" TargetMode="External"/><Relationship Id="rId8" Type="http://schemas.openxmlformats.org/officeDocument/2006/relationships/hyperlink" Target="https://docs.surveycto.com/02-designing-forms/01-core-concepts/05.other-columns.html" TargetMode="External"/><Relationship Id="rId31" Type="http://schemas.openxmlformats.org/officeDocument/2006/relationships/hyperlink" Target="https://docs.surveycto.com/02-designing-forms/01-core-concepts/03j2.field-types-geoshape.html" TargetMode="External"/><Relationship Id="rId30" Type="http://schemas.openxmlformats.org/officeDocument/2006/relationships/hyperlink" Target="https://docs.surveycto.com/02-designing-forms/01-core-concepts/03j.field-types-geopoint.html" TargetMode="External"/><Relationship Id="rId33" Type="http://schemas.openxmlformats.org/officeDocument/2006/relationships/hyperlink" Target="https://docs.surveycto.com/02-designing-forms/01-core-concepts/03k.field-types-barcode.html" TargetMode="External"/><Relationship Id="rId32" Type="http://schemas.openxmlformats.org/officeDocument/2006/relationships/hyperlink" Target="https://docs.surveycto.com/02-designing-forms/01-core-concepts/03j3.field-types-geotrace.html" TargetMode="External"/><Relationship Id="rId35" Type="http://schemas.openxmlformats.org/officeDocument/2006/relationships/hyperlink" Target="https://docs.surveycto.com/02-designing-forms/01-core-concepts/03o.field-types-video.html" TargetMode="External"/><Relationship Id="rId34" Type="http://schemas.openxmlformats.org/officeDocument/2006/relationships/hyperlink" Target="https://docs.surveycto.com/02-designing-forms/01-core-concepts/03n.field-types-audio.html" TargetMode="External"/><Relationship Id="rId37" Type="http://schemas.openxmlformats.org/officeDocument/2006/relationships/hyperlink" Target="https://docs.surveycto.com/02-designing-forms/01-core-concepts/03p.field-types-note.html" TargetMode="External"/><Relationship Id="rId36" Type="http://schemas.openxmlformats.org/officeDocument/2006/relationships/hyperlink" Target="https://docs.surveycto.com/02-designing-forms/01-core-concepts/03o2.field-types-file.html" TargetMode="External"/><Relationship Id="rId39" Type="http://schemas.openxmlformats.org/officeDocument/2006/relationships/hyperlink" Target="https://docs.surveycto.com/02-designing-forms/01-core-concepts/03r.field-types-end.html" TargetMode="External"/><Relationship Id="rId38" Type="http://schemas.openxmlformats.org/officeDocument/2006/relationships/hyperlink" Target="https://docs.surveycto.com/02-designing-forms/01-core-concepts/03q.field-types-start.html" TargetMode="External"/><Relationship Id="rId20" Type="http://schemas.openxmlformats.org/officeDocument/2006/relationships/hyperlink" Target="https://docs.surveycto.com/02-designing-forms/02-additional-topics/04.printable-copies.html" TargetMode="External"/><Relationship Id="rId22" Type="http://schemas.openxmlformats.org/officeDocument/2006/relationships/hyperlink" Target="https://docs.surveycto.com/02-designing-forms/02-additional-topics/06.encrypting.html" TargetMode="External"/><Relationship Id="rId21" Type="http://schemas.openxmlformats.org/officeDocument/2006/relationships/hyperlink" Target="https://docs.surveycto.com/02-designing-forms/02-additional-topics/04.printable-copies.html" TargetMode="External"/><Relationship Id="rId24" Type="http://schemas.openxmlformats.org/officeDocument/2006/relationships/hyperlink" Target="https://docs.surveycto.com/02-designing-forms/01-core-concepts/03zh.field-types-enumerator.html" TargetMode="External"/><Relationship Id="rId23" Type="http://schemas.openxmlformats.org/officeDocument/2006/relationships/hyperlink" Target="https://docs.surveycto.com/04-monitoring-and-management/02-managing-for-quality/01.collecting-high-quality-data.html" TargetMode="External"/><Relationship Id="rId26" Type="http://schemas.openxmlformats.org/officeDocument/2006/relationships/hyperlink" Target="https://docs.surveycto.com/02-designing-forms/01-core-concepts/03zh.field-types-enumerator.html" TargetMode="External"/><Relationship Id="rId25" Type="http://schemas.openxmlformats.org/officeDocument/2006/relationships/hyperlink" Target="https://docs.surveycto.com/02-designing-forms/01-core-concepts/03zh.field-types-enumerator.html" TargetMode="External"/><Relationship Id="rId28" Type="http://schemas.openxmlformats.org/officeDocument/2006/relationships/hyperlink" Target="https://docs.surveycto.com/02-designing-forms/01-core-concepts/03f.field-types-integer.html" TargetMode="External"/><Relationship Id="rId27" Type="http://schemas.openxmlformats.org/officeDocument/2006/relationships/hyperlink" Target="https://docs.surveycto.com/02-designing-forms/01-core-concepts/03zh.field-types-enumerator.html" TargetMode="External"/><Relationship Id="rId29" Type="http://schemas.openxmlformats.org/officeDocument/2006/relationships/hyperlink" Target="https://docs.surveycto.com/02-designing-forms/01-core-concepts/03g.field-types-decimal.html" TargetMode="External"/><Relationship Id="rId51" Type="http://schemas.openxmlformats.org/officeDocument/2006/relationships/hyperlink" Target="https://docs.surveycto.com/02-designing-forms/01-core-concepts/03zf.field-types-sensor-statistic.html" TargetMode="External"/><Relationship Id="rId50" Type="http://schemas.openxmlformats.org/officeDocument/2006/relationships/hyperlink" Target="https://docs.surveycto.com/02-designing-forms/01-core-concepts/03zg.field-types-sensor-stream.html" TargetMode="External"/><Relationship Id="rId53" Type="http://schemas.openxmlformats.org/officeDocument/2006/relationships/drawing" Target="../drawings/drawing4.xml"/><Relationship Id="rId52" Type="http://schemas.openxmlformats.org/officeDocument/2006/relationships/hyperlink" Target="https://docs.surveycto.com/02-designing-forms/01-core-concepts/09.expressions.html" TargetMode="External"/><Relationship Id="rId11" Type="http://schemas.openxmlformats.org/officeDocument/2006/relationships/hyperlink" Target="https://docs.surveycto.com/02-designing-forms/01-core-concepts/03zb.field-types-calculate.html" TargetMode="External"/><Relationship Id="rId10" Type="http://schemas.openxmlformats.org/officeDocument/2006/relationships/hyperlink" Target="https://docs.surveycto.com/02-designing-forms/01-core-concepts/05.other-columns.html" TargetMode="External"/><Relationship Id="rId13" Type="http://schemas.openxmlformats.org/officeDocument/2006/relationships/hyperlink" Target="https://docs.surveycto.com/02-designing-forms/04-sample-forms/04.images.html" TargetMode="External"/><Relationship Id="rId12" Type="http://schemas.openxmlformats.org/officeDocument/2006/relationships/hyperlink" Target="https://docs.surveycto.com/02-designing-forms/01-core-concepts/06.groups.html" TargetMode="External"/><Relationship Id="rId15" Type="http://schemas.openxmlformats.org/officeDocument/2006/relationships/hyperlink" Target="https://docs.surveycto.com/02-designing-forms/01-core-concepts/05.other-columns.html" TargetMode="External"/><Relationship Id="rId14" Type="http://schemas.openxmlformats.org/officeDocument/2006/relationships/hyperlink" Target="https://docs.surveycto.com/02-designing-forms/01-core-concepts/05.other-columns.html" TargetMode="External"/><Relationship Id="rId17" Type="http://schemas.openxmlformats.org/officeDocument/2006/relationships/hyperlink" Target="https://docs.surveycto.com/02-designing-forms/02-additional-topics/07.translating.html" TargetMode="External"/><Relationship Id="rId16" Type="http://schemas.openxmlformats.org/officeDocument/2006/relationships/hyperlink" Target="https://docs.surveycto.com/02-designing-forms/02-additional-topics/07.translating.html" TargetMode="External"/><Relationship Id="rId19" Type="http://schemas.openxmlformats.org/officeDocument/2006/relationships/hyperlink" Target="https://docs.surveycto.com/02-designing-forms/03-advanced-topics/02.cascading-selects.html" TargetMode="External"/><Relationship Id="rId18" Type="http://schemas.openxmlformats.org/officeDocument/2006/relationships/hyperlink" Target="https://docs.surveycto.com/02-designing-forms/02-additional-topics/07.translating.html"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cs.surveycto.com/02-designing-forms/02-additional-topics/07.translating.html" TargetMode="External"/><Relationship Id="rId2" Type="http://schemas.openxmlformats.org/officeDocument/2006/relationships/hyperlink" Target="https://docs.surveycto.com/02-designing-forms/04-sample-forms/04.images.html" TargetMode="External"/><Relationship Id="rId3" Type="http://schemas.openxmlformats.org/officeDocument/2006/relationships/hyperlink" Target="https://docs.surveycto.com/02-designing-forms/03-advanced-topics/02.cascading-selects.html"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surveycto.com/02-designing-forms/02-additional-topics/08.hiding-test-forms.html" TargetMode="External"/><Relationship Id="rId2" Type="http://schemas.openxmlformats.org/officeDocument/2006/relationships/hyperlink" Target="https://docs.surveycto.com/02-designing-forms/01-core-concepts/10.updating.html" TargetMode="External"/><Relationship Id="rId3" Type="http://schemas.openxmlformats.org/officeDocument/2006/relationships/hyperlink" Target="https://docs.surveycto.com/02-designing-forms/02-additional-topics/06.encrypting.html" TargetMode="External"/><Relationship Id="rId4" Type="http://schemas.openxmlformats.org/officeDocument/2006/relationships/hyperlink" Target="https://docs.surveycto.com/02-designing-forms/02-additional-topics/06.encrypting.html" TargetMode="External"/><Relationship Id="rId5" Type="http://schemas.openxmlformats.org/officeDocument/2006/relationships/hyperlink" Target="https://docs.surveycto.com/02-designing-forms/02-additional-topics/07.translating.html" TargetMode="External"/><Relationship Id="rId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1.22" defaultRowHeight="15.0"/>
  <cols>
    <col customWidth="1" min="1" max="1" width="29.0"/>
    <col customWidth="1" min="2" max="2" width="27.0"/>
    <col customWidth="1" min="3" max="3" width="42.33"/>
    <col customWidth="1" min="4" max="4" width="44.33"/>
    <col customWidth="1" min="5" max="5" width="41.89"/>
    <col customWidth="1" min="6" max="6" width="23.0"/>
    <col customWidth="1" min="7" max="7" width="21.56"/>
    <col customWidth="1" min="8" max="8" width="20.56"/>
    <col customWidth="1" min="9" max="9" width="7.11"/>
    <col customWidth="1" min="10" max="10" width="12.67"/>
    <col customWidth="1" min="11" max="11" width="17.11"/>
    <col customWidth="1" min="12" max="12" width="17.0"/>
    <col customWidth="1" min="13" max="14" width="17.33"/>
    <col customWidth="1" min="15" max="15" width="23.33"/>
    <col customWidth="1" min="16" max="16" width="8.11"/>
    <col customWidth="1" min="17" max="17" width="8.33"/>
    <col customWidth="1" min="18" max="18" width="18.0"/>
    <col customWidth="1" min="19" max="19" width="9.11"/>
    <col customWidth="1" min="20" max="20" width="53.0"/>
    <col customWidth="1" min="21" max="21" width="17.67"/>
    <col customWidth="1" min="22" max="22" width="12.0"/>
    <col customWidth="1" min="23" max="23" width="11.67"/>
    <col customWidth="1" min="24" max="24" width="11.44"/>
    <col customWidth="1" min="25" max="25" width="26.89"/>
    <col customWidth="1" min="26" max="27" width="48.0"/>
    <col customWidth="1" min="28" max="28" width="10.78"/>
    <col customWidth="1" min="29" max="29" width="17.0"/>
    <col customWidth="1" min="30" max="50" width="11.0"/>
  </cols>
  <sheetData>
    <row r="1" ht="18.0" customHeight="1">
      <c r="A1" s="4" t="s">
        <v>3</v>
      </c>
      <c r="B1" s="5" t="s">
        <v>5</v>
      </c>
      <c r="C1" s="17" t="s">
        <v>6</v>
      </c>
      <c r="D1" s="4" t="s">
        <v>12</v>
      </c>
      <c r="E1" s="4" t="s">
        <v>13</v>
      </c>
      <c r="F1" s="5" t="s">
        <v>20</v>
      </c>
      <c r="G1" s="4" t="s">
        <v>21</v>
      </c>
      <c r="H1" s="4" t="s">
        <v>23</v>
      </c>
      <c r="I1" s="5" t="s">
        <v>24</v>
      </c>
      <c r="J1" s="22" t="s">
        <v>25</v>
      </c>
      <c r="K1" s="5" t="s">
        <v>26</v>
      </c>
      <c r="L1" s="5" t="s">
        <v>27</v>
      </c>
      <c r="M1" s="4" t="s">
        <v>28</v>
      </c>
      <c r="N1" s="4" t="s">
        <v>29</v>
      </c>
      <c r="O1" s="5" t="s">
        <v>30</v>
      </c>
      <c r="P1" s="5" t="s">
        <v>31</v>
      </c>
      <c r="Q1" s="5" t="s">
        <v>32</v>
      </c>
      <c r="R1" s="5" t="s">
        <v>33</v>
      </c>
      <c r="S1" s="5" t="s">
        <v>34</v>
      </c>
      <c r="T1" s="5" t="s">
        <v>35</v>
      </c>
      <c r="U1" s="5" t="s">
        <v>36</v>
      </c>
      <c r="V1" s="5" t="s">
        <v>37</v>
      </c>
      <c r="W1" s="5" t="s">
        <v>38</v>
      </c>
      <c r="X1" s="5" t="s">
        <v>39</v>
      </c>
      <c r="Y1" s="5" t="s">
        <v>40</v>
      </c>
      <c r="Z1" s="5" t="s">
        <v>41</v>
      </c>
      <c r="AA1" s="5" t="s">
        <v>42</v>
      </c>
      <c r="AB1" s="5" t="s">
        <v>43</v>
      </c>
      <c r="AC1" s="5" t="s">
        <v>45</v>
      </c>
      <c r="AD1" s="5"/>
      <c r="AE1" s="5"/>
      <c r="AF1" s="5"/>
      <c r="AG1" s="5"/>
      <c r="AH1" s="5"/>
      <c r="AI1" s="5"/>
      <c r="AJ1" s="5"/>
      <c r="AK1" s="5"/>
      <c r="AL1" s="5"/>
      <c r="AM1" s="5"/>
      <c r="AN1" s="5"/>
      <c r="AO1" s="5"/>
      <c r="AP1" s="5"/>
      <c r="AQ1" s="5"/>
      <c r="AR1" s="5"/>
      <c r="AS1" s="5"/>
      <c r="AT1" s="5"/>
      <c r="AU1" s="5"/>
      <c r="AV1" s="5"/>
      <c r="AW1" s="5"/>
      <c r="AX1" s="5"/>
    </row>
    <row r="2" ht="15.75" customHeight="1">
      <c r="A2" s="29" t="s">
        <v>49</v>
      </c>
      <c r="B2" s="29" t="s">
        <v>51</v>
      </c>
      <c r="C2" s="31"/>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29"/>
      <c r="AV2" s="29"/>
      <c r="AW2" s="29"/>
      <c r="AX2" s="29"/>
    </row>
    <row r="3" ht="15.75" customHeight="1">
      <c r="A3" s="29" t="s">
        <v>56</v>
      </c>
      <c r="B3" s="29" t="s">
        <v>57</v>
      </c>
      <c r="C3" s="31"/>
      <c r="D3" s="29"/>
      <c r="E3" s="29"/>
      <c r="F3" s="29"/>
      <c r="G3" s="29"/>
      <c r="H3" s="29"/>
      <c r="I3" s="29"/>
      <c r="J3" s="29"/>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c r="AU3" s="29"/>
      <c r="AV3" s="29"/>
      <c r="AW3" s="29"/>
      <c r="AX3" s="29"/>
    </row>
    <row r="4" ht="15.75" customHeight="1">
      <c r="A4" s="29" t="s">
        <v>60</v>
      </c>
      <c r="B4" s="29" t="s">
        <v>60</v>
      </c>
      <c r="C4" s="31"/>
      <c r="D4" s="29"/>
      <c r="E4" s="29"/>
      <c r="F4" s="29"/>
      <c r="G4" s="29"/>
      <c r="H4" s="29"/>
      <c r="I4" s="29"/>
      <c r="J4" s="29"/>
      <c r="K4" s="29"/>
      <c r="L4" s="29"/>
      <c r="M4" s="29"/>
      <c r="N4" s="29"/>
      <c r="O4" s="29"/>
      <c r="P4" s="29"/>
      <c r="Q4" s="29"/>
      <c r="R4" s="29"/>
      <c r="S4" s="29"/>
      <c r="T4" s="29"/>
      <c r="U4" s="29"/>
      <c r="V4" s="29"/>
      <c r="W4" s="29"/>
      <c r="X4" s="29"/>
      <c r="Y4" s="29"/>
      <c r="Z4" s="29"/>
      <c r="AA4" s="29"/>
      <c r="AB4" s="29"/>
      <c r="AC4" s="29"/>
      <c r="AD4" s="29"/>
      <c r="AE4" s="29"/>
      <c r="AF4" s="29"/>
      <c r="AG4" s="29"/>
      <c r="AH4" s="29"/>
      <c r="AI4" s="29"/>
      <c r="AJ4" s="29"/>
      <c r="AK4" s="29"/>
      <c r="AL4" s="29"/>
      <c r="AM4" s="29"/>
      <c r="AN4" s="29"/>
      <c r="AO4" s="29"/>
      <c r="AP4" s="29"/>
      <c r="AQ4" s="29"/>
      <c r="AR4" s="29"/>
      <c r="AS4" s="29"/>
      <c r="AT4" s="29"/>
      <c r="AU4" s="29"/>
      <c r="AV4" s="29"/>
      <c r="AW4" s="29"/>
      <c r="AX4" s="29"/>
    </row>
    <row r="5" ht="15.75" customHeight="1">
      <c r="A5" s="29" t="s">
        <v>61</v>
      </c>
      <c r="B5" s="29" t="s">
        <v>62</v>
      </c>
      <c r="C5" s="31"/>
      <c r="D5" s="29"/>
      <c r="E5" s="29"/>
      <c r="F5" s="29"/>
      <c r="G5" s="29"/>
      <c r="H5" s="29"/>
      <c r="I5" s="29"/>
      <c r="J5" s="29"/>
      <c r="K5" s="29"/>
      <c r="L5" s="29"/>
      <c r="M5" s="29"/>
      <c r="N5" s="29"/>
      <c r="O5" s="29"/>
      <c r="P5" s="29"/>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c r="AU5" s="29"/>
      <c r="AV5" s="29"/>
      <c r="AW5" s="29"/>
      <c r="AX5" s="29"/>
    </row>
    <row r="6" ht="15.75" customHeight="1">
      <c r="A6" s="29" t="s">
        <v>64</v>
      </c>
      <c r="B6" s="29" t="s">
        <v>64</v>
      </c>
      <c r="C6" s="31"/>
      <c r="D6" s="29"/>
      <c r="E6" s="29"/>
      <c r="F6" s="29"/>
      <c r="G6" s="29"/>
      <c r="H6" s="29"/>
      <c r="I6" s="29"/>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row>
    <row r="7" ht="15.75" customHeight="1">
      <c r="A7" s="29" t="s">
        <v>68</v>
      </c>
      <c r="B7" s="29" t="s">
        <v>69</v>
      </c>
      <c r="C7" s="31"/>
      <c r="D7" s="29"/>
      <c r="E7" s="29"/>
      <c r="F7" s="29"/>
      <c r="G7" s="29"/>
      <c r="H7" s="29"/>
      <c r="I7" s="29"/>
      <c r="J7" s="29"/>
      <c r="K7" s="29"/>
      <c r="L7" s="29"/>
      <c r="M7" s="29"/>
      <c r="N7" s="29"/>
      <c r="O7" s="29"/>
      <c r="P7" s="29"/>
      <c r="Q7" s="29"/>
      <c r="R7" s="29"/>
      <c r="S7" s="29"/>
      <c r="T7" s="29" t="s">
        <v>72</v>
      </c>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row>
    <row r="8" ht="15.75" customHeight="1">
      <c r="A8" s="29" t="s">
        <v>68</v>
      </c>
      <c r="B8" s="29" t="s">
        <v>74</v>
      </c>
      <c r="C8" s="31"/>
      <c r="D8" s="29"/>
      <c r="E8" s="29"/>
      <c r="F8" s="29"/>
      <c r="G8" s="29"/>
      <c r="H8" s="29"/>
      <c r="I8" s="29"/>
      <c r="J8" s="29"/>
      <c r="K8" s="29"/>
      <c r="L8" s="29"/>
      <c r="M8" s="29"/>
      <c r="N8" s="29"/>
      <c r="O8" s="29"/>
      <c r="P8" s="29"/>
      <c r="Q8" s="29"/>
      <c r="R8" s="29"/>
      <c r="S8" s="29"/>
      <c r="T8" s="29" t="s">
        <v>77</v>
      </c>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row>
    <row r="9" ht="15.75" customHeight="1">
      <c r="A9" s="56" t="s">
        <v>83</v>
      </c>
      <c r="B9" s="56" t="s">
        <v>84</v>
      </c>
      <c r="C9" s="57" t="s">
        <v>85</v>
      </c>
      <c r="D9" s="29"/>
      <c r="E9" s="29"/>
      <c r="F9" s="29"/>
      <c r="G9" s="29"/>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row>
    <row r="10" ht="15.75" customHeight="1">
      <c r="A10" s="56" t="s">
        <v>41</v>
      </c>
      <c r="B10" s="56" t="s">
        <v>88</v>
      </c>
      <c r="C10" s="57" t="s">
        <v>89</v>
      </c>
      <c r="D10" s="57" t="s">
        <v>90</v>
      </c>
      <c r="E10" s="57" t="s">
        <v>92</v>
      </c>
      <c r="F10" s="31"/>
      <c r="G10" s="31"/>
      <c r="H10" s="31"/>
      <c r="I10" s="29"/>
      <c r="J10" s="56" t="s">
        <v>94</v>
      </c>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row>
    <row r="11" ht="15.75" customHeight="1">
      <c r="A11" s="29"/>
      <c r="B11" s="29"/>
      <c r="C11" s="31"/>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row>
    <row r="12" ht="15.75" customHeight="1">
      <c r="A12" s="56" t="s">
        <v>107</v>
      </c>
      <c r="B12" s="56" t="s">
        <v>108</v>
      </c>
      <c r="C12" s="57" t="s">
        <v>110</v>
      </c>
      <c r="D12" s="29"/>
      <c r="E12" s="63"/>
      <c r="F12" s="29"/>
      <c r="G12" s="29"/>
      <c r="H12" s="29"/>
      <c r="I12" s="29"/>
      <c r="J12" s="29"/>
      <c r="K12" s="29"/>
      <c r="L12" s="29"/>
      <c r="M12" s="29"/>
      <c r="N12" s="29"/>
      <c r="O12" s="29"/>
      <c r="P12" s="29"/>
      <c r="Q12" s="29"/>
      <c r="R12" s="29"/>
      <c r="S12" s="29"/>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row>
    <row r="13" ht="15.75" customHeight="1">
      <c r="A13" s="64" t="s">
        <v>118</v>
      </c>
      <c r="B13" s="65" t="s">
        <v>120</v>
      </c>
      <c r="C13" s="57"/>
      <c r="D13" s="57"/>
      <c r="E13" s="57"/>
      <c r="F13" s="66"/>
      <c r="G13" s="66"/>
      <c r="H13" s="66"/>
      <c r="I13" s="66"/>
      <c r="J13" s="68"/>
      <c r="K13" s="64"/>
      <c r="L13" s="64"/>
      <c r="M13" s="66"/>
      <c r="N13" s="66"/>
      <c r="O13" s="66"/>
      <c r="P13" s="66"/>
      <c r="Q13" s="69"/>
      <c r="R13" s="66"/>
      <c r="S13" s="66"/>
      <c r="T13" s="64" t="s">
        <v>125</v>
      </c>
      <c r="U13" s="66"/>
      <c r="V13" s="66"/>
      <c r="W13" s="66"/>
      <c r="X13" s="66"/>
      <c r="Y13" s="66"/>
      <c r="Z13" s="66"/>
      <c r="AA13" s="66"/>
      <c r="AB13" s="66"/>
      <c r="AC13" s="66"/>
      <c r="AD13" s="66"/>
      <c r="AE13" s="66"/>
      <c r="AF13" s="66"/>
      <c r="AG13" s="66"/>
      <c r="AH13" s="66"/>
      <c r="AI13" s="66"/>
      <c r="AJ13" s="66"/>
      <c r="AK13" s="66"/>
      <c r="AL13" s="66"/>
      <c r="AM13" s="66"/>
      <c r="AN13" s="66"/>
      <c r="AO13" s="66"/>
      <c r="AP13" s="66"/>
      <c r="AQ13" s="66"/>
      <c r="AR13" s="66"/>
      <c r="AS13" s="66"/>
      <c r="AT13" s="66"/>
      <c r="AU13" s="66"/>
      <c r="AV13" s="66"/>
      <c r="AW13" s="66"/>
      <c r="AX13" s="66"/>
    </row>
    <row r="14" ht="15.75" customHeight="1">
      <c r="A14" s="69" t="s">
        <v>129</v>
      </c>
      <c r="B14" s="72" t="s">
        <v>63</v>
      </c>
      <c r="C14" s="31" t="s">
        <v>130</v>
      </c>
      <c r="D14" s="31" t="s">
        <v>131</v>
      </c>
      <c r="E14" s="31" t="s">
        <v>133</v>
      </c>
      <c r="F14" s="31"/>
      <c r="G14" s="31"/>
      <c r="H14" s="31"/>
      <c r="I14" s="66"/>
      <c r="J14" s="68"/>
      <c r="K14" s="64" t="s">
        <v>137</v>
      </c>
      <c r="L14" s="64" t="s">
        <v>138</v>
      </c>
      <c r="M14" s="66"/>
      <c r="N14" s="66"/>
      <c r="O14" s="66"/>
      <c r="P14" s="66"/>
      <c r="Q14" s="69" t="s">
        <v>139</v>
      </c>
      <c r="R14" s="66"/>
      <c r="S14" s="66"/>
      <c r="T14" s="66"/>
      <c r="U14" s="66"/>
      <c r="V14" s="66"/>
      <c r="W14" s="66"/>
      <c r="X14" s="73"/>
      <c r="Y14" s="64" t="s">
        <v>140</v>
      </c>
      <c r="Z14" s="66"/>
      <c r="AA14" s="66"/>
      <c r="AB14" s="66"/>
      <c r="AC14" s="66"/>
      <c r="AD14" s="66"/>
      <c r="AE14" s="66"/>
      <c r="AF14" s="66"/>
      <c r="AG14" s="66"/>
      <c r="AH14" s="66"/>
      <c r="AI14" s="66"/>
      <c r="AJ14" s="66"/>
      <c r="AK14" s="66"/>
      <c r="AL14" s="66"/>
      <c r="AM14" s="66"/>
      <c r="AN14" s="66"/>
      <c r="AO14" s="66"/>
      <c r="AP14" s="66"/>
      <c r="AQ14" s="66"/>
      <c r="AR14" s="66"/>
      <c r="AS14" s="66"/>
      <c r="AT14" s="66"/>
      <c r="AU14" s="66"/>
      <c r="AV14" s="66"/>
      <c r="AW14" s="66"/>
      <c r="AX14" s="66"/>
    </row>
    <row r="15" ht="15.75" customHeight="1">
      <c r="A15" s="69" t="s">
        <v>141</v>
      </c>
      <c r="B15" s="72" t="s">
        <v>142</v>
      </c>
      <c r="C15" s="31" t="s">
        <v>143</v>
      </c>
      <c r="D15" s="31" t="s">
        <v>144</v>
      </c>
      <c r="E15" s="31" t="s">
        <v>145</v>
      </c>
      <c r="F15" s="31"/>
      <c r="G15" s="31"/>
      <c r="H15" s="31"/>
      <c r="I15" s="66"/>
      <c r="J15" s="65" t="s">
        <v>146</v>
      </c>
      <c r="K15" s="66"/>
      <c r="L15" s="66"/>
      <c r="M15" s="66"/>
      <c r="N15" s="66"/>
      <c r="O15" s="66"/>
      <c r="P15" s="66"/>
      <c r="Q15" s="69" t="s">
        <v>139</v>
      </c>
      <c r="R15" s="66"/>
      <c r="S15" s="66"/>
      <c r="T15" s="66"/>
      <c r="U15" s="66"/>
      <c r="V15" s="66"/>
      <c r="W15" s="66"/>
      <c r="X15" s="66"/>
      <c r="Y15" s="66"/>
      <c r="Z15" s="66"/>
      <c r="AA15" s="66"/>
      <c r="AB15" s="66"/>
      <c r="AC15" s="66"/>
      <c r="AD15" s="75"/>
      <c r="AE15" s="75"/>
      <c r="AF15" s="75"/>
      <c r="AG15" s="75"/>
      <c r="AH15" s="75"/>
      <c r="AI15" s="75"/>
      <c r="AJ15" s="75"/>
      <c r="AK15" s="75"/>
      <c r="AL15" s="75"/>
      <c r="AM15" s="75"/>
      <c r="AN15" s="75"/>
      <c r="AO15" s="75"/>
      <c r="AP15" s="75"/>
      <c r="AQ15" s="75"/>
      <c r="AR15" s="75"/>
      <c r="AS15" s="75"/>
      <c r="AT15" s="75"/>
      <c r="AU15" s="75"/>
      <c r="AV15" s="75"/>
      <c r="AW15" s="75"/>
      <c r="AX15" s="75"/>
    </row>
    <row r="16" ht="15.75" customHeight="1">
      <c r="A16" s="56" t="s">
        <v>148</v>
      </c>
      <c r="B16" s="56" t="s">
        <v>149</v>
      </c>
      <c r="C16" s="31" t="s">
        <v>150</v>
      </c>
      <c r="D16" s="31" t="s">
        <v>151</v>
      </c>
      <c r="E16" s="31" t="s">
        <v>152</v>
      </c>
      <c r="F16" s="31"/>
      <c r="G16" s="31"/>
      <c r="H16" s="31"/>
      <c r="I16" s="29"/>
      <c r="J16" s="65" t="s">
        <v>153</v>
      </c>
      <c r="K16" s="29"/>
      <c r="L16" s="29"/>
      <c r="M16" s="29"/>
      <c r="N16" s="29"/>
      <c r="O16" s="29"/>
      <c r="P16" s="29"/>
      <c r="Q16" s="56" t="s">
        <v>139</v>
      </c>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row>
    <row r="17" ht="15.75" customHeight="1">
      <c r="A17" s="56" t="s">
        <v>68</v>
      </c>
      <c r="B17" s="56" t="s">
        <v>157</v>
      </c>
      <c r="C17" s="57" t="s">
        <v>158</v>
      </c>
      <c r="D17" s="63"/>
      <c r="E17" s="63"/>
      <c r="F17" s="29"/>
      <c r="G17" s="29"/>
      <c r="H17" s="29"/>
      <c r="I17" s="29"/>
      <c r="J17" s="29"/>
      <c r="K17" s="29"/>
      <c r="L17" s="29"/>
      <c r="M17" s="29"/>
      <c r="N17" s="29"/>
      <c r="O17" s="29"/>
      <c r="P17" s="29"/>
      <c r="Q17" s="29"/>
      <c r="R17" s="29"/>
      <c r="S17" s="29"/>
      <c r="T17" s="56" t="s">
        <v>159</v>
      </c>
      <c r="U17" s="29"/>
      <c r="V17" s="29"/>
      <c r="W17" s="29"/>
      <c r="X17" s="29"/>
      <c r="Y17" s="29"/>
      <c r="Z17" s="29"/>
      <c r="AA17" s="29"/>
      <c r="AB17" s="29"/>
      <c r="AC17" s="29"/>
      <c r="AD17" s="29"/>
      <c r="AE17" s="29"/>
      <c r="AF17" s="29"/>
      <c r="AG17" s="29"/>
      <c r="AH17" s="29"/>
      <c r="AI17" s="29"/>
      <c r="AJ17" s="29"/>
      <c r="AK17" s="29"/>
      <c r="AL17" s="29"/>
      <c r="AM17" s="29"/>
      <c r="AN17" s="29"/>
      <c r="AO17" s="29"/>
      <c r="AP17" s="29"/>
      <c r="AQ17" s="29"/>
      <c r="AR17" s="29"/>
      <c r="AS17" s="29"/>
      <c r="AT17" s="29"/>
      <c r="AU17" s="29"/>
      <c r="AV17" s="29"/>
      <c r="AW17" s="29"/>
      <c r="AX17" s="29"/>
    </row>
    <row r="18" ht="15.75" customHeight="1">
      <c r="A18" s="56" t="s">
        <v>148</v>
      </c>
      <c r="B18" s="56" t="s">
        <v>162</v>
      </c>
      <c r="C18" s="31" t="s">
        <v>163</v>
      </c>
      <c r="D18" s="31" t="s">
        <v>164</v>
      </c>
      <c r="E18" s="31" t="s">
        <v>165</v>
      </c>
      <c r="F18" s="31"/>
      <c r="G18" s="31"/>
      <c r="H18" s="31"/>
      <c r="I18" s="29"/>
      <c r="J18" s="65" t="s">
        <v>153</v>
      </c>
      <c r="K18" s="29"/>
      <c r="L18" s="29"/>
      <c r="M18" s="29"/>
      <c r="N18" s="29"/>
      <c r="O18" s="29"/>
      <c r="P18" s="29"/>
      <c r="Q18" s="56" t="s">
        <v>139</v>
      </c>
      <c r="R18" s="29"/>
      <c r="S18" s="29"/>
      <c r="T18" s="29"/>
      <c r="U18" s="29"/>
      <c r="V18" s="29"/>
      <c r="W18" s="29"/>
      <c r="X18" s="29"/>
      <c r="Y18" s="56"/>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row>
    <row r="19" ht="15.75" customHeight="1">
      <c r="A19" s="56" t="s">
        <v>68</v>
      </c>
      <c r="B19" s="56" t="s">
        <v>168</v>
      </c>
      <c r="C19" s="57" t="s">
        <v>158</v>
      </c>
      <c r="D19" s="63"/>
      <c r="E19" s="63"/>
      <c r="F19" s="29"/>
      <c r="G19" s="29"/>
      <c r="H19" s="29"/>
      <c r="I19" s="29"/>
      <c r="J19" s="29"/>
      <c r="K19" s="29"/>
      <c r="L19" s="29"/>
      <c r="M19" s="29"/>
      <c r="N19" s="29"/>
      <c r="O19" s="29"/>
      <c r="P19" s="29"/>
      <c r="Q19" s="29"/>
      <c r="R19" s="29"/>
      <c r="S19" s="29"/>
      <c r="T19" s="56" t="s">
        <v>173</v>
      </c>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row>
    <row r="20" ht="15.75" customHeight="1">
      <c r="A20" s="56" t="s">
        <v>179</v>
      </c>
      <c r="B20" s="56" t="s">
        <v>180</v>
      </c>
      <c r="C20" s="31" t="s">
        <v>181</v>
      </c>
      <c r="D20" s="31" t="s">
        <v>182</v>
      </c>
      <c r="E20" s="31" t="s">
        <v>205</v>
      </c>
      <c r="F20" s="31"/>
      <c r="G20" s="31"/>
      <c r="H20" s="31"/>
      <c r="I20" s="29"/>
      <c r="J20" s="56" t="s">
        <v>206</v>
      </c>
      <c r="K20" s="29"/>
      <c r="L20" s="29"/>
      <c r="M20" s="29"/>
      <c r="N20" s="29"/>
      <c r="O20" s="29"/>
      <c r="P20" s="29"/>
      <c r="Q20" s="56" t="s">
        <v>139</v>
      </c>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29"/>
    </row>
    <row r="21" ht="15.75" customHeight="1">
      <c r="A21" s="56" t="s">
        <v>68</v>
      </c>
      <c r="B21" s="56" t="s">
        <v>186</v>
      </c>
      <c r="C21" s="57" t="s">
        <v>211</v>
      </c>
      <c r="D21" s="63"/>
      <c r="E21" s="63"/>
      <c r="F21" s="29"/>
      <c r="G21" s="29"/>
      <c r="H21" s="29"/>
      <c r="I21" s="29"/>
      <c r="J21" s="29"/>
      <c r="K21" s="29"/>
      <c r="L21" s="29"/>
      <c r="M21" s="29"/>
      <c r="N21" s="29"/>
      <c r="O21" s="29"/>
      <c r="P21" s="29"/>
      <c r="Q21" s="29"/>
      <c r="R21" s="29"/>
      <c r="S21" s="29"/>
      <c r="T21" s="56" t="s">
        <v>212</v>
      </c>
      <c r="U21" s="29"/>
      <c r="V21" s="29"/>
      <c r="W21" s="29"/>
      <c r="X21" s="29"/>
      <c r="Y21" s="29"/>
      <c r="Z21" s="29"/>
      <c r="AA21" s="29"/>
      <c r="AB21" s="29"/>
      <c r="AC21" s="29"/>
      <c r="AD21" s="29"/>
      <c r="AE21" s="29"/>
      <c r="AF21" s="29"/>
      <c r="AG21" s="29"/>
      <c r="AH21" s="29"/>
      <c r="AI21" s="29"/>
      <c r="AJ21" s="29"/>
      <c r="AK21" s="29"/>
      <c r="AL21" s="29"/>
      <c r="AM21" s="29"/>
      <c r="AN21" s="29"/>
      <c r="AO21" s="29"/>
      <c r="AP21" s="29"/>
      <c r="AQ21" s="29"/>
      <c r="AR21" s="29"/>
      <c r="AS21" s="29"/>
      <c r="AT21" s="29"/>
      <c r="AU21" s="29"/>
      <c r="AV21" s="29"/>
      <c r="AW21" s="29"/>
      <c r="AX21" s="29"/>
    </row>
    <row r="22" ht="15.75" customHeight="1">
      <c r="A22" s="99" t="s">
        <v>68</v>
      </c>
      <c r="B22" s="100" t="s">
        <v>215</v>
      </c>
      <c r="C22" s="101"/>
      <c r="D22" s="101"/>
      <c r="E22" s="101"/>
      <c r="F22" s="102"/>
      <c r="G22" s="102"/>
      <c r="H22" s="102"/>
      <c r="I22" s="102"/>
      <c r="J22" s="102"/>
      <c r="K22" s="102"/>
      <c r="L22" s="102"/>
      <c r="M22" s="102"/>
      <c r="N22" s="102"/>
      <c r="O22" s="102"/>
      <c r="P22" s="102"/>
      <c r="Q22" s="102"/>
      <c r="R22" s="102"/>
      <c r="S22" s="102"/>
      <c r="T22" s="56" t="s">
        <v>217</v>
      </c>
      <c r="U22" s="102"/>
      <c r="V22" s="102"/>
      <c r="W22" s="102"/>
      <c r="X22" s="102"/>
      <c r="Y22" s="102"/>
      <c r="Z22" s="102"/>
      <c r="AA22" s="102"/>
      <c r="AB22" s="102"/>
      <c r="AC22" s="102"/>
      <c r="AD22" s="102"/>
      <c r="AE22" s="102"/>
      <c r="AF22" s="102"/>
      <c r="AG22" s="102"/>
      <c r="AH22" s="102"/>
      <c r="AI22" s="102"/>
      <c r="AJ22" s="102"/>
      <c r="AK22" s="102"/>
      <c r="AL22" s="102"/>
      <c r="AM22" s="102"/>
      <c r="AN22" s="102"/>
      <c r="AO22" s="102"/>
      <c r="AP22" s="102"/>
      <c r="AQ22" s="102"/>
      <c r="AR22" s="102"/>
      <c r="AS22" s="102"/>
      <c r="AT22" s="102"/>
      <c r="AU22" s="102"/>
      <c r="AV22" s="102"/>
      <c r="AW22" s="102"/>
      <c r="AX22" s="102"/>
    </row>
    <row r="23" ht="15.75" customHeight="1">
      <c r="A23" s="56" t="s">
        <v>68</v>
      </c>
      <c r="B23" s="56" t="s">
        <v>185</v>
      </c>
      <c r="C23" s="57"/>
      <c r="D23" s="105"/>
      <c r="E23" s="105"/>
      <c r="F23" s="29"/>
      <c r="G23" s="29"/>
      <c r="H23" s="29"/>
      <c r="I23" s="29"/>
      <c r="J23" s="56"/>
      <c r="K23" s="29"/>
      <c r="L23" s="29"/>
      <c r="M23" s="29"/>
      <c r="N23" s="29"/>
      <c r="O23" s="29"/>
      <c r="P23" s="29"/>
      <c r="Q23" s="56"/>
      <c r="R23" s="29"/>
      <c r="S23" s="29"/>
      <c r="T23" s="56" t="s">
        <v>220</v>
      </c>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row>
    <row r="24" ht="15.75" customHeight="1">
      <c r="A24" s="56" t="s">
        <v>222</v>
      </c>
      <c r="B24" s="56" t="s">
        <v>190</v>
      </c>
      <c r="C24" s="31" t="s">
        <v>223</v>
      </c>
      <c r="D24" s="31" t="s">
        <v>224</v>
      </c>
      <c r="E24" s="31" t="s">
        <v>225</v>
      </c>
      <c r="F24" s="31"/>
      <c r="G24" s="31"/>
      <c r="H24" s="31"/>
      <c r="I24" s="29"/>
      <c r="J24" s="56" t="s">
        <v>226</v>
      </c>
      <c r="K24" s="29"/>
      <c r="L24" s="29"/>
      <c r="M24" s="29"/>
      <c r="N24" s="29"/>
      <c r="O24" s="29"/>
      <c r="P24" s="29"/>
      <c r="Q24" s="56" t="s">
        <v>139</v>
      </c>
      <c r="R24" s="29"/>
      <c r="S24" s="29"/>
      <c r="T24" s="29"/>
      <c r="U24" s="29"/>
      <c r="V24" s="29"/>
      <c r="W24" s="29"/>
      <c r="X24" s="29"/>
      <c r="Y24" s="29"/>
      <c r="Z24" s="29"/>
      <c r="AA24" s="29"/>
      <c r="AB24" s="29"/>
      <c r="AC24" s="29"/>
      <c r="AD24" s="29"/>
      <c r="AE24" s="29"/>
      <c r="AF24" s="29"/>
      <c r="AG24" s="29"/>
      <c r="AH24" s="29"/>
      <c r="AI24" s="29"/>
      <c r="AJ24" s="29"/>
      <c r="AK24" s="29"/>
      <c r="AL24" s="29"/>
      <c r="AM24" s="29"/>
      <c r="AN24" s="29"/>
      <c r="AO24" s="29"/>
      <c r="AP24" s="29"/>
      <c r="AQ24" s="29"/>
      <c r="AR24" s="29"/>
      <c r="AS24" s="29"/>
      <c r="AT24" s="29"/>
      <c r="AU24" s="29"/>
      <c r="AV24" s="29"/>
      <c r="AW24" s="29"/>
      <c r="AX24" s="29"/>
    </row>
    <row r="25" ht="15.75" customHeight="1">
      <c r="A25" s="56" t="s">
        <v>68</v>
      </c>
      <c r="B25" s="56" t="s">
        <v>192</v>
      </c>
      <c r="C25" s="57" t="s">
        <v>227</v>
      </c>
      <c r="D25" s="29"/>
      <c r="E25" s="63"/>
      <c r="F25" s="29"/>
      <c r="G25" s="29"/>
      <c r="H25" s="29"/>
      <c r="I25" s="29"/>
      <c r="J25" s="29"/>
      <c r="K25" s="29"/>
      <c r="L25" s="29"/>
      <c r="M25" s="29"/>
      <c r="N25" s="29"/>
      <c r="O25" s="29"/>
      <c r="P25" s="29"/>
      <c r="Q25" s="29"/>
      <c r="R25" s="29"/>
      <c r="S25" s="29"/>
      <c r="T25" s="56" t="s">
        <v>229</v>
      </c>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row>
    <row r="26" ht="15.75" customHeight="1">
      <c r="A26" s="56" t="s">
        <v>68</v>
      </c>
      <c r="B26" s="56" t="s">
        <v>234</v>
      </c>
      <c r="C26" s="57"/>
      <c r="D26" s="29"/>
      <c r="E26" s="63"/>
      <c r="F26" s="29"/>
      <c r="G26" s="29"/>
      <c r="H26" s="29"/>
      <c r="I26" s="29"/>
      <c r="J26" s="29"/>
      <c r="K26" s="29"/>
      <c r="L26" s="29"/>
      <c r="M26" s="29"/>
      <c r="N26" s="29"/>
      <c r="O26" s="29"/>
      <c r="P26" s="29"/>
      <c r="Q26" s="29"/>
      <c r="R26" s="29"/>
      <c r="S26" s="29"/>
      <c r="T26" s="56" t="s">
        <v>235</v>
      </c>
      <c r="U26" s="29"/>
      <c r="V26" s="29"/>
      <c r="W26" s="29"/>
      <c r="X26" s="29"/>
      <c r="Y26" s="29"/>
      <c r="Z26" s="29"/>
      <c r="AA26" s="29"/>
      <c r="AB26" s="29"/>
      <c r="AC26" s="29"/>
      <c r="AD26" s="29"/>
      <c r="AE26" s="29"/>
      <c r="AF26" s="29"/>
      <c r="AG26" s="29"/>
      <c r="AH26" s="29"/>
      <c r="AI26" s="29"/>
      <c r="AJ26" s="29"/>
      <c r="AK26" s="29"/>
      <c r="AL26" s="29"/>
      <c r="AM26" s="29"/>
      <c r="AN26" s="29"/>
      <c r="AO26" s="29"/>
      <c r="AP26" s="29"/>
      <c r="AQ26" s="29"/>
      <c r="AR26" s="29"/>
      <c r="AS26" s="29"/>
      <c r="AT26" s="29"/>
      <c r="AU26" s="29"/>
      <c r="AV26" s="29"/>
      <c r="AW26" s="29"/>
      <c r="AX26" s="29"/>
    </row>
    <row r="27" ht="15.75" customHeight="1">
      <c r="A27" s="56" t="s">
        <v>68</v>
      </c>
      <c r="B27" s="56" t="s">
        <v>236</v>
      </c>
      <c r="C27" s="57"/>
      <c r="D27" s="29"/>
      <c r="E27" s="63"/>
      <c r="F27" s="29"/>
      <c r="G27" s="29"/>
      <c r="H27" s="29"/>
      <c r="I27" s="29"/>
      <c r="J27" s="29"/>
      <c r="K27" s="29"/>
      <c r="L27" s="29"/>
      <c r="M27" s="29"/>
      <c r="N27" s="29"/>
      <c r="O27" s="29"/>
      <c r="P27" s="29"/>
      <c r="Q27" s="29"/>
      <c r="R27" s="29"/>
      <c r="S27" s="29"/>
      <c r="T27" s="56" t="s">
        <v>237</v>
      </c>
      <c r="U27" s="29"/>
      <c r="V27" s="29"/>
      <c r="W27" s="29"/>
      <c r="X27" s="29"/>
      <c r="Y27" s="29"/>
      <c r="Z27" s="2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row>
    <row r="28" ht="15.75" customHeight="1">
      <c r="A28" s="56" t="s">
        <v>238</v>
      </c>
      <c r="B28" s="56" t="s">
        <v>108</v>
      </c>
      <c r="C28" s="57" t="s">
        <v>110</v>
      </c>
      <c r="D28" s="29"/>
      <c r="E28" s="63"/>
      <c r="F28" s="29"/>
      <c r="G28" s="29"/>
      <c r="H28" s="29"/>
      <c r="I28" s="29"/>
      <c r="J28" s="29"/>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row>
    <row r="29" ht="15.75" customHeight="1">
      <c r="A29" s="29"/>
      <c r="B29" s="29"/>
      <c r="C29" s="31"/>
      <c r="D29" s="29"/>
      <c r="E29" s="29"/>
      <c r="F29" s="29"/>
      <c r="G29" s="29"/>
      <c r="H29" s="29"/>
      <c r="I29" s="29"/>
      <c r="J29" s="29"/>
      <c r="K29" s="29"/>
      <c r="L29" s="29"/>
      <c r="M29" s="29"/>
      <c r="N29" s="29"/>
      <c r="O29" s="29"/>
      <c r="P29" s="29"/>
      <c r="Q29" s="29"/>
      <c r="R29" s="29"/>
      <c r="S29" s="29"/>
      <c r="T29" s="29"/>
      <c r="U29" s="29"/>
      <c r="V29" s="29"/>
      <c r="W29" s="29"/>
      <c r="X29" s="29"/>
      <c r="Y29" s="29"/>
      <c r="Z29" s="29"/>
      <c r="AA29" s="29"/>
      <c r="AB29" s="29"/>
      <c r="AC29" s="29"/>
      <c r="AD29" s="29"/>
      <c r="AE29" s="29"/>
      <c r="AF29" s="29"/>
      <c r="AG29" s="29"/>
      <c r="AH29" s="29"/>
      <c r="AI29" s="29"/>
      <c r="AJ29" s="29"/>
      <c r="AK29" s="29"/>
      <c r="AL29" s="29"/>
      <c r="AM29" s="29"/>
      <c r="AN29" s="29"/>
      <c r="AO29" s="29"/>
      <c r="AP29" s="29"/>
      <c r="AQ29" s="29"/>
      <c r="AR29" s="29"/>
      <c r="AS29" s="29"/>
      <c r="AT29" s="29"/>
      <c r="AU29" s="29"/>
      <c r="AV29" s="29"/>
      <c r="AW29" s="29"/>
      <c r="AX29" s="29"/>
    </row>
    <row r="30" ht="15.75" customHeight="1">
      <c r="A30" s="56" t="s">
        <v>107</v>
      </c>
      <c r="B30" s="56" t="s">
        <v>94</v>
      </c>
      <c r="C30" s="31"/>
      <c r="D30" s="29"/>
      <c r="E30" s="29"/>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29"/>
      <c r="AP30" s="29"/>
      <c r="AQ30" s="29"/>
      <c r="AR30" s="29"/>
      <c r="AS30" s="29"/>
      <c r="AT30" s="29"/>
      <c r="AU30" s="29"/>
      <c r="AV30" s="29"/>
      <c r="AW30" s="29"/>
      <c r="AX30" s="29"/>
    </row>
    <row r="31" ht="15.75" customHeight="1">
      <c r="A31" s="56" t="s">
        <v>68</v>
      </c>
      <c r="B31" s="56" t="s">
        <v>244</v>
      </c>
      <c r="C31" s="31"/>
      <c r="D31" s="29"/>
      <c r="E31" s="29"/>
      <c r="F31" s="29"/>
      <c r="G31" s="29"/>
      <c r="H31" s="29"/>
      <c r="I31" s="29"/>
      <c r="J31" s="29"/>
      <c r="K31" s="29"/>
      <c r="L31" s="29"/>
      <c r="M31" s="29"/>
      <c r="N31" s="29"/>
      <c r="O31" s="29"/>
      <c r="P31" s="29"/>
      <c r="Q31" s="29"/>
      <c r="R31" s="29"/>
      <c r="S31" s="29"/>
      <c r="T31" s="119" t="s">
        <v>245</v>
      </c>
      <c r="U31" s="120"/>
      <c r="V31" s="120"/>
      <c r="W31" s="29"/>
      <c r="X31" s="29"/>
      <c r="Y31" s="29"/>
      <c r="Z31" s="29"/>
      <c r="AA31" s="29"/>
      <c r="AB31" s="29"/>
      <c r="AC31" s="29"/>
      <c r="AD31" s="29"/>
      <c r="AE31" s="29"/>
      <c r="AF31" s="29"/>
      <c r="AG31" s="29"/>
      <c r="AH31" s="29"/>
      <c r="AI31" s="29"/>
      <c r="AJ31" s="29"/>
      <c r="AK31" s="29"/>
      <c r="AL31" s="29"/>
      <c r="AM31" s="29"/>
      <c r="AN31" s="29"/>
      <c r="AO31" s="29"/>
      <c r="AP31" s="29"/>
      <c r="AQ31" s="29"/>
      <c r="AR31" s="29"/>
      <c r="AS31" s="29"/>
      <c r="AT31" s="29"/>
      <c r="AU31" s="29"/>
      <c r="AV31" s="29"/>
      <c r="AW31" s="29"/>
      <c r="AX31" s="29"/>
    </row>
    <row r="32" ht="18.0" customHeight="1">
      <c r="A32" s="56" t="s">
        <v>68</v>
      </c>
      <c r="B32" s="56" t="s">
        <v>247</v>
      </c>
      <c r="C32" s="57"/>
      <c r="D32" s="105"/>
      <c r="E32" s="105"/>
      <c r="F32" s="56"/>
      <c r="G32" s="29"/>
      <c r="H32" s="29"/>
      <c r="I32" s="29"/>
      <c r="J32" s="56"/>
      <c r="K32" s="56"/>
      <c r="L32" s="56"/>
      <c r="M32" s="29"/>
      <c r="N32" s="29"/>
      <c r="O32" s="29"/>
      <c r="P32" s="29"/>
      <c r="Q32" s="29"/>
      <c r="R32" s="29"/>
      <c r="S32" s="29"/>
      <c r="T32" s="119" t="s">
        <v>249</v>
      </c>
      <c r="U32" s="29"/>
      <c r="V32" s="29"/>
      <c r="W32" s="29"/>
      <c r="X32" s="29"/>
      <c r="Y32" s="29"/>
      <c r="Z32" s="29"/>
      <c r="AA32" s="29"/>
      <c r="AB32" s="29"/>
      <c r="AC32" s="29"/>
      <c r="AD32" s="29"/>
      <c r="AE32" s="29"/>
      <c r="AF32" s="29"/>
      <c r="AG32" s="29"/>
      <c r="AH32" s="29"/>
      <c r="AI32" s="29"/>
      <c r="AJ32" s="29"/>
      <c r="AK32" s="29"/>
      <c r="AL32" s="29"/>
      <c r="AM32" s="29"/>
      <c r="AN32" s="29"/>
      <c r="AO32" s="29"/>
      <c r="AP32" s="29"/>
      <c r="AQ32" s="29"/>
      <c r="AR32" s="29"/>
      <c r="AS32" s="29"/>
      <c r="AT32" s="29"/>
      <c r="AU32" s="29"/>
      <c r="AV32" s="29"/>
      <c r="AW32" s="29"/>
      <c r="AX32" s="29"/>
    </row>
    <row r="33" ht="15.75" customHeight="1">
      <c r="A33" s="56" t="s">
        <v>68</v>
      </c>
      <c r="B33" s="56" t="s">
        <v>253</v>
      </c>
      <c r="C33" s="57"/>
      <c r="D33" s="105"/>
      <c r="E33" s="105"/>
      <c r="F33" s="56"/>
      <c r="G33" s="29"/>
      <c r="H33" s="29"/>
      <c r="I33" s="29"/>
      <c r="J33" s="56"/>
      <c r="K33" s="56"/>
      <c r="L33" s="56"/>
      <c r="M33" s="29"/>
      <c r="N33" s="29"/>
      <c r="O33" s="29"/>
      <c r="P33" s="29"/>
      <c r="Q33" s="29"/>
      <c r="R33" s="29"/>
      <c r="S33" s="29"/>
      <c r="T33" s="119" t="s">
        <v>254</v>
      </c>
      <c r="U33" s="29"/>
      <c r="V33" s="29"/>
      <c r="W33" s="29"/>
      <c r="X33" s="29"/>
      <c r="Y33" s="29"/>
      <c r="Z33" s="29"/>
      <c r="AA33" s="29"/>
      <c r="AB33" s="29"/>
      <c r="AC33" s="29"/>
      <c r="AD33" s="29"/>
      <c r="AE33" s="29"/>
      <c r="AF33" s="29"/>
      <c r="AG33" s="29"/>
      <c r="AH33" s="29"/>
      <c r="AI33" s="29"/>
      <c r="AJ33" s="29"/>
      <c r="AK33" s="29"/>
      <c r="AL33" s="29"/>
      <c r="AM33" s="29"/>
      <c r="AN33" s="29"/>
      <c r="AO33" s="29"/>
      <c r="AP33" s="29"/>
      <c r="AQ33" s="29"/>
      <c r="AR33" s="29"/>
      <c r="AS33" s="29"/>
      <c r="AT33" s="29"/>
      <c r="AU33" s="29"/>
      <c r="AV33" s="29"/>
      <c r="AW33" s="29"/>
      <c r="AX33" s="29"/>
    </row>
    <row r="34" ht="15.75" customHeight="1">
      <c r="A34" s="56" t="s">
        <v>255</v>
      </c>
      <c r="B34" s="56" t="s">
        <v>250</v>
      </c>
      <c r="C34" s="31" t="s">
        <v>256</v>
      </c>
      <c r="D34" s="31" t="s">
        <v>257</v>
      </c>
      <c r="E34" s="31" t="s">
        <v>258</v>
      </c>
      <c r="F34" s="31" t="s">
        <v>259</v>
      </c>
      <c r="G34" s="31" t="s">
        <v>260</v>
      </c>
      <c r="H34" s="31" t="s">
        <v>261</v>
      </c>
      <c r="I34" s="29"/>
      <c r="J34" s="56" t="s">
        <v>262</v>
      </c>
      <c r="K34" s="56"/>
      <c r="L34" s="56"/>
      <c r="M34" s="29"/>
      <c r="N34" s="29"/>
      <c r="O34" s="29"/>
      <c r="P34" s="29"/>
      <c r="Q34" s="56" t="s">
        <v>139</v>
      </c>
      <c r="R34" s="121"/>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c r="AV34" s="29"/>
      <c r="AW34" s="29"/>
      <c r="AX34" s="29"/>
    </row>
    <row r="35" ht="15.75" customHeight="1">
      <c r="A35" s="122" t="s">
        <v>68</v>
      </c>
      <c r="B35" s="124" t="s">
        <v>252</v>
      </c>
      <c r="C35" s="125"/>
      <c r="D35" s="127"/>
      <c r="E35" s="127"/>
      <c r="F35" s="128"/>
      <c r="G35" s="128"/>
      <c r="H35" s="128"/>
      <c r="I35" s="128"/>
      <c r="J35" s="130"/>
      <c r="K35" s="131"/>
      <c r="L35" s="128"/>
      <c r="M35" s="130"/>
      <c r="N35" s="128"/>
      <c r="O35" s="128"/>
      <c r="P35" s="128"/>
      <c r="Q35" s="131"/>
      <c r="R35" s="128"/>
      <c r="S35" s="128"/>
      <c r="T35" s="134" t="s">
        <v>269</v>
      </c>
      <c r="U35" s="128"/>
      <c r="V35" s="128"/>
      <c r="W35" s="128"/>
      <c r="X35" s="128"/>
      <c r="Y35" s="128"/>
      <c r="Z35" s="128"/>
      <c r="AA35" s="128"/>
      <c r="AB35" s="75"/>
      <c r="AC35" s="75"/>
      <c r="AD35" s="75"/>
      <c r="AE35" s="75"/>
      <c r="AF35" s="75"/>
      <c r="AG35" s="75"/>
      <c r="AH35" s="75"/>
      <c r="AI35" s="75"/>
      <c r="AJ35" s="75"/>
      <c r="AK35" s="75"/>
      <c r="AL35" s="75"/>
      <c r="AM35" s="75"/>
      <c r="AN35" s="75"/>
      <c r="AO35" s="75"/>
      <c r="AP35" s="75"/>
      <c r="AQ35" s="75"/>
      <c r="AR35" s="75"/>
      <c r="AS35" s="75"/>
      <c r="AT35" s="75"/>
      <c r="AU35" s="75"/>
      <c r="AV35" s="75"/>
      <c r="AW35" s="75"/>
      <c r="AX35" s="75"/>
    </row>
    <row r="36" ht="15.75" customHeight="1">
      <c r="A36" s="122" t="s">
        <v>68</v>
      </c>
      <c r="B36" s="124" t="s">
        <v>270</v>
      </c>
      <c r="C36" s="125"/>
      <c r="D36" s="127"/>
      <c r="E36" s="127"/>
      <c r="F36" s="128"/>
      <c r="G36" s="128"/>
      <c r="H36" s="128"/>
      <c r="I36" s="128"/>
      <c r="J36" s="130"/>
      <c r="K36" s="131"/>
      <c r="L36" s="128"/>
      <c r="M36" s="130"/>
      <c r="N36" s="128"/>
      <c r="O36" s="128"/>
      <c r="P36" s="128"/>
      <c r="Q36" s="131"/>
      <c r="R36" s="128"/>
      <c r="S36" s="128"/>
      <c r="T36" s="134" t="s">
        <v>272</v>
      </c>
      <c r="U36" s="128"/>
      <c r="V36" s="128"/>
      <c r="W36" s="128"/>
      <c r="X36" s="128"/>
      <c r="Y36" s="128"/>
      <c r="Z36" s="128"/>
      <c r="AA36" s="128"/>
      <c r="AB36" s="75"/>
      <c r="AC36" s="75"/>
      <c r="AD36" s="75"/>
      <c r="AE36" s="75"/>
      <c r="AF36" s="75"/>
      <c r="AG36" s="75"/>
      <c r="AH36" s="75"/>
      <c r="AI36" s="75"/>
      <c r="AJ36" s="75"/>
      <c r="AK36" s="75"/>
      <c r="AL36" s="75"/>
      <c r="AM36" s="75"/>
      <c r="AN36" s="75"/>
      <c r="AO36" s="75"/>
      <c r="AP36" s="75"/>
      <c r="AQ36" s="75"/>
      <c r="AR36" s="75"/>
      <c r="AS36" s="75"/>
      <c r="AT36" s="75"/>
      <c r="AU36" s="75"/>
      <c r="AV36" s="75"/>
      <c r="AW36" s="75"/>
      <c r="AX36" s="75"/>
    </row>
    <row r="37" ht="15.75" customHeight="1">
      <c r="A37" s="122" t="s">
        <v>68</v>
      </c>
      <c r="B37" s="124" t="s">
        <v>275</v>
      </c>
      <c r="C37" s="121"/>
      <c r="D37" s="127"/>
      <c r="E37" s="127"/>
      <c r="F37" s="128"/>
      <c r="G37" s="128"/>
      <c r="H37" s="128"/>
      <c r="I37" s="128"/>
      <c r="J37" s="130"/>
      <c r="K37" s="131"/>
      <c r="L37" s="128"/>
      <c r="M37" s="130"/>
      <c r="N37" s="128"/>
      <c r="O37" s="128"/>
      <c r="P37" s="128"/>
      <c r="Q37" s="131"/>
      <c r="R37" s="128"/>
      <c r="S37" s="128"/>
      <c r="T37" s="134" t="s">
        <v>276</v>
      </c>
      <c r="U37" s="128"/>
      <c r="V37" s="128"/>
      <c r="W37" s="128"/>
      <c r="X37" s="128"/>
      <c r="Y37" s="128"/>
      <c r="Z37" s="128"/>
      <c r="AA37" s="128"/>
      <c r="AB37" s="75"/>
      <c r="AC37" s="75"/>
      <c r="AD37" s="75"/>
      <c r="AE37" s="75"/>
      <c r="AF37" s="75"/>
      <c r="AG37" s="75"/>
      <c r="AH37" s="75"/>
      <c r="AI37" s="75"/>
      <c r="AJ37" s="75"/>
      <c r="AK37" s="75"/>
      <c r="AL37" s="75"/>
      <c r="AM37" s="75"/>
      <c r="AN37" s="75"/>
      <c r="AO37" s="75"/>
      <c r="AP37" s="75"/>
      <c r="AQ37" s="75"/>
      <c r="AR37" s="75"/>
      <c r="AS37" s="75"/>
      <c r="AT37" s="75"/>
      <c r="AU37" s="75"/>
      <c r="AV37" s="75"/>
      <c r="AW37" s="75"/>
      <c r="AX37" s="75"/>
    </row>
    <row r="38" ht="15.75" customHeight="1">
      <c r="A38" s="122" t="s">
        <v>68</v>
      </c>
      <c r="B38" s="124" t="s">
        <v>277</v>
      </c>
      <c r="C38" s="125"/>
      <c r="D38" s="127"/>
      <c r="E38" s="127"/>
      <c r="F38" s="128"/>
      <c r="G38" s="128"/>
      <c r="H38" s="128"/>
      <c r="I38" s="128"/>
      <c r="J38" s="130"/>
      <c r="K38" s="131"/>
      <c r="L38" s="128"/>
      <c r="M38" s="130"/>
      <c r="N38" s="128"/>
      <c r="O38" s="128"/>
      <c r="P38" s="128"/>
      <c r="Q38" s="131"/>
      <c r="R38" s="128"/>
      <c r="S38" s="128"/>
      <c r="T38" s="134" t="s">
        <v>278</v>
      </c>
      <c r="U38" s="128"/>
      <c r="V38" s="128"/>
      <c r="W38" s="128"/>
      <c r="X38" s="128"/>
      <c r="Y38" s="128"/>
      <c r="Z38" s="128"/>
      <c r="AA38" s="128"/>
      <c r="AB38" s="75"/>
      <c r="AC38" s="75"/>
      <c r="AD38" s="75"/>
      <c r="AE38" s="75"/>
      <c r="AF38" s="75"/>
      <c r="AG38" s="75"/>
      <c r="AH38" s="75"/>
      <c r="AI38" s="75"/>
      <c r="AJ38" s="75"/>
      <c r="AK38" s="75"/>
      <c r="AL38" s="75"/>
      <c r="AM38" s="75"/>
      <c r="AN38" s="75"/>
      <c r="AO38" s="75"/>
      <c r="AP38" s="75"/>
      <c r="AQ38" s="75"/>
      <c r="AR38" s="75"/>
      <c r="AS38" s="75"/>
      <c r="AT38" s="75"/>
      <c r="AU38" s="75"/>
      <c r="AV38" s="75"/>
      <c r="AW38" s="75"/>
      <c r="AX38" s="75"/>
    </row>
    <row r="39" ht="15.75" customHeight="1">
      <c r="A39" s="122" t="s">
        <v>68</v>
      </c>
      <c r="B39" s="124" t="s">
        <v>284</v>
      </c>
      <c r="C39" s="127"/>
      <c r="D39" s="127"/>
      <c r="E39" s="127"/>
      <c r="F39" s="128"/>
      <c r="G39" s="128"/>
      <c r="H39" s="128"/>
      <c r="I39" s="128"/>
      <c r="J39" s="130"/>
      <c r="K39" s="131"/>
      <c r="L39" s="128"/>
      <c r="M39" s="130"/>
      <c r="N39" s="128"/>
      <c r="O39" s="128"/>
      <c r="P39" s="128"/>
      <c r="Q39" s="131"/>
      <c r="R39" s="128"/>
      <c r="S39" s="128"/>
      <c r="T39" s="134" t="s">
        <v>286</v>
      </c>
      <c r="U39" s="128"/>
      <c r="V39" s="128"/>
      <c r="W39" s="128"/>
      <c r="X39" s="128"/>
      <c r="Y39" s="122"/>
      <c r="Z39" s="128"/>
      <c r="AA39" s="128"/>
      <c r="AB39" s="75"/>
      <c r="AC39" s="75"/>
      <c r="AD39" s="75"/>
      <c r="AE39" s="75"/>
      <c r="AF39" s="75"/>
      <c r="AG39" s="75"/>
      <c r="AH39" s="75"/>
      <c r="AI39" s="75"/>
      <c r="AJ39" s="75"/>
      <c r="AK39" s="75"/>
      <c r="AL39" s="75"/>
      <c r="AM39" s="75"/>
      <c r="AN39" s="75"/>
      <c r="AO39" s="75"/>
      <c r="AP39" s="75"/>
      <c r="AQ39" s="75"/>
      <c r="AR39" s="75"/>
      <c r="AS39" s="75"/>
      <c r="AT39" s="75"/>
      <c r="AU39" s="75"/>
      <c r="AV39" s="75"/>
      <c r="AW39" s="75"/>
      <c r="AX39" s="75"/>
    </row>
    <row r="40" ht="15.75" customHeight="1">
      <c r="A40" s="122" t="s">
        <v>68</v>
      </c>
      <c r="B40" s="124" t="s">
        <v>287</v>
      </c>
      <c r="C40" s="127"/>
      <c r="D40" s="127"/>
      <c r="E40" s="127"/>
      <c r="F40" s="128"/>
      <c r="G40" s="128"/>
      <c r="H40" s="128"/>
      <c r="I40" s="128"/>
      <c r="J40" s="130"/>
      <c r="K40" s="131"/>
      <c r="L40" s="128"/>
      <c r="M40" s="130"/>
      <c r="N40" s="128"/>
      <c r="O40" s="128"/>
      <c r="P40" s="128"/>
      <c r="Q40" s="131"/>
      <c r="R40" s="128"/>
      <c r="S40" s="128"/>
      <c r="T40" s="134" t="s">
        <v>291</v>
      </c>
      <c r="U40" s="128"/>
      <c r="V40" s="128"/>
      <c r="W40" s="128"/>
      <c r="X40" s="128"/>
      <c r="Y40" s="122"/>
      <c r="Z40" s="128"/>
      <c r="AA40" s="128"/>
      <c r="AB40" s="75"/>
      <c r="AC40" s="75"/>
      <c r="AD40" s="75"/>
      <c r="AE40" s="75"/>
      <c r="AF40" s="75"/>
      <c r="AG40" s="75"/>
      <c r="AH40" s="75"/>
      <c r="AI40" s="75"/>
      <c r="AJ40" s="75"/>
      <c r="AK40" s="75"/>
      <c r="AL40" s="75"/>
      <c r="AM40" s="75"/>
      <c r="AN40" s="75"/>
      <c r="AO40" s="75"/>
      <c r="AP40" s="75"/>
      <c r="AQ40" s="75"/>
      <c r="AR40" s="75"/>
      <c r="AS40" s="75"/>
      <c r="AT40" s="75"/>
      <c r="AU40" s="75"/>
      <c r="AV40" s="75"/>
      <c r="AW40" s="75"/>
      <c r="AX40" s="75"/>
    </row>
    <row r="41" ht="15.75" customHeight="1">
      <c r="A41" s="122" t="s">
        <v>68</v>
      </c>
      <c r="B41" s="124" t="s">
        <v>294</v>
      </c>
      <c r="C41" s="127"/>
      <c r="D41" s="127"/>
      <c r="E41" s="127"/>
      <c r="F41" s="128"/>
      <c r="G41" s="128"/>
      <c r="H41" s="128"/>
      <c r="I41" s="128"/>
      <c r="J41" s="130"/>
      <c r="K41" s="131"/>
      <c r="L41" s="128"/>
      <c r="M41" s="130"/>
      <c r="N41" s="128"/>
      <c r="O41" s="128"/>
      <c r="P41" s="128"/>
      <c r="Q41" s="131"/>
      <c r="R41" s="128"/>
      <c r="S41" s="128"/>
      <c r="T41" s="134" t="s">
        <v>296</v>
      </c>
      <c r="U41" s="128"/>
      <c r="V41" s="128"/>
      <c r="W41" s="128"/>
      <c r="X41" s="128"/>
      <c r="Y41" s="122"/>
      <c r="Z41" s="128"/>
      <c r="AA41" s="128"/>
      <c r="AB41" s="75"/>
      <c r="AC41" s="75"/>
      <c r="AD41" s="75"/>
      <c r="AE41" s="75"/>
      <c r="AF41" s="75"/>
      <c r="AG41" s="75"/>
      <c r="AH41" s="75"/>
      <c r="AI41" s="75"/>
      <c r="AJ41" s="75"/>
      <c r="AK41" s="75"/>
      <c r="AL41" s="75"/>
      <c r="AM41" s="75"/>
      <c r="AN41" s="75"/>
      <c r="AO41" s="75"/>
      <c r="AP41" s="75"/>
      <c r="AQ41" s="75"/>
      <c r="AR41" s="75"/>
      <c r="AS41" s="75"/>
      <c r="AT41" s="75"/>
      <c r="AU41" s="75"/>
      <c r="AV41" s="75"/>
      <c r="AW41" s="75"/>
      <c r="AX41" s="75"/>
    </row>
    <row r="42" ht="15.75" customHeight="1">
      <c r="A42" s="122" t="s">
        <v>68</v>
      </c>
      <c r="B42" s="124" t="s">
        <v>297</v>
      </c>
      <c r="C42" s="127"/>
      <c r="D42" s="127"/>
      <c r="E42" s="127"/>
      <c r="F42" s="128"/>
      <c r="G42" s="128"/>
      <c r="H42" s="128"/>
      <c r="I42" s="128"/>
      <c r="J42" s="130"/>
      <c r="K42" s="131"/>
      <c r="L42" s="128"/>
      <c r="M42" s="130"/>
      <c r="N42" s="128"/>
      <c r="O42" s="128"/>
      <c r="P42" s="128"/>
      <c r="Q42" s="131"/>
      <c r="R42" s="128"/>
      <c r="S42" s="128"/>
      <c r="T42" s="134" t="s">
        <v>302</v>
      </c>
      <c r="U42" s="128"/>
      <c r="V42" s="128"/>
      <c r="W42" s="128"/>
      <c r="X42" s="128"/>
      <c r="Y42" s="122"/>
      <c r="Z42" s="128"/>
      <c r="AA42" s="128"/>
      <c r="AB42" s="75"/>
      <c r="AC42" s="75"/>
      <c r="AD42" s="75"/>
      <c r="AE42" s="75"/>
      <c r="AF42" s="75"/>
      <c r="AG42" s="75"/>
      <c r="AH42" s="75"/>
      <c r="AI42" s="75"/>
      <c r="AJ42" s="75"/>
      <c r="AK42" s="75"/>
      <c r="AL42" s="75"/>
      <c r="AM42" s="75"/>
      <c r="AN42" s="75"/>
      <c r="AO42" s="75"/>
      <c r="AP42" s="75"/>
      <c r="AQ42" s="75"/>
      <c r="AR42" s="75"/>
      <c r="AS42" s="75"/>
      <c r="AT42" s="75"/>
      <c r="AU42" s="75"/>
      <c r="AV42" s="75"/>
      <c r="AW42" s="75"/>
      <c r="AX42" s="75"/>
    </row>
    <row r="43" ht="15.75" customHeight="1">
      <c r="A43" s="122" t="s">
        <v>68</v>
      </c>
      <c r="B43" s="124" t="s">
        <v>307</v>
      </c>
      <c r="C43" s="127"/>
      <c r="D43" s="127"/>
      <c r="E43" s="127"/>
      <c r="F43" s="128"/>
      <c r="G43" s="128"/>
      <c r="H43" s="128"/>
      <c r="I43" s="128"/>
      <c r="J43" s="130"/>
      <c r="K43" s="131"/>
      <c r="L43" s="128"/>
      <c r="M43" s="130"/>
      <c r="N43" s="128"/>
      <c r="O43" s="128"/>
      <c r="P43" s="128"/>
      <c r="Q43" s="131"/>
      <c r="R43" s="128"/>
      <c r="S43" s="128"/>
      <c r="T43" s="134" t="s">
        <v>308</v>
      </c>
      <c r="U43" s="128"/>
      <c r="V43" s="128"/>
      <c r="W43" s="128"/>
      <c r="X43" s="128"/>
      <c r="Y43" s="122"/>
      <c r="Z43" s="128"/>
      <c r="AA43" s="128"/>
      <c r="AB43" s="75"/>
      <c r="AC43" s="75"/>
      <c r="AD43" s="75"/>
      <c r="AE43" s="75"/>
      <c r="AF43" s="75"/>
      <c r="AG43" s="75"/>
      <c r="AH43" s="75"/>
      <c r="AI43" s="75"/>
      <c r="AJ43" s="75"/>
      <c r="AK43" s="75"/>
      <c r="AL43" s="75"/>
      <c r="AM43" s="75"/>
      <c r="AN43" s="75"/>
      <c r="AO43" s="75"/>
      <c r="AP43" s="75"/>
      <c r="AQ43" s="75"/>
      <c r="AR43" s="75"/>
      <c r="AS43" s="75"/>
      <c r="AT43" s="75"/>
      <c r="AU43" s="75"/>
      <c r="AV43" s="75"/>
      <c r="AW43" s="75"/>
      <c r="AX43" s="75"/>
    </row>
    <row r="44" ht="15.75" customHeight="1">
      <c r="A44" s="122" t="s">
        <v>68</v>
      </c>
      <c r="B44" s="124" t="s">
        <v>312</v>
      </c>
      <c r="C44" s="127"/>
      <c r="D44" s="127"/>
      <c r="E44" s="127"/>
      <c r="F44" s="128"/>
      <c r="G44" s="128"/>
      <c r="H44" s="128"/>
      <c r="I44" s="128"/>
      <c r="J44" s="130"/>
      <c r="K44" s="131"/>
      <c r="L44" s="128"/>
      <c r="M44" s="130"/>
      <c r="N44" s="128"/>
      <c r="O44" s="128"/>
      <c r="P44" s="128"/>
      <c r="Q44" s="131"/>
      <c r="R44" s="128"/>
      <c r="S44" s="128"/>
      <c r="T44" s="134" t="s">
        <v>313</v>
      </c>
      <c r="U44" s="128"/>
      <c r="V44" s="128"/>
      <c r="W44" s="128"/>
      <c r="X44" s="128"/>
      <c r="Y44" s="122"/>
      <c r="Z44" s="128"/>
      <c r="AA44" s="128"/>
      <c r="AB44" s="75"/>
      <c r="AC44" s="75"/>
      <c r="AD44" s="75"/>
      <c r="AE44" s="75"/>
      <c r="AF44" s="75"/>
      <c r="AG44" s="75"/>
      <c r="AH44" s="75"/>
      <c r="AI44" s="75"/>
      <c r="AJ44" s="75"/>
      <c r="AK44" s="75"/>
      <c r="AL44" s="75"/>
      <c r="AM44" s="75"/>
      <c r="AN44" s="75"/>
      <c r="AO44" s="75"/>
      <c r="AP44" s="75"/>
      <c r="AQ44" s="75"/>
      <c r="AR44" s="75"/>
      <c r="AS44" s="75"/>
      <c r="AT44" s="75"/>
      <c r="AU44" s="75"/>
      <c r="AV44" s="75"/>
      <c r="AW44" s="75"/>
      <c r="AX44" s="75"/>
    </row>
    <row r="45" ht="15.75" customHeight="1">
      <c r="A45" s="122" t="s">
        <v>68</v>
      </c>
      <c r="B45" s="124" t="s">
        <v>317</v>
      </c>
      <c r="C45" s="127"/>
      <c r="D45" s="127"/>
      <c r="E45" s="127"/>
      <c r="F45" s="128"/>
      <c r="G45" s="128"/>
      <c r="H45" s="128"/>
      <c r="I45" s="128"/>
      <c r="J45" s="130"/>
      <c r="K45" s="131"/>
      <c r="L45" s="128"/>
      <c r="M45" s="130"/>
      <c r="N45" s="128"/>
      <c r="O45" s="128"/>
      <c r="P45" s="128"/>
      <c r="Q45" s="122"/>
      <c r="R45" s="128"/>
      <c r="S45" s="128"/>
      <c r="T45" s="134" t="s">
        <v>322</v>
      </c>
      <c r="U45" s="128"/>
      <c r="V45" s="128"/>
      <c r="W45" s="128"/>
      <c r="X45" s="128"/>
      <c r="Y45" s="122"/>
      <c r="Z45" s="128"/>
      <c r="AA45" s="128"/>
      <c r="AB45" s="75"/>
      <c r="AC45" s="75"/>
      <c r="AD45" s="75"/>
      <c r="AE45" s="75"/>
      <c r="AF45" s="75"/>
      <c r="AG45" s="75"/>
      <c r="AH45" s="75"/>
      <c r="AI45" s="75"/>
      <c r="AJ45" s="75"/>
      <c r="AK45" s="75"/>
      <c r="AL45" s="75"/>
      <c r="AM45" s="75"/>
      <c r="AN45" s="75"/>
      <c r="AO45" s="75"/>
      <c r="AP45" s="75"/>
      <c r="AQ45" s="75"/>
      <c r="AR45" s="75"/>
      <c r="AS45" s="75"/>
      <c r="AT45" s="75"/>
      <c r="AU45" s="75"/>
      <c r="AV45" s="75"/>
      <c r="AW45" s="75"/>
      <c r="AX45" s="75"/>
    </row>
    <row r="46" ht="15.75" customHeight="1">
      <c r="A46" s="122" t="s">
        <v>68</v>
      </c>
      <c r="B46" s="124" t="s">
        <v>324</v>
      </c>
      <c r="C46" s="127"/>
      <c r="D46" s="127"/>
      <c r="E46" s="127"/>
      <c r="F46" s="128"/>
      <c r="G46" s="128"/>
      <c r="H46" s="128"/>
      <c r="I46" s="128"/>
      <c r="J46" s="130"/>
      <c r="K46" s="131"/>
      <c r="L46" s="128"/>
      <c r="M46" s="130"/>
      <c r="N46" s="128"/>
      <c r="O46" s="128"/>
      <c r="P46" s="128"/>
      <c r="Q46" s="122"/>
      <c r="R46" s="128"/>
      <c r="S46" s="128"/>
      <c r="T46" s="134" t="s">
        <v>326</v>
      </c>
      <c r="U46" s="128"/>
      <c r="V46" s="128"/>
      <c r="W46" s="128"/>
      <c r="X46" s="128"/>
      <c r="Y46" s="122"/>
      <c r="Z46" s="128"/>
      <c r="AA46" s="128"/>
      <c r="AB46" s="75"/>
      <c r="AC46" s="75"/>
      <c r="AD46" s="75"/>
      <c r="AE46" s="75"/>
      <c r="AF46" s="75"/>
      <c r="AG46" s="75"/>
      <c r="AH46" s="75"/>
      <c r="AI46" s="75"/>
      <c r="AJ46" s="75"/>
      <c r="AK46" s="75"/>
      <c r="AL46" s="75"/>
      <c r="AM46" s="75"/>
      <c r="AN46" s="75"/>
      <c r="AO46" s="75"/>
      <c r="AP46" s="75"/>
      <c r="AQ46" s="75"/>
      <c r="AR46" s="75"/>
      <c r="AS46" s="75"/>
      <c r="AT46" s="75"/>
      <c r="AU46" s="75"/>
      <c r="AV46" s="75"/>
      <c r="AW46" s="75"/>
      <c r="AX46" s="75"/>
    </row>
    <row r="47" ht="15.75" customHeight="1">
      <c r="A47" s="122" t="s">
        <v>68</v>
      </c>
      <c r="B47" s="124" t="s">
        <v>330</v>
      </c>
      <c r="C47" s="127"/>
      <c r="D47" s="127"/>
      <c r="E47" s="127"/>
      <c r="F47" s="128"/>
      <c r="G47" s="128"/>
      <c r="H47" s="128"/>
      <c r="I47" s="128"/>
      <c r="J47" s="130"/>
      <c r="K47" s="131"/>
      <c r="L47" s="128"/>
      <c r="M47" s="130"/>
      <c r="N47" s="128"/>
      <c r="O47" s="128"/>
      <c r="P47" s="128"/>
      <c r="Q47" s="122"/>
      <c r="R47" s="128"/>
      <c r="S47" s="128"/>
      <c r="T47" s="122" t="s">
        <v>332</v>
      </c>
      <c r="U47" s="128"/>
      <c r="V47" s="128"/>
      <c r="W47" s="128"/>
      <c r="X47" s="128"/>
      <c r="Y47" s="122"/>
      <c r="Z47" s="128"/>
      <c r="AA47" s="128"/>
      <c r="AB47" s="75"/>
      <c r="AC47" s="75"/>
      <c r="AD47" s="75"/>
      <c r="AE47" s="75"/>
      <c r="AF47" s="75"/>
      <c r="AG47" s="75"/>
      <c r="AH47" s="75"/>
      <c r="AI47" s="75"/>
      <c r="AJ47" s="75"/>
      <c r="AK47" s="75"/>
      <c r="AL47" s="75"/>
      <c r="AM47" s="75"/>
      <c r="AN47" s="75"/>
      <c r="AO47" s="75"/>
      <c r="AP47" s="75"/>
      <c r="AQ47" s="75"/>
      <c r="AR47" s="75"/>
      <c r="AS47" s="75"/>
      <c r="AT47" s="75"/>
      <c r="AU47" s="75"/>
      <c r="AV47" s="75"/>
      <c r="AW47" s="75"/>
      <c r="AX47" s="75"/>
    </row>
    <row r="48" ht="15.75" customHeight="1">
      <c r="A48" s="142" t="s">
        <v>68</v>
      </c>
      <c r="B48" s="134" t="s">
        <v>336</v>
      </c>
      <c r="C48" s="101"/>
      <c r="D48" s="143"/>
      <c r="E48" s="101"/>
      <c r="F48" s="102"/>
      <c r="G48" s="102"/>
      <c r="H48" s="102"/>
      <c r="I48" s="102"/>
      <c r="J48" s="102"/>
      <c r="K48" s="102"/>
      <c r="L48" s="102"/>
      <c r="M48" s="102"/>
      <c r="N48" s="102"/>
      <c r="O48" s="102"/>
      <c r="P48" s="102"/>
      <c r="Q48" s="99"/>
      <c r="R48" s="102"/>
      <c r="S48" s="102"/>
      <c r="T48" s="134" t="s">
        <v>338</v>
      </c>
      <c r="U48" s="102"/>
      <c r="V48" s="102"/>
      <c r="W48" s="102"/>
      <c r="X48" s="102"/>
      <c r="Y48" s="102"/>
      <c r="Z48" s="102"/>
      <c r="AA48" s="102"/>
      <c r="AB48" s="102"/>
      <c r="AC48" s="102"/>
      <c r="AD48" s="75"/>
      <c r="AE48" s="75"/>
      <c r="AF48" s="75"/>
      <c r="AG48" s="75"/>
      <c r="AH48" s="75"/>
      <c r="AI48" s="75"/>
      <c r="AJ48" s="75"/>
      <c r="AK48" s="75"/>
      <c r="AL48" s="75"/>
      <c r="AM48" s="75"/>
      <c r="AN48" s="75"/>
      <c r="AO48" s="75"/>
      <c r="AP48" s="75"/>
      <c r="AQ48" s="75"/>
      <c r="AR48" s="75"/>
      <c r="AS48" s="75"/>
      <c r="AT48" s="75"/>
      <c r="AU48" s="75"/>
      <c r="AV48" s="75"/>
      <c r="AW48" s="75"/>
      <c r="AX48" s="75"/>
    </row>
    <row r="49" ht="15.75" customHeight="1">
      <c r="A49" s="99" t="s">
        <v>68</v>
      </c>
      <c r="B49" s="146" t="s">
        <v>342</v>
      </c>
      <c r="C49" s="101"/>
      <c r="D49" s="143"/>
      <c r="E49" s="101"/>
      <c r="F49" s="102"/>
      <c r="G49" s="102"/>
      <c r="H49" s="102"/>
      <c r="I49" s="102"/>
      <c r="J49" s="102"/>
      <c r="K49" s="102"/>
      <c r="L49" s="102"/>
      <c r="M49" s="102"/>
      <c r="N49" s="102"/>
      <c r="O49" s="102"/>
      <c r="P49" s="102"/>
      <c r="Q49" s="99"/>
      <c r="R49" s="102"/>
      <c r="S49" s="102"/>
      <c r="T49" s="134" t="s">
        <v>345</v>
      </c>
      <c r="U49" s="102"/>
      <c r="V49" s="102"/>
      <c r="W49" s="102"/>
      <c r="X49" s="102"/>
      <c r="Y49" s="102"/>
      <c r="Z49" s="102"/>
      <c r="AA49" s="102"/>
      <c r="AB49" s="102"/>
      <c r="AC49" s="102"/>
      <c r="AD49" s="75"/>
      <c r="AE49" s="75"/>
      <c r="AF49" s="75"/>
      <c r="AG49" s="75"/>
      <c r="AH49" s="75"/>
      <c r="AI49" s="75"/>
      <c r="AJ49" s="75"/>
      <c r="AK49" s="75"/>
      <c r="AL49" s="75"/>
      <c r="AM49" s="75"/>
      <c r="AN49" s="75"/>
      <c r="AO49" s="75"/>
      <c r="AP49" s="75"/>
      <c r="AQ49" s="75"/>
      <c r="AR49" s="75"/>
      <c r="AS49" s="75"/>
      <c r="AT49" s="75"/>
      <c r="AU49" s="75"/>
      <c r="AV49" s="75"/>
      <c r="AW49" s="75"/>
      <c r="AX49" s="75"/>
    </row>
    <row r="50" ht="15.75" customHeight="1">
      <c r="A50" s="147" t="s">
        <v>107</v>
      </c>
      <c r="B50" s="148" t="s">
        <v>349</v>
      </c>
      <c r="C50" s="149"/>
      <c r="D50" s="149"/>
      <c r="E50" s="149"/>
      <c r="F50" s="149"/>
      <c r="G50" s="149"/>
      <c r="H50" s="149"/>
      <c r="I50" s="150"/>
      <c r="J50" s="151"/>
      <c r="K50" s="150"/>
      <c r="L50" s="150"/>
      <c r="M50" s="151"/>
      <c r="N50" s="151"/>
      <c r="O50" s="152"/>
      <c r="P50" s="150"/>
      <c r="Q50" s="153"/>
      <c r="R50" s="150"/>
      <c r="S50" s="150"/>
      <c r="T50" s="128"/>
      <c r="U50" s="150"/>
      <c r="V50" s="150"/>
      <c r="W50" s="150"/>
      <c r="X50" s="150"/>
      <c r="Y50" s="150"/>
      <c r="Z50" s="150"/>
      <c r="AA50" s="150"/>
      <c r="AB50" s="150"/>
      <c r="AC50" s="150"/>
      <c r="AD50" s="155"/>
      <c r="AE50" s="155"/>
      <c r="AF50" s="155"/>
      <c r="AG50" s="155"/>
      <c r="AH50" s="155"/>
      <c r="AI50" s="155"/>
      <c r="AJ50" s="155"/>
      <c r="AK50" s="155"/>
      <c r="AL50" s="155"/>
      <c r="AM50" s="155"/>
      <c r="AN50" s="155"/>
      <c r="AO50" s="155"/>
      <c r="AP50" s="155"/>
      <c r="AQ50" s="155"/>
      <c r="AR50" s="155"/>
      <c r="AS50" s="155"/>
      <c r="AT50" s="155"/>
      <c r="AU50" s="155"/>
      <c r="AV50" s="155"/>
      <c r="AW50" s="155"/>
      <c r="AX50" s="155"/>
    </row>
    <row r="51" ht="15.75" customHeight="1">
      <c r="A51" s="56" t="s">
        <v>353</v>
      </c>
      <c r="B51" s="56" t="s">
        <v>354</v>
      </c>
      <c r="C51" s="31" t="s">
        <v>356</v>
      </c>
      <c r="D51" s="31" t="s">
        <v>357</v>
      </c>
      <c r="E51" s="31" t="s">
        <v>358</v>
      </c>
      <c r="F51" s="31"/>
      <c r="G51" s="31"/>
      <c r="H51" s="31"/>
      <c r="I51" s="29"/>
      <c r="J51" s="29"/>
      <c r="K51" s="29"/>
      <c r="L51" s="29"/>
      <c r="M51" s="29"/>
      <c r="N51" s="29"/>
      <c r="O51" s="29"/>
      <c r="P51" s="29"/>
      <c r="Q51" s="56" t="s">
        <v>139</v>
      </c>
      <c r="R51" s="29"/>
      <c r="S51" s="29"/>
      <c r="T51" s="29"/>
      <c r="U51" s="29"/>
      <c r="V51" s="29"/>
      <c r="W51" s="29"/>
      <c r="X51" s="29"/>
      <c r="Y51" s="29"/>
      <c r="Z51" s="29"/>
      <c r="AA51" s="29"/>
      <c r="AB51" s="29"/>
      <c r="AC51" s="29"/>
      <c r="AD51" s="29"/>
      <c r="AE51" s="29"/>
      <c r="AF51" s="29"/>
      <c r="AG51" s="29"/>
      <c r="AH51" s="29"/>
      <c r="AI51" s="29"/>
      <c r="AJ51" s="29"/>
      <c r="AK51" s="29"/>
      <c r="AL51" s="29"/>
      <c r="AM51" s="29"/>
      <c r="AN51" s="29"/>
      <c r="AO51" s="29"/>
      <c r="AP51" s="29"/>
      <c r="AQ51" s="29"/>
      <c r="AR51" s="29"/>
      <c r="AS51" s="29"/>
      <c r="AT51" s="29"/>
      <c r="AU51" s="29"/>
      <c r="AV51" s="29"/>
      <c r="AW51" s="29"/>
      <c r="AX51" s="29"/>
    </row>
    <row r="52" ht="15.75" customHeight="1">
      <c r="A52" s="56" t="s">
        <v>360</v>
      </c>
      <c r="B52" s="56" t="s">
        <v>362</v>
      </c>
      <c r="C52" s="31" t="s">
        <v>363</v>
      </c>
      <c r="D52" s="31" t="s">
        <v>365</v>
      </c>
      <c r="E52" s="31" t="s">
        <v>366</v>
      </c>
      <c r="F52" s="31"/>
      <c r="G52" s="31"/>
      <c r="H52" s="31"/>
      <c r="I52" s="29"/>
      <c r="J52" s="29"/>
      <c r="K52" s="29"/>
      <c r="L52" s="29"/>
      <c r="M52" s="29"/>
      <c r="N52" s="29"/>
      <c r="O52" s="56" t="s">
        <v>368</v>
      </c>
      <c r="P52" s="29"/>
      <c r="Q52" s="56" t="s">
        <v>139</v>
      </c>
      <c r="R52" s="29"/>
      <c r="S52" s="29"/>
      <c r="T52" s="29"/>
      <c r="U52" s="29"/>
      <c r="V52" s="29"/>
      <c r="W52" s="29"/>
      <c r="X52" s="29"/>
      <c r="Y52" s="56" t="s">
        <v>369</v>
      </c>
      <c r="Z52" s="29"/>
      <c r="AA52" s="29"/>
      <c r="AB52" s="29"/>
      <c r="AC52" s="29"/>
      <c r="AD52" s="29"/>
      <c r="AE52" s="29"/>
      <c r="AF52" s="29"/>
      <c r="AG52" s="29"/>
      <c r="AH52" s="29"/>
      <c r="AI52" s="29"/>
      <c r="AJ52" s="29"/>
      <c r="AK52" s="29"/>
      <c r="AL52" s="29"/>
      <c r="AM52" s="29"/>
      <c r="AN52" s="29"/>
      <c r="AO52" s="29"/>
      <c r="AP52" s="29"/>
      <c r="AQ52" s="29"/>
      <c r="AR52" s="29"/>
      <c r="AS52" s="29"/>
      <c r="AT52" s="29"/>
      <c r="AU52" s="29"/>
      <c r="AV52" s="29"/>
      <c r="AW52" s="29"/>
      <c r="AX52" s="29"/>
    </row>
    <row r="53" ht="15.75" customHeight="1">
      <c r="A53" s="56" t="s">
        <v>41</v>
      </c>
      <c r="B53" s="56" t="s">
        <v>371</v>
      </c>
      <c r="C53" s="31" t="s">
        <v>372</v>
      </c>
      <c r="D53" s="31" t="s">
        <v>373</v>
      </c>
      <c r="E53" s="31" t="s">
        <v>374</v>
      </c>
      <c r="F53" s="31"/>
      <c r="G53" s="31"/>
      <c r="H53" s="31"/>
      <c r="I53" s="29"/>
      <c r="J53" s="29"/>
      <c r="K53" s="29"/>
      <c r="L53" s="29"/>
      <c r="M53" s="29"/>
      <c r="N53" s="29"/>
      <c r="O53" s="56" t="s">
        <v>377</v>
      </c>
      <c r="P53" s="29"/>
      <c r="Q53" s="56" t="s">
        <v>139</v>
      </c>
      <c r="R53" s="29"/>
      <c r="S53" s="29"/>
      <c r="T53" s="29"/>
      <c r="U53" s="29"/>
      <c r="V53" s="29"/>
      <c r="W53" s="29"/>
      <c r="X53" s="29"/>
      <c r="Y53" s="29"/>
      <c r="Z53" s="29"/>
      <c r="AA53" s="29"/>
      <c r="AB53" s="29"/>
      <c r="AC53" s="29"/>
      <c r="AD53" s="29"/>
      <c r="AE53" s="29"/>
      <c r="AF53" s="29"/>
      <c r="AG53" s="29"/>
      <c r="AH53" s="29"/>
      <c r="AI53" s="29"/>
      <c r="AJ53" s="29"/>
      <c r="AK53" s="29"/>
      <c r="AL53" s="29"/>
      <c r="AM53" s="29"/>
      <c r="AN53" s="29"/>
      <c r="AO53" s="29"/>
      <c r="AP53" s="29"/>
      <c r="AQ53" s="29"/>
      <c r="AR53" s="29"/>
      <c r="AS53" s="29"/>
      <c r="AT53" s="29"/>
      <c r="AU53" s="29"/>
      <c r="AV53" s="29"/>
      <c r="AW53" s="29"/>
      <c r="AX53" s="29"/>
    </row>
    <row r="54" ht="15.75" customHeight="1">
      <c r="A54" s="56" t="s">
        <v>41</v>
      </c>
      <c r="B54" s="56" t="s">
        <v>382</v>
      </c>
      <c r="C54" s="31" t="s">
        <v>384</v>
      </c>
      <c r="D54" s="31" t="s">
        <v>385</v>
      </c>
      <c r="E54" s="31" t="s">
        <v>386</v>
      </c>
      <c r="F54" s="31"/>
      <c r="G54" s="31"/>
      <c r="H54" s="31"/>
      <c r="I54" s="29"/>
      <c r="J54" s="29"/>
      <c r="K54" s="29"/>
      <c r="L54" s="29"/>
      <c r="M54" s="29"/>
      <c r="N54" s="29"/>
      <c r="O54" s="56" t="s">
        <v>388</v>
      </c>
      <c r="P54" s="29"/>
      <c r="Q54" s="56" t="s">
        <v>139</v>
      </c>
      <c r="R54" s="29"/>
      <c r="S54" s="29"/>
      <c r="T54" s="29"/>
      <c r="U54" s="29"/>
      <c r="V54" s="29"/>
      <c r="W54" s="29"/>
      <c r="X54" s="29"/>
      <c r="Y54" s="29"/>
      <c r="Z54" s="29"/>
      <c r="AA54" s="29"/>
      <c r="AB54" s="29"/>
      <c r="AC54" s="29"/>
      <c r="AD54" s="29"/>
      <c r="AE54" s="29"/>
      <c r="AF54" s="29"/>
      <c r="AG54" s="29"/>
      <c r="AH54" s="29"/>
      <c r="AI54" s="29"/>
      <c r="AJ54" s="29"/>
      <c r="AK54" s="29"/>
      <c r="AL54" s="29"/>
      <c r="AM54" s="29"/>
      <c r="AN54" s="29"/>
      <c r="AO54" s="29"/>
      <c r="AP54" s="29"/>
      <c r="AQ54" s="29"/>
      <c r="AR54" s="29"/>
      <c r="AS54" s="29"/>
      <c r="AT54" s="29"/>
      <c r="AU54" s="29"/>
      <c r="AV54" s="29"/>
      <c r="AW54" s="29"/>
      <c r="AX54" s="29"/>
    </row>
    <row r="55" ht="15.75" customHeight="1">
      <c r="A55" s="56" t="s">
        <v>353</v>
      </c>
      <c r="B55" s="56" t="s">
        <v>392</v>
      </c>
      <c r="C55" s="31" t="s">
        <v>393</v>
      </c>
      <c r="D55" s="31" t="s">
        <v>395</v>
      </c>
      <c r="E55" s="31" t="s">
        <v>396</v>
      </c>
      <c r="F55" s="31"/>
      <c r="G55" s="31"/>
      <c r="H55" s="31"/>
      <c r="I55" s="29"/>
      <c r="J55" s="29"/>
      <c r="K55" s="29"/>
      <c r="L55" s="29"/>
      <c r="M55" s="29"/>
      <c r="N55" s="29"/>
      <c r="O55" s="56" t="s">
        <v>397</v>
      </c>
      <c r="P55" s="29"/>
      <c r="Q55" s="56" t="s">
        <v>139</v>
      </c>
      <c r="R55" s="29"/>
      <c r="S55" s="29"/>
      <c r="T55" s="29"/>
      <c r="U55" s="29"/>
      <c r="V55" s="29"/>
      <c r="W55" s="29"/>
      <c r="X55" s="29"/>
      <c r="Y55" s="29"/>
      <c r="Z55" s="29"/>
      <c r="AA55" s="29"/>
      <c r="AB55" s="29"/>
      <c r="AC55" s="29"/>
      <c r="AD55" s="29"/>
      <c r="AE55" s="29"/>
      <c r="AF55" s="29"/>
      <c r="AG55" s="29"/>
      <c r="AH55" s="29"/>
      <c r="AI55" s="29"/>
      <c r="AJ55" s="29"/>
      <c r="AK55" s="29"/>
      <c r="AL55" s="29"/>
      <c r="AM55" s="29"/>
      <c r="AN55" s="29"/>
      <c r="AO55" s="29"/>
      <c r="AP55" s="29"/>
      <c r="AQ55" s="29"/>
      <c r="AR55" s="29"/>
      <c r="AS55" s="29"/>
      <c r="AT55" s="29"/>
      <c r="AU55" s="29"/>
      <c r="AV55" s="29"/>
      <c r="AW55" s="29"/>
      <c r="AX55" s="29"/>
    </row>
    <row r="56" ht="15.75" customHeight="1">
      <c r="A56" s="56" t="s">
        <v>399</v>
      </c>
      <c r="B56" s="56" t="s">
        <v>400</v>
      </c>
      <c r="C56" s="31" t="s">
        <v>402</v>
      </c>
      <c r="D56" s="31" t="s">
        <v>403</v>
      </c>
      <c r="E56" s="31" t="s">
        <v>405</v>
      </c>
      <c r="F56" s="56"/>
      <c r="G56" s="56"/>
      <c r="H56" s="56"/>
      <c r="I56" s="56"/>
      <c r="J56" s="56"/>
      <c r="K56" s="56"/>
      <c r="L56" s="56"/>
      <c r="M56" s="56"/>
      <c r="N56" s="56"/>
      <c r="O56" s="56" t="s">
        <v>406</v>
      </c>
      <c r="P56" s="56"/>
      <c r="Q56" s="56" t="s">
        <v>139</v>
      </c>
      <c r="R56" s="56"/>
      <c r="S56" s="56"/>
      <c r="T56" s="56"/>
      <c r="U56" s="56"/>
      <c r="V56" s="56"/>
      <c r="W56" s="56"/>
      <c r="X56" s="56"/>
      <c r="Y56" s="56"/>
      <c r="Z56" s="56"/>
      <c r="AA56" s="56"/>
      <c r="AB56" s="56"/>
      <c r="AC56" s="56"/>
      <c r="AD56" s="56"/>
      <c r="AE56" s="56"/>
      <c r="AF56" s="56"/>
      <c r="AG56" s="56"/>
      <c r="AH56" s="56"/>
      <c r="AI56" s="56"/>
      <c r="AJ56" s="56"/>
      <c r="AK56" s="56"/>
      <c r="AL56" s="56"/>
      <c r="AM56" s="56"/>
      <c r="AN56" s="56"/>
      <c r="AO56" s="56"/>
      <c r="AP56" s="56"/>
      <c r="AQ56" s="56"/>
      <c r="AR56" s="56"/>
      <c r="AS56" s="56"/>
      <c r="AT56" s="56"/>
      <c r="AU56" s="56"/>
      <c r="AV56" s="56"/>
      <c r="AW56" s="56"/>
      <c r="AX56" s="56"/>
    </row>
    <row r="57" ht="15.75" customHeight="1">
      <c r="A57" s="56" t="s">
        <v>231</v>
      </c>
      <c r="B57" s="56" t="s">
        <v>408</v>
      </c>
      <c r="C57" s="31" t="s">
        <v>409</v>
      </c>
      <c r="D57" s="31" t="s">
        <v>410</v>
      </c>
      <c r="E57" s="31" t="s">
        <v>411</v>
      </c>
      <c r="F57" s="56"/>
      <c r="G57" s="56"/>
      <c r="H57" s="56"/>
      <c r="I57" s="56"/>
      <c r="J57" s="56"/>
      <c r="K57" s="56"/>
      <c r="L57" s="56"/>
      <c r="M57" s="56"/>
      <c r="N57" s="56"/>
      <c r="O57" s="56" t="s">
        <v>413</v>
      </c>
      <c r="P57" s="56"/>
      <c r="Q57" s="56" t="s">
        <v>139</v>
      </c>
      <c r="R57" s="56"/>
      <c r="S57" s="56"/>
      <c r="T57" s="56"/>
      <c r="U57" s="56"/>
      <c r="V57" s="56"/>
      <c r="W57" s="56"/>
      <c r="X57" s="56"/>
      <c r="Y57" s="56"/>
      <c r="Z57" s="56"/>
      <c r="AA57" s="56"/>
      <c r="AB57" s="56"/>
      <c r="AC57" s="56"/>
      <c r="AD57" s="56"/>
      <c r="AE57" s="56"/>
      <c r="AF57" s="56"/>
      <c r="AG57" s="56"/>
      <c r="AH57" s="56"/>
      <c r="AI57" s="56"/>
      <c r="AJ57" s="56"/>
      <c r="AK57" s="56"/>
      <c r="AL57" s="56"/>
      <c r="AM57" s="56"/>
      <c r="AN57" s="56"/>
      <c r="AO57" s="56"/>
      <c r="AP57" s="56"/>
      <c r="AQ57" s="56"/>
      <c r="AR57" s="56"/>
      <c r="AS57" s="56"/>
      <c r="AT57" s="56"/>
      <c r="AU57" s="56"/>
      <c r="AV57" s="56"/>
      <c r="AW57" s="56"/>
      <c r="AX57" s="56"/>
    </row>
    <row r="58" ht="15.75" customHeight="1">
      <c r="A58" s="56" t="s">
        <v>238</v>
      </c>
      <c r="B58" s="56" t="s">
        <v>94</v>
      </c>
      <c r="C58" s="31"/>
      <c r="D58" s="29"/>
      <c r="E58" s="29"/>
      <c r="F58" s="29"/>
      <c r="G58" s="29"/>
      <c r="H58" s="29"/>
      <c r="I58" s="29"/>
      <c r="J58" s="29"/>
      <c r="K58" s="29"/>
      <c r="L58" s="29"/>
      <c r="M58" s="29"/>
      <c r="N58" s="29"/>
      <c r="O58" s="29"/>
      <c r="P58" s="29"/>
      <c r="Q58" s="29"/>
      <c r="R58" s="29"/>
      <c r="S58" s="29"/>
      <c r="T58" s="29"/>
      <c r="U58" s="29"/>
      <c r="V58" s="29"/>
      <c r="W58" s="29"/>
      <c r="X58" s="29"/>
      <c r="Y58" s="29"/>
      <c r="Z58" s="29"/>
      <c r="AA58" s="29"/>
      <c r="AB58" s="29"/>
      <c r="AC58" s="29"/>
      <c r="AD58" s="29"/>
      <c r="AE58" s="29"/>
      <c r="AF58" s="29"/>
      <c r="AG58" s="29"/>
      <c r="AH58" s="29"/>
      <c r="AI58" s="29"/>
      <c r="AJ58" s="29"/>
      <c r="AK58" s="29"/>
      <c r="AL58" s="29"/>
      <c r="AM58" s="29"/>
      <c r="AN58" s="29"/>
      <c r="AO58" s="29"/>
      <c r="AP58" s="29"/>
      <c r="AQ58" s="29"/>
      <c r="AR58" s="29"/>
      <c r="AS58" s="29"/>
      <c r="AT58" s="29"/>
      <c r="AU58" s="29"/>
      <c r="AV58" s="29"/>
      <c r="AW58" s="29"/>
      <c r="AX58" s="29"/>
    </row>
    <row r="59" ht="15.75" customHeight="1">
      <c r="A59" s="56" t="s">
        <v>353</v>
      </c>
      <c r="B59" s="56" t="s">
        <v>418</v>
      </c>
      <c r="C59" s="57" t="s">
        <v>419</v>
      </c>
      <c r="D59" s="57" t="s">
        <v>420</v>
      </c>
      <c r="E59" s="57" t="s">
        <v>421</v>
      </c>
      <c r="F59" s="31"/>
      <c r="G59" s="31"/>
      <c r="H59" s="31"/>
      <c r="I59" s="29"/>
      <c r="J59" s="29"/>
      <c r="K59" s="29"/>
      <c r="L59" s="29"/>
      <c r="M59" s="29"/>
      <c r="N59" s="29"/>
      <c r="O59" s="56" t="s">
        <v>422</v>
      </c>
      <c r="P59" s="29"/>
      <c r="Q59" s="56" t="s">
        <v>139</v>
      </c>
      <c r="R59" s="29"/>
      <c r="S59" s="29"/>
      <c r="T59" s="29"/>
      <c r="U59" s="29"/>
      <c r="V59" s="29"/>
      <c r="W59" s="29"/>
      <c r="X59" s="29"/>
      <c r="Y59" s="29"/>
      <c r="Z59" s="29"/>
      <c r="AA59" s="29"/>
      <c r="AB59" s="29"/>
      <c r="AC59" s="29"/>
      <c r="AD59" s="29"/>
      <c r="AE59" s="29"/>
      <c r="AF59" s="29"/>
      <c r="AG59" s="29"/>
      <c r="AH59" s="29"/>
      <c r="AI59" s="29"/>
      <c r="AJ59" s="29"/>
      <c r="AK59" s="29"/>
      <c r="AL59" s="29"/>
      <c r="AM59" s="29"/>
      <c r="AN59" s="29"/>
      <c r="AO59" s="29"/>
      <c r="AP59" s="29"/>
      <c r="AQ59" s="29"/>
      <c r="AR59" s="29"/>
      <c r="AS59" s="29"/>
      <c r="AT59" s="29"/>
      <c r="AU59" s="29"/>
      <c r="AV59" s="29"/>
      <c r="AW59" s="29"/>
      <c r="AX59" s="29"/>
    </row>
    <row r="60" ht="15.75" customHeight="1">
      <c r="A60" s="64" t="s">
        <v>118</v>
      </c>
      <c r="B60" s="65" t="s">
        <v>423</v>
      </c>
      <c r="C60" s="57"/>
      <c r="D60" s="57"/>
      <c r="E60" s="57"/>
      <c r="F60" s="66"/>
      <c r="G60" s="66"/>
      <c r="H60" s="66"/>
      <c r="I60" s="66"/>
      <c r="J60" s="68"/>
      <c r="K60" s="64"/>
      <c r="L60" s="64"/>
      <c r="M60" s="66"/>
      <c r="N60" s="66"/>
      <c r="O60" s="66"/>
      <c r="P60" s="66"/>
      <c r="Q60" s="69"/>
      <c r="R60" s="66"/>
      <c r="S60" s="66"/>
      <c r="T60" s="64" t="s">
        <v>125</v>
      </c>
      <c r="U60" s="66"/>
      <c r="V60" s="66"/>
      <c r="W60" s="66"/>
      <c r="X60" s="66"/>
      <c r="Y60" s="66"/>
      <c r="Z60" s="66"/>
      <c r="AA60" s="66"/>
      <c r="AB60" s="66"/>
      <c r="AC60" s="66"/>
      <c r="AD60" s="66"/>
      <c r="AE60" s="66"/>
      <c r="AF60" s="66"/>
      <c r="AG60" s="66"/>
      <c r="AH60" s="66"/>
      <c r="AI60" s="66"/>
      <c r="AJ60" s="66"/>
      <c r="AK60" s="66"/>
      <c r="AL60" s="66"/>
      <c r="AM60" s="66"/>
      <c r="AN60" s="66"/>
      <c r="AO60" s="66"/>
      <c r="AP60" s="66"/>
      <c r="AQ60" s="66"/>
      <c r="AR60" s="66"/>
      <c r="AS60" s="66"/>
      <c r="AT60" s="66"/>
      <c r="AU60" s="66"/>
      <c r="AV60" s="66"/>
      <c r="AW60" s="66"/>
      <c r="AX60" s="66"/>
    </row>
    <row r="61" ht="15.75" customHeight="1">
      <c r="A61" s="56" t="s">
        <v>68</v>
      </c>
      <c r="B61" s="56" t="s">
        <v>430</v>
      </c>
      <c r="C61" s="57"/>
      <c r="D61" s="29"/>
      <c r="E61" s="29"/>
      <c r="F61" s="29"/>
      <c r="G61" s="29"/>
      <c r="H61" s="29"/>
      <c r="I61" s="29"/>
      <c r="J61" s="29"/>
      <c r="K61" s="29"/>
      <c r="L61" s="29"/>
      <c r="M61" s="29"/>
      <c r="N61" s="29"/>
      <c r="O61" s="56"/>
      <c r="P61" s="29"/>
      <c r="Q61" s="29"/>
      <c r="R61" s="29"/>
      <c r="S61" s="29"/>
      <c r="T61" s="56" t="s">
        <v>431</v>
      </c>
      <c r="U61" s="29"/>
      <c r="V61" s="29"/>
      <c r="W61" s="29"/>
      <c r="X61" s="29"/>
      <c r="Y61" s="29"/>
      <c r="Z61" s="29"/>
      <c r="AA61" s="29"/>
      <c r="AB61" s="29"/>
      <c r="AC61" s="29"/>
      <c r="AD61" s="29"/>
      <c r="AE61" s="29"/>
      <c r="AF61" s="29"/>
      <c r="AG61" s="29"/>
      <c r="AH61" s="29"/>
      <c r="AI61" s="29"/>
      <c r="AJ61" s="29"/>
      <c r="AK61" s="29"/>
      <c r="AL61" s="29"/>
      <c r="AM61" s="29"/>
      <c r="AN61" s="29"/>
      <c r="AO61" s="29"/>
      <c r="AP61" s="29"/>
      <c r="AQ61" s="29"/>
      <c r="AR61" s="29"/>
      <c r="AS61" s="29"/>
      <c r="AT61" s="29"/>
      <c r="AU61" s="29"/>
      <c r="AV61" s="29"/>
      <c r="AW61" s="29"/>
      <c r="AX61" s="29"/>
    </row>
    <row r="62" ht="15.75" customHeight="1">
      <c r="A62" s="56" t="s">
        <v>107</v>
      </c>
      <c r="B62" s="56" t="s">
        <v>435</v>
      </c>
      <c r="C62" s="57" t="s">
        <v>436</v>
      </c>
      <c r="D62" s="29"/>
      <c r="E62" s="29"/>
      <c r="F62" s="29"/>
      <c r="G62" s="29"/>
      <c r="H62" s="29"/>
      <c r="I62" s="29"/>
      <c r="J62" s="29"/>
      <c r="K62" s="29"/>
      <c r="L62" s="29"/>
      <c r="M62" s="29"/>
      <c r="N62" s="29"/>
      <c r="O62" s="56" t="s">
        <v>437</v>
      </c>
      <c r="P62" s="29"/>
      <c r="Q62" s="29"/>
      <c r="R62" s="29"/>
      <c r="S62" s="29"/>
      <c r="T62" s="29"/>
      <c r="U62" s="29"/>
      <c r="V62" s="29"/>
      <c r="W62" s="29"/>
      <c r="X62" s="29"/>
      <c r="Y62" s="29"/>
      <c r="Z62" s="29"/>
      <c r="AA62" s="29"/>
      <c r="AB62" s="29"/>
      <c r="AC62" s="29"/>
      <c r="AD62" s="29"/>
      <c r="AE62" s="29"/>
      <c r="AF62" s="29"/>
      <c r="AG62" s="29"/>
      <c r="AH62" s="29"/>
      <c r="AI62" s="29"/>
      <c r="AJ62" s="29"/>
      <c r="AK62" s="29"/>
      <c r="AL62" s="29"/>
      <c r="AM62" s="29"/>
      <c r="AN62" s="29"/>
      <c r="AO62" s="29"/>
      <c r="AP62" s="29"/>
      <c r="AQ62" s="29"/>
      <c r="AR62" s="29"/>
      <c r="AS62" s="29"/>
      <c r="AT62" s="29"/>
      <c r="AU62" s="29"/>
      <c r="AV62" s="29"/>
      <c r="AW62" s="29"/>
      <c r="AX62" s="29"/>
    </row>
    <row r="63" ht="15.75" customHeight="1">
      <c r="A63" s="56" t="s">
        <v>107</v>
      </c>
      <c r="B63" s="56" t="s">
        <v>440</v>
      </c>
      <c r="C63" s="31"/>
      <c r="D63" s="29"/>
      <c r="E63" s="29"/>
      <c r="F63" s="29"/>
      <c r="G63" s="29"/>
      <c r="H63" s="29"/>
      <c r="I63" s="29"/>
      <c r="J63" s="29"/>
      <c r="K63" s="29"/>
      <c r="L63" s="29"/>
      <c r="M63" s="29"/>
      <c r="N63" s="29"/>
      <c r="O63" s="29"/>
      <c r="P63" s="29"/>
      <c r="Q63" s="29"/>
      <c r="R63" s="29"/>
      <c r="S63" s="29"/>
      <c r="T63" s="29"/>
      <c r="U63" s="29"/>
      <c r="V63" s="29"/>
      <c r="W63" s="29"/>
      <c r="X63" s="29"/>
      <c r="Y63" s="29"/>
      <c r="Z63" s="29"/>
      <c r="AA63" s="29"/>
      <c r="AB63" s="29"/>
      <c r="AC63" s="29"/>
      <c r="AD63" s="29"/>
      <c r="AE63" s="29"/>
      <c r="AF63" s="29"/>
      <c r="AG63" s="29"/>
      <c r="AH63" s="29"/>
      <c r="AI63" s="29"/>
      <c r="AJ63" s="29"/>
      <c r="AK63" s="29"/>
      <c r="AL63" s="29"/>
      <c r="AM63" s="29"/>
      <c r="AN63" s="29"/>
      <c r="AO63" s="29"/>
      <c r="AP63" s="29"/>
      <c r="AQ63" s="29"/>
      <c r="AR63" s="29"/>
      <c r="AS63" s="29"/>
      <c r="AT63" s="29"/>
      <c r="AU63" s="29"/>
      <c r="AV63" s="29"/>
      <c r="AW63" s="29"/>
      <c r="AX63" s="29"/>
    </row>
    <row r="64" ht="15.75" customHeight="1">
      <c r="A64" s="56"/>
      <c r="B64" s="56"/>
      <c r="C64" s="57"/>
      <c r="D64" s="29"/>
      <c r="E64" s="29"/>
      <c r="F64" s="29"/>
      <c r="G64" s="29"/>
      <c r="H64" s="29"/>
      <c r="I64" s="29"/>
      <c r="J64" s="29"/>
      <c r="K64" s="29"/>
      <c r="L64" s="29"/>
      <c r="M64" s="29"/>
      <c r="N64" s="29"/>
      <c r="O64" s="29"/>
      <c r="P64" s="29"/>
      <c r="Q64" s="29"/>
      <c r="R64" s="29"/>
      <c r="S64" s="29"/>
      <c r="T64" s="29"/>
      <c r="U64" s="29"/>
      <c r="V64" s="29"/>
      <c r="W64" s="29"/>
      <c r="X64" s="29"/>
      <c r="Y64" s="29"/>
      <c r="Z64" s="29"/>
      <c r="AA64" s="29"/>
      <c r="AB64" s="29"/>
      <c r="AC64" s="29"/>
      <c r="AD64" s="29"/>
      <c r="AE64" s="29"/>
      <c r="AF64" s="29"/>
      <c r="AG64" s="29"/>
      <c r="AH64" s="29"/>
      <c r="AI64" s="29"/>
      <c r="AJ64" s="29"/>
      <c r="AK64" s="29"/>
      <c r="AL64" s="29"/>
      <c r="AM64" s="29"/>
      <c r="AN64" s="29"/>
      <c r="AO64" s="29"/>
      <c r="AP64" s="29"/>
      <c r="AQ64" s="29"/>
      <c r="AR64" s="29"/>
      <c r="AS64" s="29"/>
      <c r="AT64" s="29"/>
      <c r="AU64" s="29"/>
      <c r="AV64" s="29"/>
      <c r="AW64" s="29"/>
      <c r="AX64" s="29"/>
    </row>
    <row r="65" ht="15.75" customHeight="1">
      <c r="A65" s="64" t="s">
        <v>118</v>
      </c>
      <c r="B65" s="65" t="s">
        <v>446</v>
      </c>
      <c r="C65" s="57"/>
      <c r="D65" s="57"/>
      <c r="E65" s="57"/>
      <c r="F65" s="66"/>
      <c r="G65" s="66"/>
      <c r="H65" s="66"/>
      <c r="I65" s="66"/>
      <c r="J65" s="68"/>
      <c r="K65" s="64"/>
      <c r="L65" s="64"/>
      <c r="M65" s="66"/>
      <c r="N65" s="66"/>
      <c r="O65" s="66"/>
      <c r="P65" s="66"/>
      <c r="Q65" s="69"/>
      <c r="R65" s="66"/>
      <c r="S65" s="66"/>
      <c r="T65" s="64" t="s">
        <v>125</v>
      </c>
      <c r="U65" s="66"/>
      <c r="V65" s="66"/>
      <c r="W65" s="66"/>
      <c r="X65" s="66"/>
      <c r="Y65" s="66"/>
      <c r="Z65" s="66"/>
      <c r="AA65" s="66"/>
      <c r="AB65" s="66"/>
      <c r="AC65" s="66"/>
      <c r="AD65" s="66"/>
      <c r="AE65" s="66"/>
      <c r="AF65" s="66"/>
      <c r="AG65" s="66"/>
      <c r="AH65" s="66"/>
      <c r="AI65" s="66"/>
      <c r="AJ65" s="66"/>
      <c r="AK65" s="66"/>
      <c r="AL65" s="66"/>
      <c r="AM65" s="66"/>
      <c r="AN65" s="66"/>
      <c r="AO65" s="66"/>
      <c r="AP65" s="66"/>
      <c r="AQ65" s="66"/>
      <c r="AR65" s="66"/>
      <c r="AS65" s="66"/>
      <c r="AT65" s="66"/>
      <c r="AU65" s="66"/>
      <c r="AV65" s="66"/>
      <c r="AW65" s="66"/>
      <c r="AX65" s="66"/>
    </row>
    <row r="66" ht="15.75" customHeight="1">
      <c r="A66" s="56" t="s">
        <v>107</v>
      </c>
      <c r="B66" s="56" t="s">
        <v>451</v>
      </c>
      <c r="C66" s="57" t="s">
        <v>452</v>
      </c>
      <c r="D66" s="29"/>
      <c r="E66" s="29"/>
      <c r="F66" s="29"/>
      <c r="G66" s="29"/>
      <c r="H66" s="29"/>
      <c r="I66" s="29"/>
      <c r="J66" s="29"/>
      <c r="K66" s="29"/>
      <c r="L66" s="29"/>
      <c r="M66" s="29"/>
      <c r="N66" s="29"/>
      <c r="O66" s="56"/>
      <c r="P66" s="29"/>
      <c r="Q66" s="29"/>
      <c r="R66" s="29"/>
      <c r="S66" s="29"/>
      <c r="T66" s="29"/>
      <c r="U66" s="29"/>
      <c r="V66" s="29"/>
      <c r="W66" s="29"/>
      <c r="X66" s="29"/>
      <c r="Y66" s="29"/>
      <c r="Z66" s="29"/>
      <c r="AA66" s="29"/>
      <c r="AB66" s="29"/>
      <c r="AC66" s="29"/>
      <c r="AD66" s="29"/>
      <c r="AE66" s="29"/>
      <c r="AF66" s="29"/>
      <c r="AG66" s="29"/>
      <c r="AH66" s="29"/>
      <c r="AI66" s="29"/>
      <c r="AJ66" s="29"/>
      <c r="AK66" s="29"/>
      <c r="AL66" s="29"/>
      <c r="AM66" s="29"/>
      <c r="AN66" s="29"/>
      <c r="AO66" s="29"/>
      <c r="AP66" s="29"/>
      <c r="AQ66" s="29"/>
      <c r="AR66" s="29"/>
      <c r="AS66" s="29"/>
      <c r="AT66" s="29"/>
      <c r="AU66" s="29"/>
      <c r="AV66" s="29"/>
      <c r="AW66" s="29"/>
      <c r="AX66" s="29"/>
    </row>
    <row r="67" ht="15.75" customHeight="1">
      <c r="A67" s="56" t="s">
        <v>41</v>
      </c>
      <c r="B67" s="56" t="s">
        <v>457</v>
      </c>
      <c r="C67" s="31" t="s">
        <v>458</v>
      </c>
      <c r="D67" s="31" t="s">
        <v>459</v>
      </c>
      <c r="E67" s="31" t="s">
        <v>460</v>
      </c>
      <c r="F67" s="31"/>
      <c r="G67" s="31"/>
      <c r="H67" s="31"/>
      <c r="I67" s="29"/>
      <c r="J67" s="29"/>
      <c r="K67" s="29"/>
      <c r="L67" s="29"/>
      <c r="M67" s="29"/>
      <c r="N67" s="29"/>
      <c r="O67" s="29"/>
      <c r="P67" s="29"/>
      <c r="Q67" s="29"/>
      <c r="R67" s="29"/>
      <c r="S67" s="29"/>
      <c r="T67" s="29"/>
      <c r="U67" s="29"/>
      <c r="V67" s="29"/>
      <c r="W67" s="29"/>
      <c r="X67" s="29"/>
      <c r="Y67" s="29"/>
      <c r="Z67" s="29"/>
      <c r="AA67" s="29"/>
      <c r="AB67" s="29"/>
      <c r="AC67" s="29"/>
      <c r="AD67" s="29"/>
      <c r="AE67" s="29"/>
      <c r="AF67" s="29"/>
      <c r="AG67" s="29"/>
      <c r="AH67" s="29"/>
      <c r="AI67" s="29"/>
      <c r="AJ67" s="29"/>
      <c r="AK67" s="29"/>
      <c r="AL67" s="29"/>
      <c r="AM67" s="29"/>
      <c r="AN67" s="29"/>
      <c r="AO67" s="29"/>
      <c r="AP67" s="29"/>
      <c r="AQ67" s="29"/>
      <c r="AR67" s="29"/>
      <c r="AS67" s="29"/>
      <c r="AT67" s="29"/>
      <c r="AU67" s="29"/>
      <c r="AV67" s="29"/>
      <c r="AW67" s="29"/>
      <c r="AX67" s="29"/>
    </row>
    <row r="68" ht="15.75" customHeight="1">
      <c r="A68" s="69" t="s">
        <v>353</v>
      </c>
      <c r="B68" s="163" t="s">
        <v>464</v>
      </c>
      <c r="C68" s="57" t="s">
        <v>465</v>
      </c>
      <c r="D68" s="57" t="s">
        <v>466</v>
      </c>
      <c r="E68" s="57" t="s">
        <v>467</v>
      </c>
      <c r="F68" s="31"/>
      <c r="G68" s="31"/>
      <c r="H68" s="31"/>
      <c r="I68" s="66"/>
      <c r="J68" s="68"/>
      <c r="K68" s="66"/>
      <c r="L68" s="66"/>
      <c r="M68" s="66"/>
      <c r="N68" s="66"/>
      <c r="O68" s="66"/>
      <c r="P68" s="66"/>
      <c r="Q68" s="66" t="s">
        <v>139</v>
      </c>
      <c r="R68" s="66"/>
      <c r="S68" s="66"/>
      <c r="T68" s="66"/>
      <c r="U68" s="66"/>
      <c r="V68" s="66"/>
      <c r="W68" s="66"/>
      <c r="X68" s="66"/>
      <c r="Y68" s="66"/>
      <c r="Z68" s="66"/>
      <c r="AA68" s="66"/>
      <c r="AB68" s="66"/>
      <c r="AC68" s="66"/>
      <c r="AD68" s="66"/>
      <c r="AE68" s="66"/>
      <c r="AF68" s="66"/>
      <c r="AG68" s="66"/>
      <c r="AH68" s="66"/>
      <c r="AI68" s="66"/>
      <c r="AJ68" s="66"/>
      <c r="AK68" s="66"/>
      <c r="AL68" s="66"/>
      <c r="AM68" s="66"/>
      <c r="AN68" s="66"/>
      <c r="AO68" s="75"/>
      <c r="AP68" s="75"/>
      <c r="AQ68" s="75"/>
      <c r="AR68" s="75"/>
      <c r="AS68" s="75"/>
      <c r="AT68" s="75"/>
      <c r="AU68" s="75"/>
      <c r="AV68" s="75"/>
      <c r="AW68" s="75"/>
      <c r="AX68" s="75"/>
    </row>
    <row r="69" ht="15.75" customHeight="1">
      <c r="A69" s="69" t="s">
        <v>353</v>
      </c>
      <c r="B69" s="163" t="s">
        <v>473</v>
      </c>
      <c r="C69" s="31" t="s">
        <v>474</v>
      </c>
      <c r="D69" s="31" t="s">
        <v>475</v>
      </c>
      <c r="E69" s="31" t="s">
        <v>476</v>
      </c>
      <c r="F69" s="31"/>
      <c r="G69" s="31"/>
      <c r="H69" s="31"/>
      <c r="I69" s="66"/>
      <c r="J69" s="68"/>
      <c r="K69" s="66"/>
      <c r="L69" s="66"/>
      <c r="M69" s="66"/>
      <c r="N69" s="66"/>
      <c r="O69" s="66" t="s">
        <v>477</v>
      </c>
      <c r="P69" s="66"/>
      <c r="Q69" s="66" t="s">
        <v>139</v>
      </c>
      <c r="R69" s="66"/>
      <c r="S69" s="66"/>
      <c r="T69" s="66"/>
      <c r="U69" s="66"/>
      <c r="V69" s="66"/>
      <c r="W69" s="66"/>
      <c r="X69" s="66"/>
      <c r="Y69" s="66"/>
      <c r="Z69" s="66"/>
      <c r="AA69" s="66"/>
      <c r="AB69" s="66"/>
      <c r="AC69" s="66"/>
      <c r="AD69" s="66"/>
      <c r="AE69" s="66"/>
      <c r="AF69" s="66"/>
      <c r="AG69" s="66"/>
      <c r="AH69" s="66"/>
      <c r="AI69" s="66"/>
      <c r="AJ69" s="66"/>
      <c r="AK69" s="66"/>
      <c r="AL69" s="66"/>
      <c r="AM69" s="66"/>
      <c r="AN69" s="66"/>
      <c r="AO69" s="75"/>
      <c r="AP69" s="75"/>
      <c r="AQ69" s="75"/>
      <c r="AR69" s="75"/>
      <c r="AS69" s="75"/>
      <c r="AT69" s="75"/>
      <c r="AU69" s="75"/>
      <c r="AV69" s="75"/>
      <c r="AW69" s="75"/>
      <c r="AX69" s="75"/>
    </row>
    <row r="70" ht="15.75" customHeight="1">
      <c r="A70" s="69" t="s">
        <v>481</v>
      </c>
      <c r="B70" s="163" t="s">
        <v>482</v>
      </c>
      <c r="C70" s="31" t="s">
        <v>483</v>
      </c>
      <c r="D70" s="31" t="s">
        <v>484</v>
      </c>
      <c r="E70" s="31" t="s">
        <v>485</v>
      </c>
      <c r="F70" s="31"/>
      <c r="G70" s="31"/>
      <c r="H70" s="31"/>
      <c r="I70" s="66"/>
      <c r="J70" s="68"/>
      <c r="K70" s="66"/>
      <c r="L70" s="66"/>
      <c r="M70" s="66"/>
      <c r="N70" s="66"/>
      <c r="O70" s="66" t="s">
        <v>486</v>
      </c>
      <c r="P70" s="66"/>
      <c r="Q70" s="66" t="s">
        <v>139</v>
      </c>
      <c r="R70" s="66"/>
      <c r="S70" s="66"/>
      <c r="T70" s="66"/>
      <c r="U70" s="66"/>
      <c r="V70" s="66"/>
      <c r="W70" s="66"/>
      <c r="X70" s="66"/>
      <c r="Y70" s="66"/>
      <c r="Z70" s="66"/>
      <c r="AA70" s="66"/>
      <c r="AB70" s="66"/>
      <c r="AC70" s="66"/>
      <c r="AD70" s="66"/>
      <c r="AE70" s="66"/>
      <c r="AF70" s="66"/>
      <c r="AG70" s="66"/>
      <c r="AH70" s="66"/>
      <c r="AI70" s="66"/>
      <c r="AJ70" s="66"/>
      <c r="AK70" s="66"/>
      <c r="AL70" s="66"/>
      <c r="AM70" s="66"/>
      <c r="AN70" s="66"/>
      <c r="AO70" s="75"/>
      <c r="AP70" s="75"/>
      <c r="AQ70" s="75"/>
      <c r="AR70" s="75"/>
      <c r="AS70" s="75"/>
      <c r="AT70" s="75"/>
      <c r="AU70" s="75"/>
      <c r="AV70" s="75"/>
      <c r="AW70" s="75"/>
      <c r="AX70" s="75"/>
    </row>
    <row r="71" ht="15.75" customHeight="1">
      <c r="A71" s="69" t="s">
        <v>489</v>
      </c>
      <c r="B71" s="163" t="s">
        <v>490</v>
      </c>
      <c r="C71" s="31" t="s">
        <v>491</v>
      </c>
      <c r="D71" s="31" t="s">
        <v>492</v>
      </c>
      <c r="E71" s="31" t="s">
        <v>493</v>
      </c>
      <c r="F71" s="31"/>
      <c r="G71" s="31"/>
      <c r="H71" s="31"/>
      <c r="I71" s="66"/>
      <c r="J71" s="68"/>
      <c r="K71" s="66"/>
      <c r="L71" s="66"/>
      <c r="M71" s="66"/>
      <c r="N71" s="66"/>
      <c r="O71" s="66" t="s">
        <v>494</v>
      </c>
      <c r="P71" s="66"/>
      <c r="Q71" s="66" t="s">
        <v>139</v>
      </c>
      <c r="R71" s="66"/>
      <c r="S71" s="66"/>
      <c r="T71" s="66"/>
      <c r="U71" s="66"/>
      <c r="V71" s="66"/>
      <c r="W71" s="66"/>
      <c r="X71" s="66"/>
      <c r="Y71" s="66"/>
      <c r="Z71" s="66"/>
      <c r="AA71" s="66"/>
      <c r="AB71" s="66"/>
      <c r="AC71" s="66"/>
      <c r="AD71" s="66"/>
      <c r="AE71" s="66"/>
      <c r="AF71" s="66"/>
      <c r="AG71" s="66"/>
      <c r="AH71" s="66"/>
      <c r="AI71" s="66"/>
      <c r="AJ71" s="66"/>
      <c r="AK71" s="66"/>
      <c r="AL71" s="66"/>
      <c r="AM71" s="66"/>
      <c r="AN71" s="66"/>
      <c r="AO71" s="75"/>
      <c r="AP71" s="75"/>
      <c r="AQ71" s="75"/>
      <c r="AR71" s="75"/>
      <c r="AS71" s="75"/>
      <c r="AT71" s="75"/>
      <c r="AU71" s="75"/>
      <c r="AV71" s="75"/>
      <c r="AW71" s="75"/>
      <c r="AX71" s="75"/>
    </row>
    <row r="72" ht="15.75" customHeight="1">
      <c r="A72" s="165" t="s">
        <v>231</v>
      </c>
      <c r="B72" s="166" t="s">
        <v>499</v>
      </c>
      <c r="C72" s="31" t="s">
        <v>500</v>
      </c>
      <c r="D72" s="31" t="s">
        <v>501</v>
      </c>
      <c r="E72" s="31" t="s">
        <v>502</v>
      </c>
      <c r="F72" s="31"/>
      <c r="G72" s="31"/>
      <c r="H72" s="31"/>
      <c r="I72" s="167"/>
      <c r="J72" s="168"/>
      <c r="K72" s="167"/>
      <c r="L72" s="167"/>
      <c r="M72" s="167"/>
      <c r="N72" s="167"/>
      <c r="O72" s="167" t="s">
        <v>503</v>
      </c>
      <c r="P72" s="167"/>
      <c r="Q72" s="167" t="s">
        <v>139</v>
      </c>
      <c r="R72" s="167"/>
      <c r="S72" s="167"/>
      <c r="T72" s="167"/>
      <c r="U72" s="167"/>
      <c r="V72" s="167"/>
      <c r="W72" s="167"/>
      <c r="X72" s="167"/>
      <c r="Y72" s="167"/>
      <c r="Z72" s="167"/>
      <c r="AA72" s="167"/>
      <c r="AB72" s="167"/>
      <c r="AC72" s="167"/>
      <c r="AD72" s="167"/>
      <c r="AE72" s="167"/>
      <c r="AF72" s="167"/>
      <c r="AG72" s="167"/>
      <c r="AH72" s="167"/>
      <c r="AI72" s="167"/>
      <c r="AJ72" s="167"/>
      <c r="AK72" s="167"/>
      <c r="AL72" s="167"/>
      <c r="AM72" s="167"/>
      <c r="AN72" s="167"/>
      <c r="AO72" s="75"/>
      <c r="AP72" s="75"/>
      <c r="AQ72" s="75"/>
      <c r="AR72" s="75"/>
      <c r="AS72" s="75"/>
      <c r="AT72" s="75"/>
      <c r="AU72" s="75"/>
      <c r="AV72" s="75"/>
      <c r="AW72" s="75"/>
      <c r="AX72" s="75"/>
    </row>
    <row r="73" ht="15.75" customHeight="1">
      <c r="A73" s="69" t="s">
        <v>508</v>
      </c>
      <c r="B73" s="163" t="s">
        <v>509</v>
      </c>
      <c r="C73" s="31" t="s">
        <v>511</v>
      </c>
      <c r="D73" s="31" t="s">
        <v>512</v>
      </c>
      <c r="E73" s="31" t="s">
        <v>513</v>
      </c>
      <c r="F73" s="31"/>
      <c r="G73" s="31"/>
      <c r="H73" s="31"/>
      <c r="I73" s="66"/>
      <c r="J73" s="68" t="s">
        <v>514</v>
      </c>
      <c r="K73" s="66"/>
      <c r="L73" s="66"/>
      <c r="M73" s="66"/>
      <c r="N73" s="66"/>
      <c r="O73" s="64" t="s">
        <v>515</v>
      </c>
      <c r="P73" s="66"/>
      <c r="Q73" s="66" t="s">
        <v>139</v>
      </c>
      <c r="R73" s="66"/>
      <c r="S73" s="66"/>
      <c r="T73" s="66"/>
      <c r="U73" s="66"/>
      <c r="V73" s="66"/>
      <c r="W73" s="66"/>
      <c r="X73" s="66"/>
      <c r="Y73" s="66"/>
      <c r="Z73" s="66"/>
      <c r="AA73" s="66"/>
      <c r="AB73" s="66"/>
      <c r="AC73" s="66"/>
      <c r="AD73" s="66"/>
      <c r="AE73" s="66"/>
      <c r="AF73" s="66"/>
      <c r="AG73" s="66"/>
      <c r="AH73" s="66"/>
      <c r="AI73" s="66"/>
      <c r="AJ73" s="66"/>
      <c r="AK73" s="66"/>
      <c r="AL73" s="66"/>
      <c r="AM73" s="66"/>
      <c r="AN73" s="66"/>
      <c r="AO73" s="75"/>
      <c r="AP73" s="75"/>
      <c r="AQ73" s="75"/>
      <c r="AR73" s="75"/>
      <c r="AS73" s="75"/>
      <c r="AT73" s="75"/>
      <c r="AU73" s="75"/>
      <c r="AV73" s="75"/>
      <c r="AW73" s="75"/>
      <c r="AX73" s="75"/>
    </row>
    <row r="74" ht="15.75" customHeight="1">
      <c r="A74" s="165" t="s">
        <v>231</v>
      </c>
      <c r="B74" s="166" t="s">
        <v>518</v>
      </c>
      <c r="C74" s="31" t="s">
        <v>520</v>
      </c>
      <c r="D74" s="31" t="s">
        <v>521</v>
      </c>
      <c r="E74" s="31" t="s">
        <v>522</v>
      </c>
      <c r="F74" s="31"/>
      <c r="G74" s="31"/>
      <c r="H74" s="31"/>
      <c r="I74" s="167"/>
      <c r="J74" s="168"/>
      <c r="K74" s="167"/>
      <c r="L74" s="167"/>
      <c r="M74" s="167"/>
      <c r="N74" s="167"/>
      <c r="O74" s="167" t="s">
        <v>523</v>
      </c>
      <c r="P74" s="167"/>
      <c r="Q74" s="167"/>
      <c r="R74" s="167"/>
      <c r="S74" s="167"/>
      <c r="T74" s="167"/>
      <c r="U74" s="167"/>
      <c r="V74" s="167"/>
      <c r="W74" s="167"/>
      <c r="X74" s="167"/>
      <c r="Y74" s="167"/>
      <c r="Z74" s="167"/>
      <c r="AA74" s="167"/>
      <c r="AB74" s="167"/>
      <c r="AC74" s="167"/>
      <c r="AD74" s="102"/>
      <c r="AE74" s="102"/>
      <c r="AF74" s="102"/>
      <c r="AG74" s="102"/>
      <c r="AH74" s="102"/>
      <c r="AI74" s="102"/>
      <c r="AJ74" s="102"/>
      <c r="AK74" s="102"/>
      <c r="AL74" s="102"/>
      <c r="AM74" s="102"/>
      <c r="AN74" s="102"/>
      <c r="AO74" s="75"/>
      <c r="AP74" s="75"/>
      <c r="AQ74" s="75"/>
      <c r="AR74" s="75"/>
      <c r="AS74" s="75"/>
      <c r="AT74" s="75"/>
      <c r="AU74" s="75"/>
      <c r="AV74" s="75"/>
      <c r="AW74" s="75"/>
      <c r="AX74" s="75"/>
    </row>
    <row r="75" ht="15.75" customHeight="1">
      <c r="A75" s="99" t="s">
        <v>68</v>
      </c>
      <c r="B75" s="100" t="s">
        <v>525</v>
      </c>
      <c r="C75" s="101"/>
      <c r="D75" s="101"/>
      <c r="E75" s="101"/>
      <c r="F75" s="102"/>
      <c r="G75" s="102"/>
      <c r="H75" s="102"/>
      <c r="I75" s="102"/>
      <c r="J75" s="102"/>
      <c r="K75" s="102"/>
      <c r="L75" s="102"/>
      <c r="M75" s="102"/>
      <c r="N75" s="102"/>
      <c r="O75" s="102"/>
      <c r="P75" s="102"/>
      <c r="Q75" s="102"/>
      <c r="R75" s="102"/>
      <c r="S75" s="102"/>
      <c r="T75" s="169" t="s">
        <v>527</v>
      </c>
      <c r="U75" s="102"/>
      <c r="V75" s="102"/>
      <c r="W75" s="102"/>
      <c r="X75" s="102"/>
      <c r="Y75" s="102"/>
      <c r="Z75" s="102"/>
      <c r="AA75" s="102"/>
      <c r="AB75" s="102"/>
      <c r="AC75" s="102"/>
      <c r="AD75" s="102"/>
      <c r="AE75" s="102"/>
      <c r="AF75" s="102"/>
      <c r="AG75" s="102"/>
      <c r="AH75" s="102"/>
      <c r="AI75" s="102"/>
      <c r="AJ75" s="102"/>
      <c r="AK75" s="102"/>
      <c r="AL75" s="102"/>
      <c r="AM75" s="102"/>
      <c r="AN75" s="102"/>
      <c r="AO75" s="75"/>
      <c r="AP75" s="75"/>
      <c r="AQ75" s="75"/>
      <c r="AR75" s="75"/>
      <c r="AS75" s="75"/>
      <c r="AT75" s="75"/>
      <c r="AU75" s="75"/>
      <c r="AV75" s="75"/>
      <c r="AW75" s="75"/>
      <c r="AX75" s="75"/>
    </row>
    <row r="76" ht="15.75" customHeight="1">
      <c r="A76" s="99" t="s">
        <v>68</v>
      </c>
      <c r="B76" s="100" t="s">
        <v>529</v>
      </c>
      <c r="C76" s="101"/>
      <c r="D76" s="101"/>
      <c r="E76" s="101"/>
      <c r="F76" s="102"/>
      <c r="G76" s="102"/>
      <c r="H76" s="102"/>
      <c r="I76" s="102"/>
      <c r="J76" s="102"/>
      <c r="K76" s="102"/>
      <c r="L76" s="102"/>
      <c r="M76" s="102"/>
      <c r="N76" s="102"/>
      <c r="O76" s="102"/>
      <c r="P76" s="102"/>
      <c r="Q76" s="102"/>
      <c r="R76" s="102"/>
      <c r="S76" s="102"/>
      <c r="T76" s="169" t="s">
        <v>532</v>
      </c>
      <c r="U76" s="102"/>
      <c r="V76" s="102"/>
      <c r="W76" s="102"/>
      <c r="X76" s="102"/>
      <c r="Y76" s="102"/>
      <c r="Z76" s="102"/>
      <c r="AA76" s="102"/>
      <c r="AB76" s="102"/>
      <c r="AC76" s="102"/>
      <c r="AD76" s="102"/>
      <c r="AE76" s="102"/>
      <c r="AF76" s="102"/>
      <c r="AG76" s="102"/>
      <c r="AH76" s="102"/>
      <c r="AI76" s="102"/>
      <c r="AJ76" s="102"/>
      <c r="AK76" s="102"/>
      <c r="AL76" s="102"/>
      <c r="AM76" s="102"/>
      <c r="AN76" s="102"/>
      <c r="AO76" s="75"/>
      <c r="AP76" s="75"/>
      <c r="AQ76" s="75"/>
      <c r="AR76" s="75"/>
      <c r="AS76" s="75"/>
      <c r="AT76" s="75"/>
      <c r="AU76" s="75"/>
      <c r="AV76" s="75"/>
      <c r="AW76" s="75"/>
      <c r="AX76" s="75"/>
    </row>
    <row r="77" ht="15.75" customHeight="1">
      <c r="A77" s="99" t="s">
        <v>68</v>
      </c>
      <c r="B77" s="100" t="s">
        <v>535</v>
      </c>
      <c r="C77" s="173"/>
      <c r="D77" s="101"/>
      <c r="E77" s="101"/>
      <c r="F77" s="102"/>
      <c r="G77" s="102"/>
      <c r="H77" s="102"/>
      <c r="I77" s="102"/>
      <c r="J77" s="102"/>
      <c r="K77" s="102"/>
      <c r="L77" s="102"/>
      <c r="M77" s="102"/>
      <c r="N77" s="102"/>
      <c r="O77" s="102"/>
      <c r="P77" s="102"/>
      <c r="Q77" s="102"/>
      <c r="R77" s="102"/>
      <c r="S77" s="102"/>
      <c r="T77" s="169" t="s">
        <v>539</v>
      </c>
      <c r="U77" s="102"/>
      <c r="V77" s="102"/>
      <c r="W77" s="102"/>
      <c r="X77" s="102"/>
      <c r="Y77" s="102"/>
      <c r="Z77" s="102"/>
      <c r="AA77" s="102"/>
      <c r="AB77" s="102"/>
      <c r="AC77" s="102"/>
      <c r="AD77" s="102"/>
      <c r="AE77" s="102"/>
      <c r="AF77" s="102"/>
      <c r="AG77" s="102"/>
      <c r="AH77" s="102"/>
      <c r="AI77" s="102"/>
      <c r="AJ77" s="102"/>
      <c r="AK77" s="102"/>
      <c r="AL77" s="102"/>
      <c r="AM77" s="102"/>
      <c r="AN77" s="102"/>
      <c r="AO77" s="75"/>
      <c r="AP77" s="75"/>
      <c r="AQ77" s="75"/>
      <c r="AR77" s="75"/>
      <c r="AS77" s="75"/>
      <c r="AT77" s="75"/>
      <c r="AU77" s="75"/>
      <c r="AV77" s="75"/>
      <c r="AW77" s="75"/>
      <c r="AX77" s="75"/>
    </row>
    <row r="78" ht="15.75" customHeight="1">
      <c r="A78" s="99" t="s">
        <v>68</v>
      </c>
      <c r="B78" s="100" t="s">
        <v>540</v>
      </c>
      <c r="C78" s="101"/>
      <c r="D78" s="101"/>
      <c r="E78" s="101"/>
      <c r="F78" s="102"/>
      <c r="G78" s="102"/>
      <c r="H78" s="102"/>
      <c r="I78" s="102"/>
      <c r="J78" s="102"/>
      <c r="K78" s="102"/>
      <c r="L78" s="102"/>
      <c r="M78" s="102"/>
      <c r="N78" s="102"/>
      <c r="O78" s="102"/>
      <c r="P78" s="102"/>
      <c r="Q78" s="102"/>
      <c r="R78" s="102"/>
      <c r="S78" s="102"/>
      <c r="T78" s="169" t="s">
        <v>543</v>
      </c>
      <c r="U78" s="102"/>
      <c r="V78" s="102"/>
      <c r="W78" s="102"/>
      <c r="X78" s="102"/>
      <c r="Y78" s="102"/>
      <c r="Z78" s="102"/>
      <c r="AA78" s="102"/>
      <c r="AB78" s="102"/>
      <c r="AC78" s="102"/>
      <c r="AD78" s="102"/>
      <c r="AE78" s="102"/>
      <c r="AF78" s="102"/>
      <c r="AG78" s="102"/>
      <c r="AH78" s="102"/>
      <c r="AI78" s="102"/>
      <c r="AJ78" s="102"/>
      <c r="AK78" s="102"/>
      <c r="AL78" s="102"/>
      <c r="AM78" s="102"/>
      <c r="AN78" s="102"/>
      <c r="AO78" s="75"/>
      <c r="AP78" s="75"/>
      <c r="AQ78" s="75"/>
      <c r="AR78" s="75"/>
      <c r="AS78" s="75"/>
      <c r="AT78" s="75"/>
      <c r="AU78" s="75"/>
      <c r="AV78" s="75"/>
      <c r="AW78" s="75"/>
      <c r="AX78" s="75"/>
    </row>
    <row r="79" ht="15.75" customHeight="1">
      <c r="A79" s="142" t="s">
        <v>68</v>
      </c>
      <c r="B79" s="177" t="s">
        <v>549</v>
      </c>
      <c r="C79" s="101"/>
      <c r="D79" s="101"/>
      <c r="E79" s="101"/>
      <c r="F79" s="102"/>
      <c r="G79" s="102"/>
      <c r="H79" s="102"/>
      <c r="I79" s="102"/>
      <c r="J79" s="102"/>
      <c r="K79" s="102"/>
      <c r="L79" s="102"/>
      <c r="M79" s="102"/>
      <c r="N79" s="102"/>
      <c r="O79" s="102"/>
      <c r="P79" s="102"/>
      <c r="Q79" s="102"/>
      <c r="R79" s="102"/>
      <c r="S79" s="102"/>
      <c r="T79" s="178" t="s">
        <v>550</v>
      </c>
      <c r="U79" s="102"/>
      <c r="V79" s="102"/>
      <c r="W79" s="102"/>
      <c r="X79" s="102"/>
      <c r="Y79" s="102"/>
      <c r="Z79" s="102"/>
      <c r="AA79" s="102"/>
      <c r="AB79" s="102"/>
      <c r="AC79" s="102"/>
      <c r="AD79" s="66"/>
      <c r="AE79" s="66"/>
      <c r="AF79" s="66"/>
      <c r="AG79" s="66"/>
      <c r="AH79" s="66"/>
      <c r="AI79" s="66"/>
      <c r="AJ79" s="66"/>
      <c r="AK79" s="66"/>
      <c r="AL79" s="66"/>
      <c r="AM79" s="66"/>
      <c r="AN79" s="66"/>
      <c r="AO79" s="75"/>
      <c r="AP79" s="75"/>
      <c r="AQ79" s="75"/>
      <c r="AR79" s="75"/>
      <c r="AS79" s="75"/>
      <c r="AT79" s="75"/>
      <c r="AU79" s="75"/>
      <c r="AV79" s="75"/>
      <c r="AW79" s="75"/>
      <c r="AX79" s="75"/>
    </row>
    <row r="80" ht="15.75" customHeight="1">
      <c r="A80" s="69" t="s">
        <v>353</v>
      </c>
      <c r="B80" s="163" t="s">
        <v>554</v>
      </c>
      <c r="C80" s="31" t="s">
        <v>555</v>
      </c>
      <c r="D80" s="31" t="s">
        <v>556</v>
      </c>
      <c r="E80" s="31" t="s">
        <v>557</v>
      </c>
      <c r="F80" s="31"/>
      <c r="G80" s="31"/>
      <c r="H80" s="31"/>
      <c r="I80" s="66"/>
      <c r="J80" s="68"/>
      <c r="K80" s="66"/>
      <c r="L80" s="66"/>
      <c r="M80" s="179"/>
      <c r="N80" s="179"/>
      <c r="O80" s="66"/>
      <c r="P80" s="66"/>
      <c r="Q80" s="66" t="s">
        <v>139</v>
      </c>
      <c r="R80" s="66"/>
      <c r="S80" s="66"/>
      <c r="T80" s="66"/>
      <c r="U80" s="66"/>
      <c r="V80" s="66"/>
      <c r="W80" s="66"/>
      <c r="X80" s="66"/>
      <c r="Y80" s="66"/>
      <c r="Z80" s="66"/>
      <c r="AA80" s="66"/>
      <c r="AB80" s="66"/>
      <c r="AC80" s="66"/>
      <c r="AD80" s="66"/>
      <c r="AE80" s="66"/>
      <c r="AF80" s="66"/>
      <c r="AG80" s="66"/>
      <c r="AH80" s="66"/>
      <c r="AI80" s="66"/>
      <c r="AJ80" s="66"/>
      <c r="AK80" s="66"/>
      <c r="AL80" s="66"/>
      <c r="AM80" s="66"/>
      <c r="AN80" s="66"/>
      <c r="AO80" s="75"/>
      <c r="AP80" s="75"/>
      <c r="AQ80" s="75"/>
      <c r="AR80" s="75"/>
      <c r="AS80" s="75"/>
      <c r="AT80" s="75"/>
      <c r="AU80" s="75"/>
      <c r="AV80" s="75"/>
      <c r="AW80" s="75"/>
      <c r="AX80" s="75"/>
    </row>
    <row r="81" ht="15.75" customHeight="1">
      <c r="A81" s="69" t="s">
        <v>353</v>
      </c>
      <c r="B81" s="163" t="s">
        <v>566</v>
      </c>
      <c r="C81" s="31" t="s">
        <v>567</v>
      </c>
      <c r="D81" s="31" t="s">
        <v>568</v>
      </c>
      <c r="E81" s="31" t="s">
        <v>569</v>
      </c>
      <c r="F81" s="31"/>
      <c r="G81" s="31"/>
      <c r="H81" s="31"/>
      <c r="I81" s="66"/>
      <c r="J81" s="68"/>
      <c r="K81" s="66"/>
      <c r="L81" s="66"/>
      <c r="M81" s="179"/>
      <c r="N81" s="179"/>
      <c r="O81" s="66" t="s">
        <v>570</v>
      </c>
      <c r="P81" s="66"/>
      <c r="Q81" s="66" t="s">
        <v>139</v>
      </c>
      <c r="R81" s="66"/>
      <c r="S81" s="66"/>
      <c r="T81" s="66"/>
      <c r="U81" s="66"/>
      <c r="V81" s="66"/>
      <c r="W81" s="66"/>
      <c r="X81" s="66"/>
      <c r="Y81" s="66"/>
      <c r="Z81" s="66"/>
      <c r="AA81" s="66"/>
      <c r="AB81" s="66"/>
      <c r="AC81" s="66"/>
      <c r="AD81" s="66"/>
      <c r="AE81" s="66"/>
      <c r="AF81" s="66"/>
      <c r="AG81" s="66"/>
      <c r="AH81" s="66"/>
      <c r="AI81" s="66"/>
      <c r="AJ81" s="66"/>
      <c r="AK81" s="66"/>
      <c r="AL81" s="66"/>
      <c r="AM81" s="66"/>
      <c r="AN81" s="66"/>
      <c r="AO81" s="75"/>
      <c r="AP81" s="75"/>
      <c r="AQ81" s="75"/>
      <c r="AR81" s="75"/>
      <c r="AS81" s="75"/>
      <c r="AT81" s="75"/>
      <c r="AU81" s="75"/>
      <c r="AV81" s="75"/>
      <c r="AW81" s="75"/>
      <c r="AX81" s="75"/>
    </row>
    <row r="82" ht="15.75" customHeight="1">
      <c r="A82" s="69" t="s">
        <v>481</v>
      </c>
      <c r="B82" s="163" t="s">
        <v>577</v>
      </c>
      <c r="C82" s="31" t="s">
        <v>578</v>
      </c>
      <c r="D82" s="31" t="s">
        <v>579</v>
      </c>
      <c r="E82" s="31" t="s">
        <v>580</v>
      </c>
      <c r="F82" s="31"/>
      <c r="G82" s="31"/>
      <c r="H82" s="31"/>
      <c r="I82" s="66"/>
      <c r="J82" s="68"/>
      <c r="K82" s="66"/>
      <c r="L82" s="66"/>
      <c r="M82" s="66"/>
      <c r="N82" s="66"/>
      <c r="O82" s="66" t="s">
        <v>582</v>
      </c>
      <c r="P82" s="66"/>
      <c r="Q82" s="66" t="s">
        <v>139</v>
      </c>
      <c r="R82" s="66"/>
      <c r="S82" s="66"/>
      <c r="T82" s="66"/>
      <c r="U82" s="66"/>
      <c r="V82" s="66"/>
      <c r="W82" s="66"/>
      <c r="X82" s="66"/>
      <c r="Y82" s="66"/>
      <c r="Z82" s="66"/>
      <c r="AA82" s="66"/>
      <c r="AB82" s="66"/>
      <c r="AC82" s="66"/>
      <c r="AD82" s="66"/>
      <c r="AE82" s="66"/>
      <c r="AF82" s="66"/>
      <c r="AG82" s="66"/>
      <c r="AH82" s="66"/>
      <c r="AI82" s="66"/>
      <c r="AJ82" s="66"/>
      <c r="AK82" s="66"/>
      <c r="AL82" s="66"/>
      <c r="AM82" s="66"/>
      <c r="AN82" s="66"/>
      <c r="AO82" s="75"/>
      <c r="AP82" s="75"/>
      <c r="AQ82" s="75"/>
      <c r="AR82" s="75"/>
      <c r="AS82" s="75"/>
      <c r="AT82" s="75"/>
      <c r="AU82" s="75"/>
      <c r="AV82" s="75"/>
      <c r="AW82" s="75"/>
      <c r="AX82" s="75"/>
    </row>
    <row r="83" ht="15.75" customHeight="1">
      <c r="A83" s="69" t="s">
        <v>489</v>
      </c>
      <c r="B83" s="163" t="s">
        <v>589</v>
      </c>
      <c r="C83" s="31" t="s">
        <v>590</v>
      </c>
      <c r="D83" s="31" t="s">
        <v>591</v>
      </c>
      <c r="E83" s="31" t="s">
        <v>592</v>
      </c>
      <c r="F83" s="31"/>
      <c r="G83" s="31"/>
      <c r="H83" s="31"/>
      <c r="I83" s="66"/>
      <c r="J83" s="68"/>
      <c r="K83" s="66"/>
      <c r="L83" s="66"/>
      <c r="M83" s="66"/>
      <c r="N83" s="66"/>
      <c r="O83" s="66" t="s">
        <v>593</v>
      </c>
      <c r="P83" s="66"/>
      <c r="Q83" s="66" t="s">
        <v>139</v>
      </c>
      <c r="R83" s="66"/>
      <c r="S83" s="66"/>
      <c r="T83" s="66"/>
      <c r="U83" s="66"/>
      <c r="V83" s="66"/>
      <c r="W83" s="66"/>
      <c r="X83" s="66"/>
      <c r="Y83" s="66" t="s">
        <v>594</v>
      </c>
      <c r="Z83" s="66"/>
      <c r="AA83" s="66"/>
      <c r="AB83" s="66"/>
      <c r="AC83" s="66"/>
      <c r="AD83" s="66"/>
      <c r="AE83" s="66"/>
      <c r="AF83" s="66"/>
      <c r="AG83" s="66"/>
      <c r="AH83" s="66"/>
      <c r="AI83" s="66"/>
      <c r="AJ83" s="66"/>
      <c r="AK83" s="66"/>
      <c r="AL83" s="66"/>
      <c r="AM83" s="66"/>
      <c r="AN83" s="66"/>
      <c r="AO83" s="75"/>
      <c r="AP83" s="75"/>
      <c r="AQ83" s="75"/>
      <c r="AR83" s="75"/>
      <c r="AS83" s="75"/>
      <c r="AT83" s="75"/>
      <c r="AU83" s="75"/>
      <c r="AV83" s="75"/>
      <c r="AW83" s="75"/>
      <c r="AX83" s="75"/>
    </row>
    <row r="84" ht="15.75" customHeight="1">
      <c r="A84" s="165" t="s">
        <v>231</v>
      </c>
      <c r="B84" s="166" t="s">
        <v>598</v>
      </c>
      <c r="C84" s="31" t="s">
        <v>599</v>
      </c>
      <c r="D84" s="31" t="s">
        <v>600</v>
      </c>
      <c r="E84" s="31" t="s">
        <v>601</v>
      </c>
      <c r="F84" s="31"/>
      <c r="G84" s="31"/>
      <c r="H84" s="31"/>
      <c r="I84" s="167"/>
      <c r="J84" s="168"/>
      <c r="K84" s="167"/>
      <c r="L84" s="167"/>
      <c r="M84" s="167"/>
      <c r="N84" s="167"/>
      <c r="O84" s="167" t="s">
        <v>602</v>
      </c>
      <c r="P84" s="167"/>
      <c r="Q84" s="167" t="s">
        <v>139</v>
      </c>
      <c r="R84" s="167"/>
      <c r="S84" s="167"/>
      <c r="T84" s="167"/>
      <c r="U84" s="167"/>
      <c r="V84" s="167"/>
      <c r="W84" s="167"/>
      <c r="X84" s="167"/>
      <c r="Y84" s="167"/>
      <c r="Z84" s="167"/>
      <c r="AA84" s="167"/>
      <c r="AB84" s="167"/>
      <c r="AC84" s="167"/>
      <c r="AD84" s="167"/>
      <c r="AE84" s="167"/>
      <c r="AF84" s="167"/>
      <c r="AG84" s="167"/>
      <c r="AH84" s="167"/>
      <c r="AI84" s="167"/>
      <c r="AJ84" s="167"/>
      <c r="AK84" s="167"/>
      <c r="AL84" s="167"/>
      <c r="AM84" s="167"/>
      <c r="AN84" s="167"/>
      <c r="AO84" s="75"/>
      <c r="AP84" s="75"/>
      <c r="AQ84" s="75"/>
      <c r="AR84" s="75"/>
      <c r="AS84" s="75"/>
      <c r="AT84" s="75"/>
      <c r="AU84" s="75"/>
      <c r="AV84" s="75"/>
      <c r="AW84" s="75"/>
      <c r="AX84" s="75"/>
    </row>
    <row r="85" ht="15.75" customHeight="1">
      <c r="A85" s="69" t="s">
        <v>508</v>
      </c>
      <c r="B85" s="163" t="s">
        <v>606</v>
      </c>
      <c r="C85" s="31" t="s">
        <v>607</v>
      </c>
      <c r="D85" s="31" t="s">
        <v>608</v>
      </c>
      <c r="E85" s="31" t="s">
        <v>609</v>
      </c>
      <c r="F85" s="31"/>
      <c r="G85" s="31"/>
      <c r="H85" s="31"/>
      <c r="I85" s="66"/>
      <c r="J85" s="68" t="s">
        <v>611</v>
      </c>
      <c r="K85" s="66"/>
      <c r="L85" s="66"/>
      <c r="M85" s="66"/>
      <c r="N85" s="66"/>
      <c r="O85" s="64" t="s">
        <v>614</v>
      </c>
      <c r="P85" s="66"/>
      <c r="Q85" s="66" t="s">
        <v>139</v>
      </c>
      <c r="R85" s="66"/>
      <c r="S85" s="66"/>
      <c r="T85" s="66"/>
      <c r="U85" s="66"/>
      <c r="V85" s="66"/>
      <c r="W85" s="66"/>
      <c r="X85" s="66"/>
      <c r="Y85" s="66"/>
      <c r="Z85" s="66"/>
      <c r="AA85" s="66"/>
      <c r="AB85" s="66"/>
      <c r="AC85" s="66"/>
      <c r="AD85" s="66"/>
      <c r="AE85" s="66"/>
      <c r="AF85" s="66"/>
      <c r="AG85" s="66"/>
      <c r="AH85" s="66"/>
      <c r="AI85" s="66"/>
      <c r="AJ85" s="66"/>
      <c r="AK85" s="66"/>
      <c r="AL85" s="66"/>
      <c r="AM85" s="66"/>
      <c r="AN85" s="66"/>
      <c r="AO85" s="75"/>
      <c r="AP85" s="75"/>
      <c r="AQ85" s="75"/>
      <c r="AR85" s="75"/>
      <c r="AS85" s="75"/>
      <c r="AT85" s="75"/>
      <c r="AU85" s="75"/>
      <c r="AV85" s="75"/>
      <c r="AW85" s="75"/>
      <c r="AX85" s="75"/>
    </row>
    <row r="86" ht="15.75" customHeight="1">
      <c r="A86" s="165" t="s">
        <v>231</v>
      </c>
      <c r="B86" s="166" t="s">
        <v>618</v>
      </c>
      <c r="C86" s="31" t="s">
        <v>619</v>
      </c>
      <c r="D86" s="31" t="s">
        <v>620</v>
      </c>
      <c r="E86" s="31" t="s">
        <v>621</v>
      </c>
      <c r="F86" s="31"/>
      <c r="G86" s="31"/>
      <c r="H86" s="31"/>
      <c r="I86" s="167"/>
      <c r="J86" s="168"/>
      <c r="K86" s="167"/>
      <c r="L86" s="167"/>
      <c r="M86" s="167"/>
      <c r="N86" s="167"/>
      <c r="O86" s="167" t="s">
        <v>624</v>
      </c>
      <c r="P86" s="167"/>
      <c r="Q86" s="167"/>
      <c r="R86" s="167"/>
      <c r="S86" s="167"/>
      <c r="T86" s="167"/>
      <c r="U86" s="167"/>
      <c r="V86" s="167"/>
      <c r="W86" s="167"/>
      <c r="X86" s="167"/>
      <c r="Y86" s="167"/>
      <c r="Z86" s="167"/>
      <c r="AA86" s="167"/>
      <c r="AB86" s="167"/>
      <c r="AC86" s="167"/>
      <c r="AD86" s="102"/>
      <c r="AE86" s="102"/>
      <c r="AF86" s="102"/>
      <c r="AG86" s="102"/>
      <c r="AH86" s="102"/>
      <c r="AI86" s="102"/>
      <c r="AJ86" s="102"/>
      <c r="AK86" s="102"/>
      <c r="AL86" s="102"/>
      <c r="AM86" s="102"/>
      <c r="AN86" s="102"/>
      <c r="AO86" s="75"/>
      <c r="AP86" s="75"/>
      <c r="AQ86" s="75"/>
      <c r="AR86" s="75"/>
      <c r="AS86" s="75"/>
      <c r="AT86" s="75"/>
      <c r="AU86" s="75"/>
      <c r="AV86" s="75"/>
      <c r="AW86" s="75"/>
      <c r="AX86" s="75"/>
    </row>
    <row r="87" ht="15.75" customHeight="1">
      <c r="A87" s="99" t="s">
        <v>68</v>
      </c>
      <c r="B87" s="100" t="s">
        <v>630</v>
      </c>
      <c r="C87" s="101"/>
      <c r="D87" s="101"/>
      <c r="E87" s="101"/>
      <c r="F87" s="102"/>
      <c r="G87" s="102"/>
      <c r="H87" s="102"/>
      <c r="I87" s="102"/>
      <c r="J87" s="102"/>
      <c r="K87" s="102"/>
      <c r="L87" s="102"/>
      <c r="M87" s="102"/>
      <c r="N87" s="102"/>
      <c r="O87" s="102"/>
      <c r="P87" s="102"/>
      <c r="Q87" s="102"/>
      <c r="R87" s="102"/>
      <c r="S87" s="102"/>
      <c r="T87" s="169" t="s">
        <v>634</v>
      </c>
      <c r="U87" s="102"/>
      <c r="V87" s="102"/>
      <c r="W87" s="102"/>
      <c r="X87" s="102"/>
      <c r="Y87" s="102"/>
      <c r="Z87" s="102"/>
      <c r="AA87" s="102"/>
      <c r="AB87" s="102"/>
      <c r="AC87" s="102"/>
      <c r="AD87" s="102"/>
      <c r="AE87" s="102"/>
      <c r="AF87" s="102"/>
      <c r="AG87" s="102"/>
      <c r="AH87" s="102"/>
      <c r="AI87" s="102"/>
      <c r="AJ87" s="102"/>
      <c r="AK87" s="102"/>
      <c r="AL87" s="102"/>
      <c r="AM87" s="102"/>
      <c r="AN87" s="102"/>
      <c r="AO87" s="75"/>
      <c r="AP87" s="75"/>
      <c r="AQ87" s="75"/>
      <c r="AR87" s="75"/>
      <c r="AS87" s="75"/>
      <c r="AT87" s="75"/>
      <c r="AU87" s="75"/>
      <c r="AV87" s="75"/>
      <c r="AW87" s="75"/>
      <c r="AX87" s="75"/>
    </row>
    <row r="88" ht="15.75" customHeight="1">
      <c r="A88" s="99" t="s">
        <v>68</v>
      </c>
      <c r="B88" s="100" t="s">
        <v>637</v>
      </c>
      <c r="C88" s="101"/>
      <c r="D88" s="101"/>
      <c r="E88" s="101"/>
      <c r="F88" s="102"/>
      <c r="G88" s="102"/>
      <c r="H88" s="102"/>
      <c r="I88" s="102"/>
      <c r="J88" s="102"/>
      <c r="K88" s="102"/>
      <c r="L88" s="102"/>
      <c r="M88" s="102"/>
      <c r="N88" s="102"/>
      <c r="O88" s="102"/>
      <c r="P88" s="102"/>
      <c r="Q88" s="102"/>
      <c r="R88" s="102"/>
      <c r="S88" s="102"/>
      <c r="T88" s="169" t="s">
        <v>641</v>
      </c>
      <c r="U88" s="102"/>
      <c r="V88" s="102"/>
      <c r="W88" s="102"/>
      <c r="X88" s="102"/>
      <c r="Y88" s="102"/>
      <c r="Z88" s="102"/>
      <c r="AA88" s="102"/>
      <c r="AB88" s="102"/>
      <c r="AC88" s="102"/>
      <c r="AD88" s="102"/>
      <c r="AE88" s="102"/>
      <c r="AF88" s="102"/>
      <c r="AG88" s="102"/>
      <c r="AH88" s="102"/>
      <c r="AI88" s="102"/>
      <c r="AJ88" s="102"/>
      <c r="AK88" s="102"/>
      <c r="AL88" s="102"/>
      <c r="AM88" s="102"/>
      <c r="AN88" s="102"/>
      <c r="AO88" s="75"/>
      <c r="AP88" s="75"/>
      <c r="AQ88" s="75"/>
      <c r="AR88" s="75"/>
      <c r="AS88" s="75"/>
      <c r="AT88" s="75"/>
      <c r="AU88" s="75"/>
      <c r="AV88" s="75"/>
      <c r="AW88" s="75"/>
      <c r="AX88" s="75"/>
    </row>
    <row r="89" ht="15.75" customHeight="1">
      <c r="A89" s="99" t="s">
        <v>68</v>
      </c>
      <c r="B89" s="100" t="s">
        <v>646</v>
      </c>
      <c r="C89" s="101" t="s">
        <v>647</v>
      </c>
      <c r="D89" s="101"/>
      <c r="E89" s="101"/>
      <c r="F89" s="102"/>
      <c r="G89" s="102"/>
      <c r="H89" s="102"/>
      <c r="I89" s="102"/>
      <c r="J89" s="102"/>
      <c r="K89" s="102"/>
      <c r="L89" s="102"/>
      <c r="M89" s="102"/>
      <c r="N89" s="102"/>
      <c r="O89" s="102"/>
      <c r="P89" s="102"/>
      <c r="Q89" s="102"/>
      <c r="R89" s="102"/>
      <c r="S89" s="102"/>
      <c r="T89" s="169" t="s">
        <v>648</v>
      </c>
      <c r="U89" s="102"/>
      <c r="V89" s="102"/>
      <c r="W89" s="102"/>
      <c r="X89" s="102"/>
      <c r="Y89" s="102"/>
      <c r="Z89" s="102"/>
      <c r="AA89" s="102"/>
      <c r="AB89" s="102"/>
      <c r="AC89" s="102"/>
      <c r="AD89" s="102"/>
      <c r="AE89" s="102"/>
      <c r="AF89" s="102"/>
      <c r="AG89" s="102"/>
      <c r="AH89" s="102"/>
      <c r="AI89" s="102"/>
      <c r="AJ89" s="102"/>
      <c r="AK89" s="102"/>
      <c r="AL89" s="102"/>
      <c r="AM89" s="102"/>
      <c r="AN89" s="102"/>
      <c r="AO89" s="75"/>
      <c r="AP89" s="75"/>
      <c r="AQ89" s="75"/>
      <c r="AR89" s="75"/>
      <c r="AS89" s="75"/>
      <c r="AT89" s="75"/>
      <c r="AU89" s="75"/>
      <c r="AV89" s="75"/>
      <c r="AW89" s="75"/>
      <c r="AX89" s="75"/>
    </row>
    <row r="90" ht="15.75" customHeight="1">
      <c r="A90" s="99" t="s">
        <v>68</v>
      </c>
      <c r="B90" s="100" t="s">
        <v>650</v>
      </c>
      <c r="C90" s="101"/>
      <c r="D90" s="101"/>
      <c r="E90" s="101"/>
      <c r="F90" s="102"/>
      <c r="G90" s="102"/>
      <c r="H90" s="102"/>
      <c r="I90" s="102"/>
      <c r="J90" s="102"/>
      <c r="K90" s="102"/>
      <c r="L90" s="102"/>
      <c r="M90" s="102"/>
      <c r="N90" s="102"/>
      <c r="O90" s="102"/>
      <c r="P90" s="102"/>
      <c r="Q90" s="102"/>
      <c r="R90" s="102"/>
      <c r="S90" s="102"/>
      <c r="T90" s="134" t="s">
        <v>652</v>
      </c>
      <c r="U90" s="102"/>
      <c r="V90" s="102"/>
      <c r="W90" s="102"/>
      <c r="X90" s="102"/>
      <c r="Y90" s="102"/>
      <c r="Z90" s="102"/>
      <c r="AA90" s="102"/>
      <c r="AB90" s="102"/>
      <c r="AC90" s="102"/>
      <c r="AD90" s="128"/>
      <c r="AE90" s="128"/>
      <c r="AF90" s="128"/>
      <c r="AG90" s="128"/>
      <c r="AH90" s="128"/>
      <c r="AI90" s="128"/>
      <c r="AJ90" s="128"/>
      <c r="AK90" s="128"/>
      <c r="AL90" s="128"/>
      <c r="AM90" s="128"/>
      <c r="AN90" s="128"/>
      <c r="AO90" s="75"/>
      <c r="AP90" s="75"/>
      <c r="AQ90" s="75"/>
      <c r="AR90" s="75"/>
      <c r="AS90" s="75"/>
      <c r="AT90" s="75"/>
      <c r="AU90" s="75"/>
      <c r="AV90" s="75"/>
      <c r="AW90" s="75"/>
      <c r="AX90" s="75"/>
    </row>
    <row r="91" ht="15.75" customHeight="1">
      <c r="A91" s="142" t="s">
        <v>68</v>
      </c>
      <c r="B91" s="177" t="s">
        <v>657</v>
      </c>
      <c r="C91" s="101"/>
      <c r="D91" s="101"/>
      <c r="E91" s="101"/>
      <c r="F91" s="102"/>
      <c r="G91" s="102"/>
      <c r="H91" s="102"/>
      <c r="I91" s="102"/>
      <c r="J91" s="102"/>
      <c r="K91" s="102"/>
      <c r="L91" s="102"/>
      <c r="M91" s="102"/>
      <c r="N91" s="102"/>
      <c r="O91" s="102"/>
      <c r="P91" s="102"/>
      <c r="Q91" s="102"/>
      <c r="R91" s="102"/>
      <c r="S91" s="102"/>
      <c r="T91" s="178" t="s">
        <v>658</v>
      </c>
      <c r="U91" s="102"/>
      <c r="V91" s="102"/>
      <c r="W91" s="102"/>
      <c r="X91" s="102"/>
      <c r="Y91" s="102"/>
      <c r="Z91" s="102"/>
      <c r="AA91" s="102"/>
      <c r="AB91" s="102"/>
      <c r="AC91" s="102"/>
      <c r="AD91" s="66"/>
      <c r="AE91" s="66"/>
      <c r="AF91" s="66"/>
      <c r="AG91" s="66"/>
      <c r="AH91" s="66"/>
      <c r="AI91" s="66"/>
      <c r="AJ91" s="66"/>
      <c r="AK91" s="66"/>
      <c r="AL91" s="66"/>
      <c r="AM91" s="66"/>
      <c r="AN91" s="66"/>
      <c r="AO91" s="75"/>
      <c r="AP91" s="75"/>
      <c r="AQ91" s="75"/>
      <c r="AR91" s="75"/>
      <c r="AS91" s="75"/>
      <c r="AT91" s="75"/>
      <c r="AU91" s="75"/>
      <c r="AV91" s="75"/>
      <c r="AW91" s="75"/>
      <c r="AX91" s="75"/>
    </row>
    <row r="92" ht="15.75" customHeight="1">
      <c r="A92" s="99" t="s">
        <v>68</v>
      </c>
      <c r="B92" s="100" t="s">
        <v>662</v>
      </c>
      <c r="C92" s="101"/>
      <c r="D92" s="101"/>
      <c r="E92" s="101"/>
      <c r="F92" s="102"/>
      <c r="G92" s="102"/>
      <c r="H92" s="102"/>
      <c r="I92" s="102"/>
      <c r="J92" s="102"/>
      <c r="K92" s="102"/>
      <c r="L92" s="102"/>
      <c r="M92" s="102"/>
      <c r="N92" s="102"/>
      <c r="O92" s="102"/>
      <c r="P92" s="102"/>
      <c r="Q92" s="102"/>
      <c r="R92" s="102"/>
      <c r="S92" s="102"/>
      <c r="T92" s="169" t="s">
        <v>664</v>
      </c>
      <c r="U92" s="102"/>
      <c r="V92" s="102"/>
      <c r="W92" s="102"/>
      <c r="X92" s="102"/>
      <c r="Y92" s="102"/>
      <c r="Z92" s="102"/>
      <c r="AA92" s="102"/>
      <c r="AB92" s="102"/>
      <c r="AC92" s="102"/>
      <c r="AD92" s="66"/>
      <c r="AE92" s="66"/>
      <c r="AF92" s="66"/>
      <c r="AG92" s="66"/>
      <c r="AH92" s="66"/>
      <c r="AI92" s="66"/>
      <c r="AJ92" s="66"/>
      <c r="AK92" s="66"/>
      <c r="AL92" s="66"/>
      <c r="AM92" s="66"/>
      <c r="AN92" s="66"/>
      <c r="AO92" s="75"/>
      <c r="AP92" s="75"/>
      <c r="AQ92" s="75"/>
      <c r="AR92" s="75"/>
      <c r="AS92" s="75"/>
      <c r="AT92" s="75"/>
      <c r="AU92" s="75"/>
      <c r="AV92" s="75"/>
      <c r="AW92" s="75"/>
      <c r="AX92" s="75"/>
    </row>
    <row r="93" ht="15.75" customHeight="1">
      <c r="A93" s="99" t="s">
        <v>68</v>
      </c>
      <c r="B93" s="100" t="s">
        <v>665</v>
      </c>
      <c r="C93" s="101"/>
      <c r="D93" s="101"/>
      <c r="E93" s="101"/>
      <c r="F93" s="102"/>
      <c r="G93" s="102"/>
      <c r="H93" s="102"/>
      <c r="I93" s="102"/>
      <c r="J93" s="102"/>
      <c r="K93" s="102"/>
      <c r="L93" s="102"/>
      <c r="M93" s="102"/>
      <c r="N93" s="102"/>
      <c r="O93" s="102"/>
      <c r="P93" s="102"/>
      <c r="Q93" s="102"/>
      <c r="R93" s="102"/>
      <c r="S93" s="102"/>
      <c r="T93" s="169" t="s">
        <v>669</v>
      </c>
      <c r="U93" s="102"/>
      <c r="V93" s="102"/>
      <c r="W93" s="102"/>
      <c r="X93" s="102"/>
      <c r="Y93" s="102"/>
      <c r="Z93" s="102"/>
      <c r="AA93" s="102"/>
      <c r="AB93" s="102"/>
      <c r="AC93" s="102"/>
      <c r="AD93" s="66"/>
      <c r="AE93" s="66"/>
      <c r="AF93" s="66"/>
      <c r="AG93" s="66"/>
      <c r="AH93" s="66"/>
      <c r="AI93" s="66"/>
      <c r="AJ93" s="66"/>
      <c r="AK93" s="66"/>
      <c r="AL93" s="66"/>
      <c r="AM93" s="66"/>
      <c r="AN93" s="66"/>
      <c r="AO93" s="75"/>
      <c r="AP93" s="75"/>
      <c r="AQ93" s="75"/>
      <c r="AR93" s="75"/>
      <c r="AS93" s="75"/>
      <c r="AT93" s="75"/>
      <c r="AU93" s="75"/>
      <c r="AV93" s="75"/>
      <c r="AW93" s="75"/>
      <c r="AX93" s="75"/>
    </row>
    <row r="94" ht="15.75" customHeight="1">
      <c r="A94" s="99" t="s">
        <v>68</v>
      </c>
      <c r="B94" s="100" t="s">
        <v>671</v>
      </c>
      <c r="C94" s="101"/>
      <c r="D94" s="101"/>
      <c r="E94" s="101"/>
      <c r="F94" s="102"/>
      <c r="G94" s="102"/>
      <c r="H94" s="102"/>
      <c r="I94" s="102"/>
      <c r="J94" s="102"/>
      <c r="K94" s="102"/>
      <c r="L94" s="102"/>
      <c r="M94" s="102"/>
      <c r="N94" s="102"/>
      <c r="O94" s="102"/>
      <c r="P94" s="102"/>
      <c r="Q94" s="102"/>
      <c r="R94" s="102"/>
      <c r="S94" s="102"/>
      <c r="T94" s="169" t="s">
        <v>675</v>
      </c>
      <c r="U94" s="102"/>
      <c r="V94" s="102"/>
      <c r="W94" s="102"/>
      <c r="X94" s="102"/>
      <c r="Y94" s="102"/>
      <c r="Z94" s="102"/>
      <c r="AA94" s="102"/>
      <c r="AB94" s="102"/>
      <c r="AC94" s="102"/>
      <c r="AD94" s="66"/>
      <c r="AE94" s="66"/>
      <c r="AF94" s="66"/>
      <c r="AG94" s="66"/>
      <c r="AH94" s="66"/>
      <c r="AI94" s="66"/>
      <c r="AJ94" s="66"/>
      <c r="AK94" s="66"/>
      <c r="AL94" s="66"/>
      <c r="AM94" s="66"/>
      <c r="AN94" s="66"/>
      <c r="AO94" s="75"/>
      <c r="AP94" s="75"/>
      <c r="AQ94" s="75"/>
      <c r="AR94" s="75"/>
      <c r="AS94" s="75"/>
      <c r="AT94" s="75"/>
      <c r="AU94" s="75"/>
      <c r="AV94" s="75"/>
      <c r="AW94" s="75"/>
      <c r="AX94" s="75"/>
    </row>
    <row r="95" ht="15.75" customHeight="1">
      <c r="A95" s="56" t="s">
        <v>238</v>
      </c>
      <c r="B95" s="56" t="s">
        <v>451</v>
      </c>
      <c r="C95" s="57" t="s">
        <v>452</v>
      </c>
      <c r="D95" s="29"/>
      <c r="E95" s="29"/>
      <c r="F95" s="29"/>
      <c r="G95" s="29"/>
      <c r="H95" s="29"/>
      <c r="I95" s="29"/>
      <c r="J95" s="29"/>
      <c r="K95" s="29"/>
      <c r="L95" s="29"/>
      <c r="M95" s="29"/>
      <c r="N95" s="29"/>
      <c r="O95" s="29"/>
      <c r="P95" s="122"/>
      <c r="Q95" s="29"/>
      <c r="R95" s="29"/>
      <c r="S95" s="29"/>
      <c r="T95" s="29"/>
      <c r="U95" s="29"/>
      <c r="V95" s="29"/>
      <c r="W95" s="29"/>
      <c r="X95" s="29"/>
      <c r="Y95" s="29"/>
      <c r="Z95" s="29"/>
      <c r="AA95" s="29"/>
      <c r="AB95" s="29"/>
      <c r="AC95" s="29"/>
      <c r="AD95" s="29"/>
      <c r="AE95" s="29"/>
      <c r="AF95" s="29"/>
      <c r="AG95" s="29"/>
      <c r="AH95" s="29"/>
      <c r="AI95" s="29"/>
      <c r="AJ95" s="29"/>
      <c r="AK95" s="29"/>
      <c r="AL95" s="29"/>
      <c r="AM95" s="29"/>
      <c r="AN95" s="29"/>
      <c r="AO95" s="29"/>
      <c r="AP95" s="29"/>
      <c r="AQ95" s="29"/>
      <c r="AR95" s="29"/>
      <c r="AS95" s="29"/>
      <c r="AT95" s="29"/>
      <c r="AU95" s="29"/>
      <c r="AV95" s="29"/>
      <c r="AW95" s="29"/>
      <c r="AX95" s="29"/>
    </row>
    <row r="96" ht="15.75" customHeight="1">
      <c r="A96" s="64" t="s">
        <v>118</v>
      </c>
      <c r="B96" s="65" t="s">
        <v>680</v>
      </c>
      <c r="C96" s="57"/>
      <c r="D96" s="57"/>
      <c r="E96" s="57"/>
      <c r="F96" s="66"/>
      <c r="G96" s="66"/>
      <c r="H96" s="66"/>
      <c r="I96" s="66"/>
      <c r="J96" s="68"/>
      <c r="K96" s="64"/>
      <c r="L96" s="64"/>
      <c r="M96" s="66"/>
      <c r="N96" s="66"/>
      <c r="O96" s="66"/>
      <c r="P96" s="66"/>
      <c r="Q96" s="69"/>
      <c r="R96" s="66"/>
      <c r="S96" s="66"/>
      <c r="T96" s="64" t="s">
        <v>125</v>
      </c>
      <c r="U96" s="66"/>
      <c r="V96" s="66"/>
      <c r="W96" s="66"/>
      <c r="X96" s="66"/>
      <c r="Y96" s="66"/>
      <c r="Z96" s="66"/>
      <c r="AA96" s="66"/>
      <c r="AB96" s="66"/>
      <c r="AC96" s="66"/>
      <c r="AD96" s="66"/>
      <c r="AE96" s="66"/>
      <c r="AF96" s="66"/>
      <c r="AG96" s="66"/>
      <c r="AH96" s="66"/>
      <c r="AI96" s="66"/>
      <c r="AJ96" s="66"/>
      <c r="AK96" s="66"/>
      <c r="AL96" s="66"/>
      <c r="AM96" s="66"/>
      <c r="AN96" s="66"/>
      <c r="AO96" s="66"/>
      <c r="AP96" s="66"/>
      <c r="AQ96" s="66"/>
      <c r="AR96" s="66"/>
      <c r="AS96" s="66"/>
      <c r="AT96" s="66"/>
      <c r="AU96" s="66"/>
      <c r="AV96" s="66"/>
      <c r="AW96" s="66"/>
      <c r="AX96" s="66"/>
    </row>
    <row r="97" ht="15.75" customHeight="1">
      <c r="A97" s="56" t="s">
        <v>68</v>
      </c>
      <c r="B97" s="192" t="s">
        <v>686</v>
      </c>
      <c r="C97" s="57"/>
      <c r="D97" s="29"/>
      <c r="E97" s="29"/>
      <c r="F97" s="29"/>
      <c r="G97" s="29"/>
      <c r="H97" s="29"/>
      <c r="I97" s="29"/>
      <c r="J97" s="29"/>
      <c r="K97" s="29"/>
      <c r="L97" s="29"/>
      <c r="M97" s="29"/>
      <c r="N97" s="29"/>
      <c r="O97" s="29"/>
      <c r="P97" s="29"/>
      <c r="Q97" s="29"/>
      <c r="R97" s="29"/>
      <c r="S97" s="29"/>
      <c r="T97" s="193" t="s">
        <v>690</v>
      </c>
      <c r="U97" s="29"/>
      <c r="V97" s="29"/>
      <c r="W97" s="29"/>
      <c r="X97" s="29"/>
      <c r="Y97" s="29"/>
      <c r="Z97" s="29"/>
      <c r="AA97" s="29"/>
      <c r="AB97" s="29"/>
      <c r="AC97" s="29"/>
      <c r="AD97" s="29"/>
      <c r="AE97" s="29"/>
      <c r="AF97" s="29"/>
      <c r="AG97" s="29"/>
      <c r="AH97" s="29"/>
      <c r="AI97" s="29"/>
      <c r="AJ97" s="29"/>
      <c r="AK97" s="29"/>
      <c r="AL97" s="29"/>
      <c r="AM97" s="29"/>
      <c r="AN97" s="29"/>
      <c r="AO97" s="29"/>
      <c r="AP97" s="29"/>
      <c r="AQ97" s="29"/>
      <c r="AR97" s="29"/>
      <c r="AS97" s="29"/>
      <c r="AT97" s="29"/>
      <c r="AU97" s="29"/>
      <c r="AV97" s="29"/>
      <c r="AW97" s="29"/>
      <c r="AX97" s="29"/>
    </row>
    <row r="98" ht="15.75" customHeight="1">
      <c r="A98" s="128" t="s">
        <v>238</v>
      </c>
      <c r="B98" s="128" t="s">
        <v>440</v>
      </c>
      <c r="C98" s="194"/>
      <c r="D98" s="128"/>
      <c r="E98" s="128"/>
      <c r="F98" s="128"/>
      <c r="G98" s="128"/>
      <c r="H98" s="128"/>
      <c r="I98" s="128"/>
      <c r="J98" s="128"/>
      <c r="K98" s="128"/>
      <c r="L98" s="128"/>
      <c r="M98" s="128"/>
      <c r="N98" s="128"/>
      <c r="O98" s="128"/>
      <c r="P98" s="128"/>
      <c r="Q98" s="128"/>
      <c r="R98" s="128"/>
      <c r="S98" s="128"/>
      <c r="T98" s="128"/>
      <c r="U98" s="128"/>
      <c r="V98" s="128"/>
      <c r="W98" s="128"/>
      <c r="X98" s="128"/>
      <c r="Y98" s="128"/>
      <c r="Z98" s="128"/>
      <c r="AA98" s="128"/>
      <c r="AB98" s="128"/>
      <c r="AC98" s="128"/>
      <c r="AD98" s="75"/>
      <c r="AE98" s="75"/>
      <c r="AF98" s="75"/>
      <c r="AG98" s="75"/>
      <c r="AH98" s="75"/>
      <c r="AI98" s="75"/>
      <c r="AJ98" s="75"/>
      <c r="AK98" s="75"/>
      <c r="AL98" s="75"/>
      <c r="AM98" s="75"/>
      <c r="AN98" s="75"/>
      <c r="AO98" s="75"/>
      <c r="AP98" s="75"/>
      <c r="AQ98" s="75"/>
      <c r="AR98" s="75"/>
      <c r="AS98" s="75"/>
      <c r="AT98" s="75"/>
      <c r="AU98" s="75"/>
      <c r="AV98" s="75"/>
      <c r="AW98" s="75"/>
      <c r="AX98" s="75"/>
    </row>
    <row r="99" ht="15.75" customHeight="1">
      <c r="A99" s="75"/>
      <c r="B99" s="75"/>
      <c r="C99" s="199"/>
      <c r="D99" s="75"/>
      <c r="E99" s="75"/>
      <c r="F99" s="75"/>
      <c r="G99" s="75"/>
      <c r="H99" s="75"/>
      <c r="I99" s="75"/>
      <c r="J99" s="75"/>
      <c r="K99" s="75"/>
      <c r="L99" s="75"/>
      <c r="M99" s="75"/>
      <c r="N99" s="75"/>
      <c r="O99" s="75"/>
      <c r="P99" s="75"/>
      <c r="Q99" s="75"/>
      <c r="R99" s="75"/>
      <c r="S99" s="75"/>
      <c r="T99" s="75"/>
      <c r="U99" s="75"/>
      <c r="V99" s="75"/>
      <c r="W99" s="75"/>
      <c r="X99" s="75"/>
      <c r="Y99" s="75"/>
      <c r="Z99" s="75"/>
      <c r="AA99" s="75"/>
      <c r="AB99" s="75"/>
      <c r="AC99" s="75"/>
      <c r="AD99" s="75"/>
      <c r="AE99" s="75"/>
      <c r="AF99" s="75"/>
      <c r="AG99" s="75"/>
      <c r="AH99" s="75"/>
      <c r="AI99" s="75"/>
      <c r="AJ99" s="75"/>
      <c r="AK99" s="75"/>
      <c r="AL99" s="75"/>
      <c r="AM99" s="75"/>
      <c r="AN99" s="75"/>
      <c r="AO99" s="75"/>
      <c r="AP99" s="75"/>
      <c r="AQ99" s="75"/>
      <c r="AR99" s="75"/>
      <c r="AS99" s="75"/>
      <c r="AT99" s="75"/>
      <c r="AU99" s="75"/>
      <c r="AV99" s="75"/>
      <c r="AW99" s="75"/>
      <c r="AX99" s="75"/>
    </row>
    <row r="100" ht="15.75" customHeight="1">
      <c r="A100" s="128" t="s">
        <v>107</v>
      </c>
      <c r="B100" s="130" t="s">
        <v>693</v>
      </c>
      <c r="C100" s="125" t="s">
        <v>694</v>
      </c>
      <c r="D100" s="128" t="s">
        <v>698</v>
      </c>
      <c r="E100" s="128" t="s">
        <v>700</v>
      </c>
      <c r="F100" s="128"/>
      <c r="G100" s="128"/>
      <c r="H100" s="128"/>
      <c r="I100" s="128"/>
      <c r="J100" s="130"/>
      <c r="K100" s="128"/>
      <c r="L100" s="128"/>
      <c r="M100" s="130"/>
      <c r="N100" s="130"/>
      <c r="O100" s="130"/>
      <c r="P100" s="128"/>
      <c r="Q100" s="128"/>
      <c r="R100" s="128"/>
      <c r="S100" s="128"/>
      <c r="T100" s="128"/>
      <c r="U100" s="128"/>
      <c r="V100" s="128"/>
      <c r="W100" s="128"/>
      <c r="X100" s="128"/>
      <c r="Y100" s="128"/>
      <c r="Z100" s="128"/>
      <c r="AA100" s="128"/>
      <c r="AB100" s="128"/>
      <c r="AC100" s="128"/>
      <c r="AD100" s="75"/>
      <c r="AE100" s="75"/>
      <c r="AF100" s="75"/>
      <c r="AG100" s="75"/>
      <c r="AH100" s="75"/>
      <c r="AI100" s="75"/>
      <c r="AJ100" s="75"/>
      <c r="AK100" s="75"/>
      <c r="AL100" s="75"/>
      <c r="AM100" s="75"/>
      <c r="AN100" s="75"/>
      <c r="AO100" s="75"/>
      <c r="AP100" s="75"/>
      <c r="AQ100" s="75"/>
      <c r="AR100" s="75"/>
      <c r="AS100" s="75"/>
      <c r="AT100" s="75"/>
      <c r="AU100" s="75"/>
      <c r="AV100" s="75"/>
      <c r="AW100" s="75"/>
      <c r="AX100" s="75"/>
    </row>
    <row r="101" ht="15.75" customHeight="1">
      <c r="A101" s="167" t="s">
        <v>231</v>
      </c>
      <c r="B101" s="168" t="s">
        <v>707</v>
      </c>
      <c r="C101" s="31" t="s">
        <v>708</v>
      </c>
      <c r="D101" s="31" t="s">
        <v>709</v>
      </c>
      <c r="E101" s="31" t="s">
        <v>710</v>
      </c>
      <c r="F101" s="31"/>
      <c r="G101" s="31" t="s">
        <v>712</v>
      </c>
      <c r="H101" s="31"/>
      <c r="I101" s="167"/>
      <c r="J101" s="168"/>
      <c r="K101" s="167"/>
      <c r="L101" s="167"/>
      <c r="M101" s="167"/>
      <c r="N101" s="167"/>
      <c r="O101" s="167"/>
      <c r="P101" s="167"/>
      <c r="Q101" s="167"/>
      <c r="R101" s="167"/>
      <c r="S101" s="167"/>
      <c r="T101" s="167"/>
      <c r="U101" s="167"/>
      <c r="V101" s="167"/>
      <c r="W101" s="167"/>
      <c r="X101" s="167"/>
      <c r="Y101" s="167"/>
      <c r="Z101" s="167"/>
      <c r="AA101" s="167"/>
      <c r="AB101" s="167"/>
      <c r="AC101" s="167"/>
      <c r="AD101" s="75"/>
      <c r="AE101" s="75"/>
      <c r="AF101" s="75"/>
      <c r="AG101" s="75"/>
      <c r="AH101" s="75"/>
      <c r="AI101" s="75"/>
      <c r="AJ101" s="75"/>
      <c r="AK101" s="75"/>
      <c r="AL101" s="75"/>
      <c r="AM101" s="75"/>
      <c r="AN101" s="75"/>
      <c r="AO101" s="75"/>
      <c r="AP101" s="75"/>
      <c r="AQ101" s="75"/>
      <c r="AR101" s="75"/>
      <c r="AS101" s="75"/>
      <c r="AT101" s="75"/>
      <c r="AU101" s="75"/>
      <c r="AV101" s="75"/>
      <c r="AW101" s="75"/>
      <c r="AX101" s="75"/>
    </row>
    <row r="102" ht="15.75" customHeight="1">
      <c r="A102" s="201" t="s">
        <v>672</v>
      </c>
      <c r="B102" s="202" t="s">
        <v>720</v>
      </c>
      <c r="C102" s="203" t="s">
        <v>721</v>
      </c>
      <c r="D102" s="201" t="s">
        <v>722</v>
      </c>
      <c r="E102" s="201" t="s">
        <v>723</v>
      </c>
      <c r="F102" s="204" t="s">
        <v>724</v>
      </c>
      <c r="G102" s="201" t="s">
        <v>725</v>
      </c>
      <c r="H102" s="201"/>
      <c r="I102" s="201"/>
      <c r="J102" s="201"/>
      <c r="K102" s="201"/>
      <c r="L102" s="201"/>
      <c r="M102" s="201"/>
      <c r="N102" s="201"/>
      <c r="O102" s="201"/>
      <c r="P102" s="201"/>
      <c r="Q102" s="201"/>
      <c r="R102" s="201"/>
      <c r="S102" s="201"/>
      <c r="T102" s="201"/>
      <c r="U102" s="201"/>
      <c r="V102" s="201"/>
      <c r="W102" s="201"/>
      <c r="X102" s="201"/>
      <c r="Y102" s="201"/>
      <c r="Z102" s="201"/>
      <c r="AA102" s="201"/>
      <c r="AB102" s="201"/>
      <c r="AC102" s="201"/>
      <c r="AD102" s="75"/>
      <c r="AE102" s="75"/>
      <c r="AF102" s="75"/>
      <c r="AG102" s="75"/>
      <c r="AH102" s="75"/>
      <c r="AI102" s="75"/>
      <c r="AJ102" s="75"/>
      <c r="AK102" s="75"/>
      <c r="AL102" s="75"/>
      <c r="AM102" s="75"/>
      <c r="AN102" s="75"/>
      <c r="AO102" s="75"/>
      <c r="AP102" s="75"/>
      <c r="AQ102" s="75"/>
      <c r="AR102" s="75"/>
      <c r="AS102" s="75"/>
      <c r="AT102" s="75"/>
      <c r="AU102" s="75"/>
      <c r="AV102" s="75"/>
      <c r="AW102" s="75"/>
      <c r="AX102" s="75"/>
    </row>
    <row r="103" ht="15.75" customHeight="1">
      <c r="A103" s="128" t="s">
        <v>238</v>
      </c>
      <c r="B103" s="128" t="s">
        <v>693</v>
      </c>
      <c r="C103" s="194" t="s">
        <v>694</v>
      </c>
      <c r="D103" s="128" t="s">
        <v>698</v>
      </c>
      <c r="E103" s="128" t="s">
        <v>732</v>
      </c>
      <c r="F103" s="128"/>
      <c r="G103" s="128"/>
      <c r="H103" s="128"/>
      <c r="I103" s="128"/>
      <c r="J103" s="128"/>
      <c r="K103" s="128"/>
      <c r="L103" s="128"/>
      <c r="M103" s="128"/>
      <c r="N103" s="128"/>
      <c r="O103" s="128"/>
      <c r="P103" s="128"/>
      <c r="Q103" s="128"/>
      <c r="R103" s="128"/>
      <c r="S103" s="128"/>
      <c r="T103" s="128"/>
      <c r="U103" s="128"/>
      <c r="V103" s="128"/>
      <c r="W103" s="128"/>
      <c r="X103" s="128"/>
      <c r="Y103" s="128"/>
      <c r="Z103" s="128"/>
      <c r="AA103" s="128"/>
      <c r="AB103" s="128"/>
      <c r="AC103" s="128"/>
      <c r="AD103" s="75"/>
      <c r="AE103" s="75"/>
      <c r="AF103" s="75"/>
      <c r="AG103" s="75"/>
      <c r="AH103" s="75"/>
      <c r="AI103" s="75"/>
      <c r="AJ103" s="75"/>
      <c r="AK103" s="75"/>
      <c r="AL103" s="75"/>
      <c r="AM103" s="75"/>
      <c r="AN103" s="75"/>
      <c r="AO103" s="75"/>
      <c r="AP103" s="75"/>
      <c r="AQ103" s="75"/>
      <c r="AR103" s="75"/>
      <c r="AS103" s="75"/>
      <c r="AT103" s="75"/>
      <c r="AU103" s="75"/>
      <c r="AV103" s="75"/>
      <c r="AW103" s="75"/>
      <c r="AX103" s="75"/>
    </row>
    <row r="104" ht="15.75" customHeight="1">
      <c r="A104" s="75"/>
      <c r="B104" s="75"/>
      <c r="C104" s="199"/>
      <c r="D104" s="75"/>
      <c r="E104" s="75"/>
      <c r="F104" s="75"/>
      <c r="G104" s="75"/>
      <c r="H104" s="75"/>
      <c r="I104" s="75"/>
      <c r="J104" s="75"/>
      <c r="K104" s="75"/>
      <c r="L104" s="75"/>
      <c r="M104" s="75"/>
      <c r="N104" s="75"/>
      <c r="O104" s="75"/>
      <c r="P104" s="75"/>
      <c r="Q104" s="75"/>
      <c r="R104" s="75"/>
      <c r="S104" s="75"/>
      <c r="T104" s="75"/>
      <c r="U104" s="75"/>
      <c r="V104" s="75"/>
      <c r="W104" s="75"/>
      <c r="X104" s="75"/>
      <c r="Y104" s="75"/>
      <c r="Z104" s="75"/>
      <c r="AA104" s="75"/>
      <c r="AB104" s="75"/>
      <c r="AC104" s="75"/>
      <c r="AD104" s="75"/>
      <c r="AE104" s="75"/>
      <c r="AF104" s="75"/>
      <c r="AG104" s="75"/>
      <c r="AH104" s="75"/>
      <c r="AI104" s="75"/>
      <c r="AJ104" s="75"/>
      <c r="AK104" s="75"/>
      <c r="AL104" s="75"/>
      <c r="AM104" s="75"/>
      <c r="AN104" s="75"/>
      <c r="AO104" s="75"/>
      <c r="AP104" s="75"/>
      <c r="AQ104" s="75"/>
      <c r="AR104" s="75"/>
      <c r="AS104" s="75"/>
      <c r="AT104" s="75"/>
      <c r="AU104" s="75"/>
      <c r="AV104" s="75"/>
      <c r="AW104" s="75"/>
      <c r="AX104" s="75"/>
    </row>
    <row r="105" ht="15.75" customHeight="1">
      <c r="A105" s="128" t="s">
        <v>238</v>
      </c>
      <c r="B105" s="128" t="s">
        <v>435</v>
      </c>
      <c r="C105" s="194" t="s">
        <v>750</v>
      </c>
      <c r="D105" s="128"/>
      <c r="E105" s="128"/>
      <c r="F105" s="128"/>
      <c r="G105" s="128"/>
      <c r="H105" s="128"/>
      <c r="I105" s="128"/>
      <c r="J105" s="128"/>
      <c r="K105" s="128"/>
      <c r="L105" s="128"/>
      <c r="M105" s="128"/>
      <c r="N105" s="128"/>
      <c r="O105" s="128"/>
      <c r="P105" s="128"/>
      <c r="Q105" s="128"/>
      <c r="R105" s="128"/>
      <c r="S105" s="128"/>
      <c r="T105" s="128"/>
      <c r="U105" s="128"/>
      <c r="V105" s="128"/>
      <c r="W105" s="128"/>
      <c r="X105" s="128"/>
      <c r="Y105" s="128"/>
      <c r="Z105" s="128"/>
      <c r="AA105" s="128"/>
      <c r="AB105" s="128"/>
      <c r="AC105" s="128"/>
      <c r="AD105" s="75"/>
      <c r="AE105" s="75"/>
      <c r="AF105" s="75"/>
      <c r="AG105" s="75"/>
      <c r="AH105" s="75"/>
      <c r="AI105" s="75"/>
      <c r="AJ105" s="75"/>
      <c r="AK105" s="75"/>
      <c r="AL105" s="75"/>
      <c r="AM105" s="75"/>
      <c r="AN105" s="75"/>
      <c r="AO105" s="75"/>
      <c r="AP105" s="75"/>
      <c r="AQ105" s="75"/>
      <c r="AR105" s="75"/>
      <c r="AS105" s="75"/>
      <c r="AT105" s="75"/>
      <c r="AU105" s="75"/>
      <c r="AV105" s="75"/>
      <c r="AW105" s="75"/>
      <c r="AX105" s="75"/>
    </row>
    <row r="106" ht="15.75" customHeight="1">
      <c r="A106" s="205" t="s">
        <v>41</v>
      </c>
      <c r="B106" s="206" t="s">
        <v>753</v>
      </c>
      <c r="C106" s="31" t="s">
        <v>754</v>
      </c>
      <c r="D106" s="31" t="s">
        <v>755</v>
      </c>
      <c r="E106" s="31" t="s">
        <v>756</v>
      </c>
      <c r="F106" s="31"/>
      <c r="G106" s="31"/>
      <c r="H106" s="31"/>
      <c r="I106" s="205"/>
      <c r="J106" s="205"/>
      <c r="K106" s="205"/>
      <c r="L106" s="205"/>
      <c r="M106" s="205"/>
      <c r="N106" s="205"/>
      <c r="O106" s="205"/>
      <c r="P106" s="205"/>
      <c r="Q106" s="205"/>
      <c r="R106" s="205"/>
      <c r="S106" s="205"/>
      <c r="T106" s="205"/>
      <c r="U106" s="205"/>
      <c r="V106" s="205"/>
      <c r="W106" s="205"/>
      <c r="X106" s="205"/>
      <c r="Y106" s="205"/>
      <c r="Z106" s="205"/>
      <c r="AA106" s="205"/>
      <c r="AB106" s="205"/>
      <c r="AC106" s="205"/>
      <c r="AD106" s="75"/>
      <c r="AE106" s="75"/>
      <c r="AF106" s="75"/>
      <c r="AG106" s="75"/>
      <c r="AH106" s="75"/>
      <c r="AI106" s="75"/>
      <c r="AJ106" s="75"/>
      <c r="AK106" s="75"/>
      <c r="AL106" s="75"/>
      <c r="AM106" s="75"/>
      <c r="AN106" s="75"/>
      <c r="AO106" s="75"/>
      <c r="AP106" s="75"/>
      <c r="AQ106" s="75"/>
      <c r="AR106" s="75"/>
      <c r="AS106" s="75"/>
      <c r="AT106" s="75"/>
      <c r="AU106" s="75"/>
      <c r="AV106" s="75"/>
      <c r="AW106" s="75"/>
      <c r="AX106" s="75"/>
    </row>
    <row r="107" ht="15.75" customHeight="1">
      <c r="A107" s="209" t="s">
        <v>238</v>
      </c>
      <c r="B107" s="148" t="s">
        <v>349</v>
      </c>
      <c r="C107" s="149"/>
      <c r="D107" s="149"/>
      <c r="E107" s="149"/>
      <c r="F107" s="149"/>
      <c r="G107" s="149"/>
      <c r="H107" s="149"/>
      <c r="I107" s="150"/>
      <c r="J107" s="151"/>
      <c r="K107" s="150"/>
      <c r="L107" s="150"/>
      <c r="M107" s="151"/>
      <c r="N107" s="151"/>
      <c r="O107" s="152" t="s">
        <v>758</v>
      </c>
      <c r="P107" s="150"/>
      <c r="Q107" s="153"/>
      <c r="R107" s="150"/>
      <c r="S107" s="150"/>
      <c r="T107" s="128"/>
      <c r="U107" s="150"/>
      <c r="V107" s="150"/>
      <c r="W107" s="150"/>
      <c r="X107" s="150"/>
      <c r="Y107" s="150"/>
      <c r="Z107" s="150"/>
      <c r="AA107" s="150"/>
      <c r="AB107" s="150"/>
      <c r="AC107" s="150"/>
      <c r="AD107" s="155"/>
      <c r="AE107" s="155"/>
      <c r="AF107" s="155"/>
      <c r="AG107" s="155"/>
      <c r="AH107" s="155"/>
      <c r="AI107" s="155"/>
      <c r="AJ107" s="155"/>
      <c r="AK107" s="155"/>
      <c r="AL107" s="155"/>
      <c r="AM107" s="155"/>
      <c r="AN107" s="155"/>
      <c r="AO107" s="155"/>
      <c r="AP107" s="155"/>
      <c r="AQ107" s="155"/>
      <c r="AR107" s="155"/>
      <c r="AS107" s="155"/>
      <c r="AT107" s="155"/>
      <c r="AU107" s="155"/>
      <c r="AV107" s="155"/>
      <c r="AW107" s="155"/>
      <c r="AX107" s="155"/>
    </row>
    <row r="108">
      <c r="A108" s="121"/>
      <c r="B108" s="121"/>
      <c r="C108" s="121"/>
      <c r="D108" s="121"/>
      <c r="E108" s="121"/>
      <c r="F108" s="121"/>
      <c r="G108" s="121"/>
      <c r="H108" s="121"/>
      <c r="I108" s="121"/>
      <c r="J108" s="121"/>
      <c r="K108" s="121"/>
      <c r="L108" s="121"/>
      <c r="M108" s="121"/>
      <c r="N108" s="121"/>
      <c r="O108" s="121"/>
      <c r="P108" s="121"/>
      <c r="Q108" s="121"/>
      <c r="R108" s="121"/>
      <c r="S108" s="121"/>
      <c r="T108" s="121"/>
      <c r="U108" s="121"/>
      <c r="V108" s="121"/>
      <c r="W108" s="121"/>
      <c r="X108" s="121"/>
      <c r="Y108" s="121"/>
      <c r="Z108" s="121"/>
      <c r="AA108" s="121"/>
      <c r="AB108" s="121"/>
      <c r="AC108" s="121"/>
      <c r="AD108" s="121"/>
      <c r="AE108" s="121"/>
      <c r="AF108" s="121"/>
      <c r="AG108" s="121"/>
      <c r="AH108" s="121"/>
      <c r="AI108" s="121"/>
      <c r="AJ108" s="121"/>
      <c r="AK108" s="121"/>
      <c r="AL108" s="121"/>
      <c r="AM108" s="121"/>
      <c r="AN108" s="121"/>
      <c r="AO108" s="121"/>
      <c r="AP108" s="121"/>
      <c r="AQ108" s="121"/>
      <c r="AR108" s="121"/>
      <c r="AS108" s="121"/>
      <c r="AT108" s="121"/>
      <c r="AU108" s="121"/>
      <c r="AV108" s="121"/>
      <c r="AW108" s="121"/>
      <c r="AX108" s="121"/>
    </row>
    <row r="109">
      <c r="A109" s="121"/>
      <c r="B109" s="121"/>
      <c r="C109" s="121"/>
      <c r="D109" s="121"/>
      <c r="E109" s="121"/>
      <c r="F109" s="121"/>
      <c r="G109" s="121"/>
      <c r="H109" s="121"/>
      <c r="I109" s="121"/>
      <c r="J109" s="121"/>
      <c r="K109" s="121"/>
      <c r="L109" s="121"/>
      <c r="M109" s="121"/>
      <c r="N109" s="121"/>
      <c r="O109" s="121"/>
      <c r="P109" s="121"/>
      <c r="Q109" s="121"/>
      <c r="R109" s="121"/>
      <c r="S109" s="121"/>
      <c r="T109" s="121"/>
      <c r="U109" s="121"/>
      <c r="V109" s="121"/>
      <c r="W109" s="121"/>
      <c r="X109" s="121"/>
      <c r="Y109" s="121"/>
      <c r="Z109" s="121"/>
      <c r="AA109" s="121"/>
      <c r="AB109" s="121"/>
      <c r="AC109" s="121"/>
      <c r="AD109" s="121"/>
      <c r="AE109" s="121"/>
      <c r="AF109" s="121"/>
      <c r="AG109" s="121"/>
      <c r="AH109" s="121"/>
      <c r="AI109" s="121"/>
      <c r="AJ109" s="121"/>
      <c r="AK109" s="121"/>
      <c r="AL109" s="121"/>
      <c r="AM109" s="121"/>
      <c r="AN109" s="121"/>
      <c r="AO109" s="121"/>
      <c r="AP109" s="121"/>
      <c r="AQ109" s="121"/>
      <c r="AR109" s="121"/>
      <c r="AS109" s="121"/>
      <c r="AT109" s="121"/>
      <c r="AU109" s="121"/>
      <c r="AV109" s="121"/>
      <c r="AW109" s="121"/>
      <c r="AX109" s="121"/>
    </row>
    <row r="110">
      <c r="A110" s="121"/>
      <c r="B110" s="121"/>
      <c r="C110" s="121"/>
      <c r="D110" s="121"/>
      <c r="E110" s="121"/>
      <c r="F110" s="121"/>
      <c r="G110" s="121"/>
      <c r="H110" s="121"/>
      <c r="I110" s="121"/>
      <c r="J110" s="121"/>
      <c r="K110" s="121"/>
      <c r="L110" s="121"/>
      <c r="M110" s="121"/>
      <c r="N110" s="121"/>
      <c r="O110" s="121"/>
      <c r="P110" s="121"/>
      <c r="Q110" s="121"/>
      <c r="R110" s="121"/>
      <c r="S110" s="121"/>
      <c r="T110" s="121"/>
      <c r="U110" s="121"/>
      <c r="V110" s="121"/>
      <c r="W110" s="121"/>
      <c r="X110" s="121"/>
      <c r="Y110" s="121"/>
      <c r="Z110" s="121"/>
      <c r="AA110" s="121"/>
      <c r="AB110" s="121"/>
      <c r="AC110" s="121"/>
      <c r="AD110" s="121"/>
      <c r="AE110" s="121"/>
      <c r="AF110" s="121"/>
      <c r="AG110" s="121"/>
      <c r="AH110" s="121"/>
      <c r="AI110" s="121"/>
      <c r="AJ110" s="121"/>
      <c r="AK110" s="121"/>
      <c r="AL110" s="121"/>
      <c r="AM110" s="121"/>
      <c r="AN110" s="121"/>
      <c r="AO110" s="121"/>
      <c r="AP110" s="121"/>
      <c r="AQ110" s="121"/>
      <c r="AR110" s="121"/>
      <c r="AS110" s="121"/>
      <c r="AT110" s="121"/>
      <c r="AU110" s="121"/>
      <c r="AV110" s="121"/>
      <c r="AW110" s="121"/>
      <c r="AX110" s="121"/>
    </row>
    <row r="111">
      <c r="A111" s="121"/>
      <c r="B111" s="121"/>
      <c r="C111" s="121"/>
      <c r="D111" s="121"/>
      <c r="E111" s="121"/>
      <c r="F111" s="121"/>
      <c r="G111" s="121"/>
      <c r="H111" s="121"/>
      <c r="I111" s="121"/>
      <c r="J111" s="121"/>
      <c r="K111" s="121"/>
      <c r="L111" s="121"/>
      <c r="M111" s="121"/>
      <c r="N111" s="121"/>
      <c r="O111" s="121"/>
      <c r="P111" s="121"/>
      <c r="Q111" s="121"/>
      <c r="R111" s="121"/>
      <c r="S111" s="121"/>
      <c r="T111" s="121"/>
      <c r="U111" s="121"/>
      <c r="V111" s="121"/>
      <c r="W111" s="121"/>
      <c r="X111" s="121"/>
      <c r="Y111" s="121"/>
      <c r="Z111" s="121"/>
      <c r="AA111" s="121"/>
      <c r="AB111" s="121"/>
      <c r="AC111" s="121"/>
      <c r="AD111" s="121"/>
      <c r="AE111" s="121"/>
      <c r="AF111" s="121"/>
      <c r="AG111" s="121"/>
      <c r="AH111" s="121"/>
      <c r="AI111" s="121"/>
      <c r="AJ111" s="121"/>
      <c r="AK111" s="121"/>
      <c r="AL111" s="121"/>
      <c r="AM111" s="121"/>
      <c r="AN111" s="121"/>
      <c r="AO111" s="121"/>
      <c r="AP111" s="121"/>
      <c r="AQ111" s="121"/>
      <c r="AR111" s="121"/>
      <c r="AS111" s="121"/>
      <c r="AT111" s="121"/>
      <c r="AU111" s="121"/>
      <c r="AV111" s="121"/>
      <c r="AW111" s="121"/>
      <c r="AX111" s="121"/>
    </row>
    <row r="112">
      <c r="A112" s="121"/>
      <c r="B112" s="121"/>
      <c r="C112" s="121"/>
      <c r="D112" s="121"/>
      <c r="E112" s="121"/>
      <c r="F112" s="121"/>
      <c r="G112" s="121"/>
      <c r="H112" s="121"/>
      <c r="I112" s="121"/>
      <c r="J112" s="121"/>
      <c r="K112" s="121"/>
      <c r="L112" s="121"/>
      <c r="M112" s="121"/>
      <c r="N112" s="121"/>
      <c r="O112" s="121"/>
      <c r="P112" s="121"/>
      <c r="Q112" s="121"/>
      <c r="R112" s="121"/>
      <c r="S112" s="121"/>
      <c r="T112" s="121"/>
      <c r="U112" s="121"/>
      <c r="V112" s="121"/>
      <c r="W112" s="121"/>
      <c r="X112" s="121"/>
      <c r="Y112" s="121"/>
      <c r="Z112" s="121"/>
      <c r="AA112" s="121"/>
      <c r="AB112" s="121"/>
      <c r="AC112" s="121"/>
      <c r="AD112" s="121"/>
      <c r="AE112" s="121"/>
      <c r="AF112" s="121"/>
      <c r="AG112" s="121"/>
      <c r="AH112" s="121"/>
      <c r="AI112" s="121"/>
      <c r="AJ112" s="121"/>
      <c r="AK112" s="121"/>
      <c r="AL112" s="121"/>
      <c r="AM112" s="121"/>
      <c r="AN112" s="121"/>
      <c r="AO112" s="121"/>
      <c r="AP112" s="121"/>
      <c r="AQ112" s="121"/>
      <c r="AR112" s="121"/>
      <c r="AS112" s="121"/>
      <c r="AT112" s="121"/>
      <c r="AU112" s="121"/>
      <c r="AV112" s="121"/>
      <c r="AW112" s="121"/>
      <c r="AX112" s="121"/>
    </row>
    <row r="113">
      <c r="A113" s="121"/>
      <c r="B113" s="121"/>
      <c r="C113" s="121"/>
      <c r="D113" s="121"/>
      <c r="E113" s="121"/>
      <c r="F113" s="121"/>
      <c r="G113" s="121"/>
      <c r="H113" s="121"/>
      <c r="I113" s="121"/>
      <c r="J113" s="121"/>
      <c r="K113" s="121"/>
      <c r="L113" s="121"/>
      <c r="M113" s="121"/>
      <c r="N113" s="121"/>
      <c r="O113" s="121"/>
      <c r="P113" s="121"/>
      <c r="Q113" s="121"/>
      <c r="R113" s="121"/>
      <c r="S113" s="121"/>
      <c r="T113" s="121"/>
      <c r="U113" s="121"/>
      <c r="V113" s="121"/>
      <c r="W113" s="121"/>
      <c r="X113" s="121"/>
      <c r="Y113" s="121"/>
      <c r="Z113" s="121"/>
      <c r="AA113" s="121"/>
      <c r="AB113" s="121"/>
      <c r="AC113" s="121"/>
      <c r="AD113" s="121"/>
      <c r="AE113" s="121"/>
      <c r="AF113" s="121"/>
      <c r="AG113" s="121"/>
      <c r="AH113" s="121"/>
      <c r="AI113" s="121"/>
      <c r="AJ113" s="121"/>
      <c r="AK113" s="121"/>
      <c r="AL113" s="121"/>
      <c r="AM113" s="121"/>
      <c r="AN113" s="121"/>
      <c r="AO113" s="121"/>
      <c r="AP113" s="121"/>
      <c r="AQ113" s="121"/>
      <c r="AR113" s="121"/>
      <c r="AS113" s="121"/>
      <c r="AT113" s="121"/>
      <c r="AU113" s="121"/>
      <c r="AV113" s="121"/>
      <c r="AW113" s="121"/>
      <c r="AX113" s="121"/>
    </row>
    <row r="114">
      <c r="A114" s="121"/>
      <c r="B114" s="121"/>
      <c r="C114" s="121"/>
      <c r="D114" s="121"/>
      <c r="E114" s="121"/>
      <c r="F114" s="121"/>
      <c r="G114" s="121"/>
      <c r="H114" s="121"/>
      <c r="I114" s="121"/>
      <c r="J114" s="121"/>
      <c r="K114" s="121"/>
      <c r="L114" s="121"/>
      <c r="M114" s="121"/>
      <c r="N114" s="121"/>
      <c r="O114" s="121"/>
      <c r="P114" s="121"/>
      <c r="Q114" s="121"/>
      <c r="R114" s="121"/>
      <c r="S114" s="121"/>
      <c r="T114" s="121"/>
      <c r="U114" s="121"/>
      <c r="V114" s="121"/>
      <c r="W114" s="121"/>
      <c r="X114" s="121"/>
      <c r="Y114" s="121"/>
      <c r="Z114" s="121"/>
      <c r="AA114" s="121"/>
      <c r="AB114" s="121"/>
      <c r="AC114" s="121"/>
      <c r="AD114" s="121"/>
      <c r="AE114" s="121"/>
      <c r="AF114" s="121"/>
      <c r="AG114" s="121"/>
      <c r="AH114" s="121"/>
      <c r="AI114" s="121"/>
      <c r="AJ114" s="121"/>
      <c r="AK114" s="121"/>
      <c r="AL114" s="121"/>
      <c r="AM114" s="121"/>
      <c r="AN114" s="121"/>
      <c r="AO114" s="121"/>
      <c r="AP114" s="121"/>
      <c r="AQ114" s="121"/>
      <c r="AR114" s="121"/>
      <c r="AS114" s="121"/>
      <c r="AT114" s="121"/>
      <c r="AU114" s="121"/>
      <c r="AV114" s="121"/>
      <c r="AW114" s="121"/>
      <c r="AX114" s="121"/>
    </row>
    <row r="115">
      <c r="A115" s="121"/>
      <c r="B115" s="121"/>
      <c r="C115" s="121"/>
      <c r="D115" s="121"/>
      <c r="E115" s="121"/>
      <c r="F115" s="121"/>
      <c r="G115" s="121"/>
      <c r="H115" s="121"/>
      <c r="I115" s="121"/>
      <c r="J115" s="121"/>
      <c r="K115" s="121"/>
      <c r="L115" s="121"/>
      <c r="M115" s="121"/>
      <c r="N115" s="121"/>
      <c r="O115" s="121"/>
      <c r="P115" s="121"/>
      <c r="Q115" s="121"/>
      <c r="R115" s="121"/>
      <c r="S115" s="121"/>
      <c r="T115" s="121"/>
      <c r="U115" s="121"/>
      <c r="V115" s="121"/>
      <c r="W115" s="121"/>
      <c r="X115" s="121"/>
      <c r="Y115" s="121"/>
      <c r="Z115" s="121"/>
      <c r="AA115" s="121"/>
      <c r="AB115" s="121"/>
      <c r="AC115" s="121"/>
      <c r="AD115" s="121"/>
      <c r="AE115" s="121"/>
      <c r="AF115" s="121"/>
      <c r="AG115" s="121"/>
      <c r="AH115" s="121"/>
      <c r="AI115" s="121"/>
      <c r="AJ115" s="121"/>
      <c r="AK115" s="121"/>
      <c r="AL115" s="121"/>
      <c r="AM115" s="121"/>
      <c r="AN115" s="121"/>
      <c r="AO115" s="121"/>
      <c r="AP115" s="121"/>
      <c r="AQ115" s="121"/>
      <c r="AR115" s="121"/>
      <c r="AS115" s="121"/>
      <c r="AT115" s="121"/>
      <c r="AU115" s="121"/>
      <c r="AV115" s="121"/>
      <c r="AW115" s="121"/>
      <c r="AX115" s="121"/>
    </row>
    <row r="116" ht="15.75" customHeight="1">
      <c r="A116" s="29"/>
      <c r="B116" s="29"/>
      <c r="C116" s="31"/>
      <c r="D116" s="29"/>
      <c r="E116" s="29"/>
      <c r="F116" s="29"/>
      <c r="G116" s="29"/>
      <c r="H116" s="29"/>
      <c r="I116" s="29"/>
      <c r="J116" s="29"/>
      <c r="K116" s="29"/>
      <c r="L116" s="29"/>
      <c r="M116" s="29"/>
      <c r="N116" s="29"/>
      <c r="O116" s="29"/>
      <c r="P116" s="29"/>
      <c r="Q116" s="29"/>
      <c r="R116" s="29"/>
      <c r="S116" s="29"/>
      <c r="T116" s="29"/>
      <c r="U116" s="29"/>
      <c r="V116" s="29"/>
      <c r="W116" s="29"/>
      <c r="X116" s="29"/>
      <c r="Y116" s="29"/>
      <c r="Z116" s="29"/>
      <c r="AA116" s="29"/>
      <c r="AB116" s="29"/>
      <c r="AC116" s="29"/>
      <c r="AD116" s="29"/>
      <c r="AE116" s="29"/>
      <c r="AF116" s="29"/>
      <c r="AG116" s="29"/>
      <c r="AH116" s="29"/>
      <c r="AI116" s="29"/>
      <c r="AJ116" s="29"/>
      <c r="AK116" s="29"/>
      <c r="AL116" s="29"/>
      <c r="AM116" s="29"/>
      <c r="AN116" s="29"/>
      <c r="AO116" s="29"/>
      <c r="AP116" s="29"/>
      <c r="AQ116" s="29"/>
      <c r="AR116" s="29"/>
      <c r="AS116" s="29"/>
      <c r="AT116" s="29"/>
      <c r="AU116" s="29"/>
      <c r="AV116" s="29"/>
      <c r="AW116" s="29"/>
      <c r="AX116" s="29"/>
    </row>
    <row r="117" ht="15.75" customHeight="1">
      <c r="A117" s="29"/>
      <c r="B117" s="29"/>
      <c r="C117" s="31"/>
      <c r="D117" s="29"/>
      <c r="E117" s="29"/>
      <c r="F117" s="29"/>
      <c r="G117" s="29"/>
      <c r="H117" s="29"/>
      <c r="I117" s="29"/>
      <c r="J117" s="29"/>
      <c r="K117" s="29"/>
      <c r="L117" s="29"/>
      <c r="M117" s="29"/>
      <c r="N117" s="29"/>
      <c r="O117" s="29"/>
      <c r="P117" s="29"/>
      <c r="Q117" s="29"/>
      <c r="R117" s="29"/>
      <c r="S117" s="29"/>
      <c r="T117" s="29"/>
      <c r="U117" s="29"/>
      <c r="V117" s="29"/>
      <c r="W117" s="29"/>
      <c r="X117" s="29"/>
      <c r="Y117" s="29"/>
      <c r="Z117" s="29"/>
      <c r="AA117" s="29"/>
      <c r="AB117" s="29"/>
      <c r="AC117" s="29"/>
      <c r="AD117" s="29"/>
      <c r="AE117" s="29"/>
      <c r="AF117" s="29"/>
      <c r="AG117" s="29"/>
      <c r="AH117" s="29"/>
      <c r="AI117" s="29"/>
      <c r="AJ117" s="29"/>
      <c r="AK117" s="29"/>
      <c r="AL117" s="29"/>
      <c r="AM117" s="29"/>
      <c r="AN117" s="29"/>
      <c r="AO117" s="29"/>
      <c r="AP117" s="29"/>
      <c r="AQ117" s="29"/>
      <c r="AR117" s="29"/>
      <c r="AS117" s="29"/>
      <c r="AT117" s="29"/>
      <c r="AU117" s="29"/>
      <c r="AV117" s="29"/>
      <c r="AW117" s="29"/>
      <c r="AX117" s="29"/>
    </row>
    <row r="118" ht="15.75" customHeight="1">
      <c r="A118" s="29"/>
      <c r="B118" s="29"/>
      <c r="C118" s="31"/>
      <c r="D118" s="29"/>
      <c r="E118" s="29"/>
      <c r="F118" s="29"/>
      <c r="G118" s="29"/>
      <c r="H118" s="29"/>
      <c r="I118" s="29"/>
      <c r="J118" s="29"/>
      <c r="K118" s="29"/>
      <c r="L118" s="29"/>
      <c r="M118" s="29"/>
      <c r="N118" s="29"/>
      <c r="O118" s="29"/>
      <c r="P118" s="29"/>
      <c r="Q118" s="29"/>
      <c r="R118" s="29"/>
      <c r="S118" s="29"/>
      <c r="T118" s="29"/>
      <c r="U118" s="29"/>
      <c r="V118" s="29"/>
      <c r="W118" s="29"/>
      <c r="X118" s="29"/>
      <c r="Y118" s="29"/>
      <c r="Z118" s="29"/>
      <c r="AA118" s="29"/>
      <c r="AB118" s="29"/>
      <c r="AC118" s="29"/>
      <c r="AD118" s="29"/>
      <c r="AE118" s="29"/>
      <c r="AF118" s="29"/>
      <c r="AG118" s="29"/>
      <c r="AH118" s="29"/>
      <c r="AI118" s="29"/>
      <c r="AJ118" s="29"/>
      <c r="AK118" s="29"/>
      <c r="AL118" s="29"/>
      <c r="AM118" s="29"/>
      <c r="AN118" s="29"/>
      <c r="AO118" s="29"/>
      <c r="AP118" s="29"/>
      <c r="AQ118" s="29"/>
      <c r="AR118" s="29"/>
      <c r="AS118" s="29"/>
      <c r="AT118" s="29"/>
      <c r="AU118" s="29"/>
      <c r="AV118" s="29"/>
      <c r="AW118" s="29"/>
      <c r="AX118" s="29"/>
    </row>
    <row r="119" ht="15.75" customHeight="1">
      <c r="A119" s="29"/>
      <c r="B119" s="29"/>
      <c r="C119" s="31"/>
      <c r="D119" s="29"/>
      <c r="E119" s="29"/>
      <c r="F119" s="29"/>
      <c r="G119" s="29"/>
      <c r="H119" s="29"/>
      <c r="I119" s="29"/>
      <c r="J119" s="29"/>
      <c r="K119" s="29"/>
      <c r="L119" s="29"/>
      <c r="M119" s="29"/>
      <c r="N119" s="29"/>
      <c r="O119" s="29"/>
      <c r="P119" s="29"/>
      <c r="Q119" s="29"/>
      <c r="R119" s="29"/>
      <c r="S119" s="29"/>
      <c r="T119" s="29"/>
      <c r="U119" s="29"/>
      <c r="V119" s="29"/>
      <c r="W119" s="29"/>
      <c r="X119" s="29"/>
      <c r="Y119" s="29"/>
      <c r="Z119" s="29"/>
      <c r="AA119" s="29"/>
      <c r="AB119" s="29"/>
      <c r="AC119" s="29"/>
      <c r="AD119" s="29"/>
      <c r="AE119" s="29"/>
      <c r="AF119" s="29"/>
      <c r="AG119" s="29"/>
      <c r="AH119" s="29"/>
      <c r="AI119" s="29"/>
      <c r="AJ119" s="29"/>
      <c r="AK119" s="29"/>
      <c r="AL119" s="29"/>
      <c r="AM119" s="29"/>
      <c r="AN119" s="29"/>
      <c r="AO119" s="29"/>
      <c r="AP119" s="29"/>
      <c r="AQ119" s="29"/>
      <c r="AR119" s="29"/>
      <c r="AS119" s="29"/>
      <c r="AT119" s="29"/>
      <c r="AU119" s="29"/>
      <c r="AV119" s="29"/>
      <c r="AW119" s="29"/>
      <c r="AX119" s="29"/>
    </row>
    <row r="120" ht="15.75" customHeight="1">
      <c r="A120" s="29"/>
      <c r="B120" s="29"/>
      <c r="C120" s="31"/>
      <c r="D120" s="29"/>
      <c r="E120" s="29"/>
      <c r="F120" s="29"/>
      <c r="G120" s="29"/>
      <c r="H120" s="29"/>
      <c r="I120" s="29"/>
      <c r="J120" s="29"/>
      <c r="K120" s="29"/>
      <c r="L120" s="29"/>
      <c r="M120" s="29"/>
      <c r="N120" s="29"/>
      <c r="O120" s="29"/>
      <c r="P120" s="29"/>
      <c r="Q120" s="29"/>
      <c r="R120" s="29"/>
      <c r="S120" s="29"/>
      <c r="T120" s="29"/>
      <c r="U120" s="29"/>
      <c r="V120" s="29"/>
      <c r="W120" s="29"/>
      <c r="X120" s="29"/>
      <c r="Y120" s="29"/>
      <c r="Z120" s="29"/>
      <c r="AA120" s="29"/>
      <c r="AB120" s="29"/>
      <c r="AC120" s="29"/>
      <c r="AD120" s="29"/>
      <c r="AE120" s="29"/>
      <c r="AF120" s="29"/>
      <c r="AG120" s="29"/>
      <c r="AH120" s="29"/>
      <c r="AI120" s="29"/>
      <c r="AJ120" s="29"/>
      <c r="AK120" s="29"/>
      <c r="AL120" s="29"/>
      <c r="AM120" s="29"/>
      <c r="AN120" s="29"/>
      <c r="AO120" s="29"/>
      <c r="AP120" s="29"/>
      <c r="AQ120" s="29"/>
      <c r="AR120" s="29"/>
      <c r="AS120" s="29"/>
      <c r="AT120" s="29"/>
      <c r="AU120" s="29"/>
      <c r="AV120" s="29"/>
      <c r="AW120" s="29"/>
      <c r="AX120" s="29"/>
    </row>
    <row r="121" ht="15.75" customHeight="1">
      <c r="A121" s="29"/>
      <c r="B121" s="29"/>
      <c r="C121" s="31"/>
      <c r="D121" s="29"/>
      <c r="E121" s="29"/>
      <c r="F121" s="29"/>
      <c r="G121" s="29"/>
      <c r="H121" s="29"/>
      <c r="I121" s="29"/>
      <c r="J121" s="29"/>
      <c r="K121" s="29"/>
      <c r="L121" s="29"/>
      <c r="M121" s="29"/>
      <c r="N121" s="29"/>
      <c r="O121" s="29"/>
      <c r="P121" s="29"/>
      <c r="Q121" s="29"/>
      <c r="R121" s="29"/>
      <c r="S121" s="29"/>
      <c r="T121" s="29"/>
      <c r="U121" s="29"/>
      <c r="V121" s="29"/>
      <c r="W121" s="29"/>
      <c r="X121" s="29"/>
      <c r="Y121" s="29"/>
      <c r="Z121" s="29"/>
      <c r="AA121" s="29"/>
      <c r="AB121" s="29"/>
      <c r="AC121" s="29"/>
      <c r="AD121" s="29"/>
      <c r="AE121" s="29"/>
      <c r="AF121" s="29"/>
      <c r="AG121" s="29"/>
      <c r="AH121" s="29"/>
      <c r="AI121" s="29"/>
      <c r="AJ121" s="29"/>
      <c r="AK121" s="29"/>
      <c r="AL121" s="29"/>
      <c r="AM121" s="29"/>
      <c r="AN121" s="29"/>
      <c r="AO121" s="29"/>
      <c r="AP121" s="29"/>
      <c r="AQ121" s="29"/>
      <c r="AR121" s="29"/>
      <c r="AS121" s="29"/>
      <c r="AT121" s="29"/>
      <c r="AU121" s="29"/>
      <c r="AV121" s="29"/>
      <c r="AW121" s="29"/>
      <c r="AX121" s="29"/>
    </row>
    <row r="122" ht="15.75" customHeight="1">
      <c r="A122" s="29"/>
      <c r="B122" s="29"/>
      <c r="C122" s="31"/>
      <c r="D122" s="29"/>
      <c r="E122" s="29"/>
      <c r="F122" s="29"/>
      <c r="G122" s="29"/>
      <c r="H122" s="29"/>
      <c r="I122" s="29"/>
      <c r="J122" s="29"/>
      <c r="K122" s="29"/>
      <c r="L122" s="29"/>
      <c r="M122" s="29"/>
      <c r="N122" s="29"/>
      <c r="O122" s="29"/>
      <c r="P122" s="29"/>
      <c r="Q122" s="29"/>
      <c r="R122" s="29"/>
      <c r="S122" s="29"/>
      <c r="T122" s="29"/>
      <c r="U122" s="29"/>
      <c r="V122" s="29"/>
      <c r="W122" s="29"/>
      <c r="X122" s="29"/>
      <c r="Y122" s="29"/>
      <c r="Z122" s="29"/>
      <c r="AA122" s="29"/>
      <c r="AB122" s="29"/>
      <c r="AC122" s="29"/>
      <c r="AD122" s="29"/>
      <c r="AE122" s="29"/>
      <c r="AF122" s="29"/>
      <c r="AG122" s="29"/>
      <c r="AH122" s="29"/>
      <c r="AI122" s="29"/>
      <c r="AJ122" s="29"/>
      <c r="AK122" s="29"/>
      <c r="AL122" s="29"/>
      <c r="AM122" s="29"/>
      <c r="AN122" s="29"/>
      <c r="AO122" s="29"/>
      <c r="AP122" s="29"/>
      <c r="AQ122" s="29"/>
      <c r="AR122" s="29"/>
      <c r="AS122" s="29"/>
      <c r="AT122" s="29"/>
      <c r="AU122" s="29"/>
      <c r="AV122" s="29"/>
      <c r="AW122" s="29"/>
      <c r="AX122" s="29"/>
    </row>
    <row r="123" ht="15.75" customHeight="1">
      <c r="A123" s="29"/>
      <c r="B123" s="29"/>
      <c r="C123" s="31"/>
      <c r="D123" s="29"/>
      <c r="E123" s="29"/>
      <c r="F123" s="29"/>
      <c r="G123" s="29"/>
      <c r="H123" s="29"/>
      <c r="I123" s="29"/>
      <c r="J123" s="29"/>
      <c r="K123" s="29"/>
      <c r="L123" s="29"/>
      <c r="M123" s="29"/>
      <c r="N123" s="29"/>
      <c r="O123" s="29"/>
      <c r="P123" s="29"/>
      <c r="Q123" s="29"/>
      <c r="R123" s="29"/>
      <c r="S123" s="29"/>
      <c r="T123" s="29"/>
      <c r="U123" s="29"/>
      <c r="V123" s="29"/>
      <c r="W123" s="29"/>
      <c r="X123" s="29"/>
      <c r="Y123" s="29"/>
      <c r="Z123" s="29"/>
      <c r="AA123" s="29"/>
      <c r="AB123" s="29"/>
      <c r="AC123" s="29"/>
      <c r="AD123" s="29"/>
      <c r="AE123" s="29"/>
      <c r="AF123" s="29"/>
      <c r="AG123" s="29"/>
      <c r="AH123" s="29"/>
      <c r="AI123" s="29"/>
      <c r="AJ123" s="29"/>
      <c r="AK123" s="29"/>
      <c r="AL123" s="29"/>
      <c r="AM123" s="29"/>
      <c r="AN123" s="29"/>
      <c r="AO123" s="29"/>
      <c r="AP123" s="29"/>
      <c r="AQ123" s="29"/>
      <c r="AR123" s="29"/>
      <c r="AS123" s="29"/>
      <c r="AT123" s="29"/>
      <c r="AU123" s="29"/>
      <c r="AV123" s="29"/>
      <c r="AW123" s="29"/>
      <c r="AX123" s="29"/>
    </row>
    <row r="124" ht="15.75" customHeight="1">
      <c r="A124" s="29"/>
      <c r="B124" s="29"/>
      <c r="C124" s="31"/>
      <c r="D124" s="29"/>
      <c r="E124" s="29"/>
      <c r="F124" s="29"/>
      <c r="G124" s="29"/>
      <c r="H124" s="29"/>
      <c r="I124" s="29"/>
      <c r="J124" s="29"/>
      <c r="K124" s="29"/>
      <c r="L124" s="29"/>
      <c r="M124" s="29"/>
      <c r="N124" s="29"/>
      <c r="O124" s="29"/>
      <c r="P124" s="29"/>
      <c r="Q124" s="29"/>
      <c r="R124" s="29"/>
      <c r="S124" s="29"/>
      <c r="T124" s="29"/>
      <c r="U124" s="29"/>
      <c r="V124" s="29"/>
      <c r="W124" s="29"/>
      <c r="X124" s="29"/>
      <c r="Y124" s="29"/>
      <c r="Z124" s="29"/>
      <c r="AA124" s="29"/>
      <c r="AB124" s="29"/>
      <c r="AC124" s="29"/>
      <c r="AD124" s="29"/>
      <c r="AE124" s="29"/>
      <c r="AF124" s="29"/>
      <c r="AG124" s="29"/>
      <c r="AH124" s="29"/>
      <c r="AI124" s="29"/>
      <c r="AJ124" s="29"/>
      <c r="AK124" s="29"/>
      <c r="AL124" s="29"/>
      <c r="AM124" s="29"/>
      <c r="AN124" s="29"/>
      <c r="AO124" s="29"/>
      <c r="AP124" s="29"/>
      <c r="AQ124" s="29"/>
      <c r="AR124" s="29"/>
      <c r="AS124" s="29"/>
      <c r="AT124" s="29"/>
      <c r="AU124" s="29"/>
      <c r="AV124" s="29"/>
      <c r="AW124" s="29"/>
      <c r="AX124" s="29"/>
    </row>
    <row r="125" ht="15.75" customHeight="1">
      <c r="A125" s="29"/>
      <c r="B125" s="29"/>
      <c r="C125" s="31"/>
      <c r="D125" s="29"/>
      <c r="E125" s="29"/>
      <c r="F125" s="29"/>
      <c r="G125" s="29"/>
      <c r="H125" s="29"/>
      <c r="I125" s="29"/>
      <c r="J125" s="29"/>
      <c r="K125" s="29"/>
      <c r="L125" s="29"/>
      <c r="M125" s="29"/>
      <c r="N125" s="29"/>
      <c r="O125" s="29"/>
      <c r="P125" s="29"/>
      <c r="Q125" s="29"/>
      <c r="R125" s="29"/>
      <c r="S125" s="29"/>
      <c r="T125" s="29"/>
      <c r="U125" s="29"/>
      <c r="V125" s="29"/>
      <c r="W125" s="29"/>
      <c r="X125" s="29"/>
      <c r="Y125" s="29"/>
      <c r="Z125" s="29"/>
      <c r="AA125" s="29"/>
      <c r="AB125" s="29"/>
      <c r="AC125" s="29"/>
      <c r="AD125" s="29"/>
      <c r="AE125" s="29"/>
      <c r="AF125" s="29"/>
      <c r="AG125" s="29"/>
      <c r="AH125" s="29"/>
      <c r="AI125" s="29"/>
      <c r="AJ125" s="29"/>
      <c r="AK125" s="29"/>
      <c r="AL125" s="29"/>
      <c r="AM125" s="29"/>
      <c r="AN125" s="29"/>
      <c r="AO125" s="29"/>
      <c r="AP125" s="29"/>
      <c r="AQ125" s="29"/>
      <c r="AR125" s="29"/>
      <c r="AS125" s="29"/>
      <c r="AT125" s="29"/>
      <c r="AU125" s="29"/>
      <c r="AV125" s="29"/>
      <c r="AW125" s="29"/>
      <c r="AX125" s="29"/>
    </row>
    <row r="126" ht="15.75" customHeight="1">
      <c r="A126" s="29"/>
      <c r="B126" s="29"/>
      <c r="C126" s="31"/>
      <c r="D126" s="29"/>
      <c r="E126" s="29"/>
      <c r="F126" s="29"/>
      <c r="G126" s="29"/>
      <c r="H126" s="29"/>
      <c r="I126" s="29"/>
      <c r="J126" s="29"/>
      <c r="K126" s="29"/>
      <c r="L126" s="29"/>
      <c r="M126" s="29"/>
      <c r="N126" s="29"/>
      <c r="O126" s="29"/>
      <c r="P126" s="29"/>
      <c r="Q126" s="29"/>
      <c r="R126" s="29"/>
      <c r="S126" s="29"/>
      <c r="T126" s="29"/>
      <c r="U126" s="29"/>
      <c r="V126" s="29"/>
      <c r="W126" s="29"/>
      <c r="X126" s="29"/>
      <c r="Y126" s="29"/>
      <c r="Z126" s="29"/>
      <c r="AA126" s="29"/>
      <c r="AB126" s="29"/>
      <c r="AC126" s="29"/>
      <c r="AD126" s="29"/>
      <c r="AE126" s="29"/>
      <c r="AF126" s="29"/>
      <c r="AG126" s="29"/>
      <c r="AH126" s="29"/>
      <c r="AI126" s="29"/>
      <c r="AJ126" s="29"/>
      <c r="AK126" s="29"/>
      <c r="AL126" s="29"/>
      <c r="AM126" s="29"/>
      <c r="AN126" s="29"/>
      <c r="AO126" s="29"/>
      <c r="AP126" s="29"/>
      <c r="AQ126" s="29"/>
      <c r="AR126" s="29"/>
      <c r="AS126" s="29"/>
      <c r="AT126" s="29"/>
      <c r="AU126" s="29"/>
      <c r="AV126" s="29"/>
      <c r="AW126" s="29"/>
      <c r="AX126" s="29"/>
    </row>
    <row r="127" ht="15.75" customHeight="1">
      <c r="A127" s="29"/>
      <c r="B127" s="29"/>
      <c r="C127" s="31"/>
      <c r="D127" s="29"/>
      <c r="E127" s="29"/>
      <c r="F127" s="29"/>
      <c r="G127" s="29"/>
      <c r="H127" s="29"/>
      <c r="I127" s="29"/>
      <c r="J127" s="29"/>
      <c r="K127" s="29"/>
      <c r="L127" s="29"/>
      <c r="M127" s="29"/>
      <c r="N127" s="29"/>
      <c r="O127" s="29"/>
      <c r="P127" s="29"/>
      <c r="Q127" s="29"/>
      <c r="R127" s="29"/>
      <c r="S127" s="29"/>
      <c r="T127" s="29"/>
      <c r="U127" s="29"/>
      <c r="V127" s="29"/>
      <c r="W127" s="29"/>
      <c r="X127" s="29"/>
      <c r="Y127" s="29"/>
      <c r="Z127" s="29"/>
      <c r="AA127" s="29"/>
      <c r="AB127" s="29"/>
      <c r="AC127" s="29"/>
      <c r="AD127" s="29"/>
      <c r="AE127" s="29"/>
      <c r="AF127" s="29"/>
      <c r="AG127" s="29"/>
      <c r="AH127" s="29"/>
      <c r="AI127" s="29"/>
      <c r="AJ127" s="29"/>
      <c r="AK127" s="29"/>
      <c r="AL127" s="29"/>
      <c r="AM127" s="29"/>
      <c r="AN127" s="29"/>
      <c r="AO127" s="29"/>
      <c r="AP127" s="29"/>
      <c r="AQ127" s="29"/>
      <c r="AR127" s="29"/>
      <c r="AS127" s="29"/>
      <c r="AT127" s="29"/>
      <c r="AU127" s="29"/>
      <c r="AV127" s="29"/>
      <c r="AW127" s="29"/>
      <c r="AX127" s="29"/>
    </row>
    <row r="128" ht="15.75" customHeight="1">
      <c r="A128" s="29"/>
      <c r="B128" s="29"/>
      <c r="C128" s="31"/>
      <c r="D128" s="29"/>
      <c r="E128" s="29"/>
      <c r="F128" s="29"/>
      <c r="G128" s="29"/>
      <c r="H128" s="29"/>
      <c r="I128" s="29"/>
      <c r="J128" s="29"/>
      <c r="K128" s="29"/>
      <c r="L128" s="29"/>
      <c r="M128" s="29"/>
      <c r="N128" s="29"/>
      <c r="O128" s="29"/>
      <c r="P128" s="29"/>
      <c r="Q128" s="29"/>
      <c r="R128" s="29"/>
      <c r="S128" s="29"/>
      <c r="T128" s="29"/>
      <c r="U128" s="29"/>
      <c r="V128" s="29"/>
      <c r="W128" s="29"/>
      <c r="X128" s="29"/>
      <c r="Y128" s="29"/>
      <c r="Z128" s="29"/>
      <c r="AA128" s="29"/>
      <c r="AB128" s="29"/>
      <c r="AC128" s="29"/>
      <c r="AD128" s="29"/>
      <c r="AE128" s="29"/>
      <c r="AF128" s="29"/>
      <c r="AG128" s="29"/>
      <c r="AH128" s="29"/>
      <c r="AI128" s="29"/>
      <c r="AJ128" s="29"/>
      <c r="AK128" s="29"/>
      <c r="AL128" s="29"/>
      <c r="AM128" s="29"/>
      <c r="AN128" s="29"/>
      <c r="AO128" s="29"/>
      <c r="AP128" s="29"/>
      <c r="AQ128" s="29"/>
      <c r="AR128" s="29"/>
      <c r="AS128" s="29"/>
      <c r="AT128" s="29"/>
      <c r="AU128" s="29"/>
      <c r="AV128" s="29"/>
      <c r="AW128" s="29"/>
      <c r="AX128" s="29"/>
    </row>
    <row r="129" ht="15.75" customHeight="1">
      <c r="A129" s="29"/>
      <c r="B129" s="29"/>
      <c r="C129" s="31"/>
      <c r="D129" s="29"/>
      <c r="E129" s="29"/>
      <c r="F129" s="29"/>
      <c r="G129" s="29"/>
      <c r="H129" s="29"/>
      <c r="I129" s="29"/>
      <c r="J129" s="29"/>
      <c r="K129" s="29"/>
      <c r="L129" s="29"/>
      <c r="M129" s="29"/>
      <c r="N129" s="29"/>
      <c r="O129" s="29"/>
      <c r="P129" s="29"/>
      <c r="Q129" s="29"/>
      <c r="R129" s="29"/>
      <c r="S129" s="29"/>
      <c r="T129" s="29"/>
      <c r="U129" s="29"/>
      <c r="V129" s="29"/>
      <c r="W129" s="29"/>
      <c r="X129" s="29"/>
      <c r="Y129" s="29"/>
      <c r="Z129" s="29"/>
      <c r="AA129" s="29"/>
      <c r="AB129" s="29"/>
      <c r="AC129" s="29"/>
      <c r="AD129" s="29"/>
      <c r="AE129" s="29"/>
      <c r="AF129" s="29"/>
      <c r="AG129" s="29"/>
      <c r="AH129" s="29"/>
      <c r="AI129" s="29"/>
      <c r="AJ129" s="29"/>
      <c r="AK129" s="29"/>
      <c r="AL129" s="29"/>
      <c r="AM129" s="29"/>
      <c r="AN129" s="29"/>
      <c r="AO129" s="29"/>
      <c r="AP129" s="29"/>
      <c r="AQ129" s="29"/>
      <c r="AR129" s="29"/>
      <c r="AS129" s="29"/>
      <c r="AT129" s="29"/>
      <c r="AU129" s="29"/>
      <c r="AV129" s="29"/>
      <c r="AW129" s="29"/>
      <c r="AX129" s="29"/>
    </row>
    <row r="130" ht="15.75" customHeight="1">
      <c r="A130" s="29"/>
      <c r="B130" s="29"/>
      <c r="C130" s="31"/>
      <c r="D130" s="29"/>
      <c r="E130" s="29"/>
      <c r="F130" s="29"/>
      <c r="G130" s="29"/>
      <c r="H130" s="29"/>
      <c r="I130" s="29"/>
      <c r="J130" s="29"/>
      <c r="K130" s="29"/>
      <c r="L130" s="29"/>
      <c r="M130" s="29"/>
      <c r="N130" s="29"/>
      <c r="O130" s="29"/>
      <c r="P130" s="29"/>
      <c r="Q130" s="29"/>
      <c r="R130" s="29"/>
      <c r="S130" s="29"/>
      <c r="T130" s="29"/>
      <c r="U130" s="29"/>
      <c r="V130" s="29"/>
      <c r="W130" s="29"/>
      <c r="X130" s="29"/>
      <c r="Y130" s="29"/>
      <c r="Z130" s="29"/>
      <c r="AA130" s="29"/>
      <c r="AB130" s="29"/>
      <c r="AC130" s="29"/>
      <c r="AD130" s="29"/>
      <c r="AE130" s="29"/>
      <c r="AF130" s="29"/>
      <c r="AG130" s="29"/>
      <c r="AH130" s="29"/>
      <c r="AI130" s="29"/>
      <c r="AJ130" s="29"/>
      <c r="AK130" s="29"/>
      <c r="AL130" s="29"/>
      <c r="AM130" s="29"/>
      <c r="AN130" s="29"/>
      <c r="AO130" s="29"/>
      <c r="AP130" s="29"/>
      <c r="AQ130" s="29"/>
      <c r="AR130" s="29"/>
      <c r="AS130" s="29"/>
      <c r="AT130" s="29"/>
      <c r="AU130" s="29"/>
      <c r="AV130" s="29"/>
      <c r="AW130" s="29"/>
      <c r="AX130" s="29"/>
    </row>
    <row r="131" ht="15.75" customHeight="1">
      <c r="A131" s="29"/>
      <c r="B131" s="29"/>
      <c r="C131" s="31"/>
      <c r="D131" s="29"/>
      <c r="E131" s="29"/>
      <c r="F131" s="29"/>
      <c r="G131" s="29"/>
      <c r="H131" s="29"/>
      <c r="I131" s="29"/>
      <c r="J131" s="29"/>
      <c r="K131" s="29"/>
      <c r="L131" s="29"/>
      <c r="M131" s="29"/>
      <c r="N131" s="29"/>
      <c r="O131" s="29"/>
      <c r="P131" s="29"/>
      <c r="Q131" s="29"/>
      <c r="R131" s="29"/>
      <c r="S131" s="29"/>
      <c r="T131" s="29"/>
      <c r="U131" s="29"/>
      <c r="V131" s="29"/>
      <c r="W131" s="29"/>
      <c r="X131" s="29"/>
      <c r="Y131" s="29"/>
      <c r="Z131" s="29"/>
      <c r="AA131" s="29"/>
      <c r="AB131" s="29"/>
      <c r="AC131" s="29"/>
      <c r="AD131" s="29"/>
      <c r="AE131" s="29"/>
      <c r="AF131" s="29"/>
      <c r="AG131" s="29"/>
      <c r="AH131" s="29"/>
      <c r="AI131" s="29"/>
      <c r="AJ131" s="29"/>
      <c r="AK131" s="29"/>
      <c r="AL131" s="29"/>
      <c r="AM131" s="29"/>
      <c r="AN131" s="29"/>
      <c r="AO131" s="29"/>
      <c r="AP131" s="29"/>
      <c r="AQ131" s="29"/>
      <c r="AR131" s="29"/>
      <c r="AS131" s="29"/>
      <c r="AT131" s="29"/>
      <c r="AU131" s="29"/>
      <c r="AV131" s="29"/>
      <c r="AW131" s="29"/>
      <c r="AX131" s="29"/>
    </row>
    <row r="132" ht="15.75" customHeight="1">
      <c r="A132" s="29"/>
      <c r="B132" s="29"/>
      <c r="C132" s="31"/>
      <c r="D132" s="29"/>
      <c r="E132" s="29"/>
      <c r="F132" s="29"/>
      <c r="G132" s="29"/>
      <c r="H132" s="29"/>
      <c r="I132" s="29"/>
      <c r="J132" s="29"/>
      <c r="K132" s="29"/>
      <c r="L132" s="29"/>
      <c r="M132" s="29"/>
      <c r="N132" s="29"/>
      <c r="O132" s="29"/>
      <c r="P132" s="29"/>
      <c r="Q132" s="29"/>
      <c r="R132" s="29"/>
      <c r="S132" s="29"/>
      <c r="T132" s="29"/>
      <c r="U132" s="29"/>
      <c r="V132" s="29"/>
      <c r="W132" s="29"/>
      <c r="X132" s="29"/>
      <c r="Y132" s="29"/>
      <c r="Z132" s="29"/>
      <c r="AA132" s="29"/>
      <c r="AB132" s="29"/>
      <c r="AC132" s="29"/>
      <c r="AD132" s="29"/>
      <c r="AE132" s="29"/>
      <c r="AF132" s="29"/>
      <c r="AG132" s="29"/>
      <c r="AH132" s="29"/>
      <c r="AI132" s="29"/>
      <c r="AJ132" s="29"/>
      <c r="AK132" s="29"/>
      <c r="AL132" s="29"/>
      <c r="AM132" s="29"/>
      <c r="AN132" s="29"/>
      <c r="AO132" s="29"/>
      <c r="AP132" s="29"/>
      <c r="AQ132" s="29"/>
      <c r="AR132" s="29"/>
      <c r="AS132" s="29"/>
      <c r="AT132" s="29"/>
      <c r="AU132" s="29"/>
      <c r="AV132" s="29"/>
      <c r="AW132" s="29"/>
      <c r="AX132" s="29"/>
    </row>
    <row r="133" ht="15.75" customHeight="1">
      <c r="A133" s="29"/>
      <c r="B133" s="29"/>
      <c r="C133" s="31"/>
      <c r="D133" s="29"/>
      <c r="E133" s="29"/>
      <c r="F133" s="29"/>
      <c r="G133" s="29"/>
      <c r="H133" s="29"/>
      <c r="I133" s="29"/>
      <c r="J133" s="29"/>
      <c r="K133" s="29"/>
      <c r="L133" s="29"/>
      <c r="M133" s="29"/>
      <c r="N133" s="29"/>
      <c r="O133" s="29"/>
      <c r="P133" s="29"/>
      <c r="Q133" s="29"/>
      <c r="R133" s="29"/>
      <c r="S133" s="29"/>
      <c r="T133" s="29"/>
      <c r="U133" s="29"/>
      <c r="V133" s="29"/>
      <c r="W133" s="29"/>
      <c r="X133" s="29"/>
      <c r="Y133" s="29"/>
      <c r="Z133" s="29"/>
      <c r="AA133" s="29"/>
      <c r="AB133" s="29"/>
      <c r="AC133" s="29"/>
      <c r="AD133" s="29"/>
      <c r="AE133" s="29"/>
      <c r="AF133" s="29"/>
      <c r="AG133" s="29"/>
      <c r="AH133" s="29"/>
      <c r="AI133" s="29"/>
      <c r="AJ133" s="29"/>
      <c r="AK133" s="29"/>
      <c r="AL133" s="29"/>
      <c r="AM133" s="29"/>
      <c r="AN133" s="29"/>
      <c r="AO133" s="29"/>
      <c r="AP133" s="29"/>
      <c r="AQ133" s="29"/>
      <c r="AR133" s="29"/>
      <c r="AS133" s="29"/>
      <c r="AT133" s="29"/>
      <c r="AU133" s="29"/>
      <c r="AV133" s="29"/>
      <c r="AW133" s="29"/>
      <c r="AX133" s="29"/>
    </row>
    <row r="134" ht="15.75" customHeight="1">
      <c r="A134" s="29"/>
      <c r="B134" s="29"/>
      <c r="C134" s="31"/>
      <c r="D134" s="29"/>
      <c r="E134" s="29"/>
      <c r="F134" s="29"/>
      <c r="G134" s="29"/>
      <c r="H134" s="29"/>
      <c r="I134" s="29"/>
      <c r="J134" s="29"/>
      <c r="K134" s="29"/>
      <c r="L134" s="29"/>
      <c r="M134" s="29"/>
      <c r="N134" s="29"/>
      <c r="O134" s="29"/>
      <c r="P134" s="29"/>
      <c r="Q134" s="29"/>
      <c r="R134" s="29"/>
      <c r="S134" s="29"/>
      <c r="T134" s="29"/>
      <c r="U134" s="29"/>
      <c r="V134" s="29"/>
      <c r="W134" s="29"/>
      <c r="X134" s="29"/>
      <c r="Y134" s="29"/>
      <c r="Z134" s="29"/>
      <c r="AA134" s="29"/>
      <c r="AB134" s="29"/>
      <c r="AC134" s="29"/>
      <c r="AD134" s="29"/>
      <c r="AE134" s="29"/>
      <c r="AF134" s="29"/>
      <c r="AG134" s="29"/>
      <c r="AH134" s="29"/>
      <c r="AI134" s="29"/>
      <c r="AJ134" s="29"/>
      <c r="AK134" s="29"/>
      <c r="AL134" s="29"/>
      <c r="AM134" s="29"/>
      <c r="AN134" s="29"/>
      <c r="AO134" s="29"/>
      <c r="AP134" s="29"/>
      <c r="AQ134" s="29"/>
      <c r="AR134" s="29"/>
      <c r="AS134" s="29"/>
      <c r="AT134" s="29"/>
      <c r="AU134" s="29"/>
      <c r="AV134" s="29"/>
      <c r="AW134" s="29"/>
      <c r="AX134" s="29"/>
    </row>
    <row r="135" ht="15.75" customHeight="1">
      <c r="A135" s="29"/>
      <c r="B135" s="29"/>
      <c r="C135" s="31"/>
      <c r="D135" s="29"/>
      <c r="E135" s="29"/>
      <c r="F135" s="29"/>
      <c r="G135" s="29"/>
      <c r="H135" s="29"/>
      <c r="I135" s="29"/>
      <c r="J135" s="29"/>
      <c r="K135" s="29"/>
      <c r="L135" s="29"/>
      <c r="M135" s="29"/>
      <c r="N135" s="29"/>
      <c r="O135" s="29"/>
      <c r="P135" s="29"/>
      <c r="Q135" s="29"/>
      <c r="R135" s="29"/>
      <c r="S135" s="29"/>
      <c r="T135" s="29"/>
      <c r="U135" s="29"/>
      <c r="V135" s="29"/>
      <c r="W135" s="29"/>
      <c r="X135" s="29"/>
      <c r="Y135" s="29"/>
      <c r="Z135" s="29"/>
      <c r="AA135" s="29"/>
      <c r="AB135" s="29"/>
      <c r="AC135" s="29"/>
      <c r="AD135" s="29"/>
      <c r="AE135" s="29"/>
      <c r="AF135" s="29"/>
      <c r="AG135" s="29"/>
      <c r="AH135" s="29"/>
      <c r="AI135" s="29"/>
      <c r="AJ135" s="29"/>
      <c r="AK135" s="29"/>
      <c r="AL135" s="29"/>
      <c r="AM135" s="29"/>
      <c r="AN135" s="29"/>
      <c r="AO135" s="29"/>
      <c r="AP135" s="29"/>
      <c r="AQ135" s="29"/>
      <c r="AR135" s="29"/>
      <c r="AS135" s="29"/>
      <c r="AT135" s="29"/>
      <c r="AU135" s="29"/>
      <c r="AV135" s="29"/>
      <c r="AW135" s="29"/>
      <c r="AX135" s="29"/>
    </row>
    <row r="136" ht="15.75" customHeight="1">
      <c r="A136" s="29"/>
      <c r="B136" s="29"/>
      <c r="C136" s="31"/>
      <c r="D136" s="29"/>
      <c r="E136" s="29"/>
      <c r="F136" s="29"/>
      <c r="G136" s="29"/>
      <c r="H136" s="29"/>
      <c r="I136" s="29"/>
      <c r="J136" s="29"/>
      <c r="K136" s="29"/>
      <c r="L136" s="29"/>
      <c r="M136" s="29"/>
      <c r="N136" s="29"/>
      <c r="O136" s="29"/>
      <c r="P136" s="29"/>
      <c r="Q136" s="29"/>
      <c r="R136" s="29"/>
      <c r="S136" s="29"/>
      <c r="T136" s="29"/>
      <c r="U136" s="29"/>
      <c r="V136" s="29"/>
      <c r="W136" s="29"/>
      <c r="X136" s="29"/>
      <c r="Y136" s="29"/>
      <c r="Z136" s="29"/>
      <c r="AA136" s="29"/>
      <c r="AB136" s="29"/>
      <c r="AC136" s="29"/>
      <c r="AD136" s="29"/>
      <c r="AE136" s="29"/>
      <c r="AF136" s="29"/>
      <c r="AG136" s="29"/>
      <c r="AH136" s="29"/>
      <c r="AI136" s="29"/>
      <c r="AJ136" s="29"/>
      <c r="AK136" s="29"/>
      <c r="AL136" s="29"/>
      <c r="AM136" s="29"/>
      <c r="AN136" s="29"/>
      <c r="AO136" s="29"/>
      <c r="AP136" s="29"/>
      <c r="AQ136" s="29"/>
      <c r="AR136" s="29"/>
      <c r="AS136" s="29"/>
      <c r="AT136" s="29"/>
      <c r="AU136" s="29"/>
      <c r="AV136" s="29"/>
      <c r="AW136" s="29"/>
      <c r="AX136" s="29"/>
    </row>
    <row r="137" ht="15.75" customHeight="1">
      <c r="A137" s="29"/>
      <c r="B137" s="29"/>
      <c r="C137" s="31"/>
      <c r="D137" s="29"/>
      <c r="E137" s="29"/>
      <c r="F137" s="29"/>
      <c r="G137" s="29"/>
      <c r="H137" s="29"/>
      <c r="I137" s="29"/>
      <c r="J137" s="29"/>
      <c r="K137" s="29"/>
      <c r="L137" s="29"/>
      <c r="M137" s="29"/>
      <c r="N137" s="29"/>
      <c r="O137" s="29"/>
      <c r="P137" s="29"/>
      <c r="Q137" s="29"/>
      <c r="R137" s="29"/>
      <c r="S137" s="29"/>
      <c r="T137" s="29"/>
      <c r="U137" s="29"/>
      <c r="V137" s="29"/>
      <c r="W137" s="29"/>
      <c r="X137" s="29"/>
      <c r="Y137" s="29"/>
      <c r="Z137" s="29"/>
      <c r="AA137" s="29"/>
      <c r="AB137" s="29"/>
      <c r="AC137" s="29"/>
      <c r="AD137" s="29"/>
      <c r="AE137" s="29"/>
      <c r="AF137" s="29"/>
      <c r="AG137" s="29"/>
      <c r="AH137" s="29"/>
      <c r="AI137" s="29"/>
      <c r="AJ137" s="29"/>
      <c r="AK137" s="29"/>
      <c r="AL137" s="29"/>
      <c r="AM137" s="29"/>
      <c r="AN137" s="29"/>
      <c r="AO137" s="29"/>
      <c r="AP137" s="29"/>
      <c r="AQ137" s="29"/>
      <c r="AR137" s="29"/>
      <c r="AS137" s="29"/>
      <c r="AT137" s="29"/>
      <c r="AU137" s="29"/>
      <c r="AV137" s="29"/>
      <c r="AW137" s="29"/>
      <c r="AX137" s="29"/>
    </row>
    <row r="138" ht="15.75" customHeight="1">
      <c r="A138" s="29"/>
      <c r="B138" s="29"/>
      <c r="C138" s="31"/>
      <c r="D138" s="29"/>
      <c r="E138" s="29"/>
      <c r="F138" s="29"/>
      <c r="G138" s="29"/>
      <c r="H138" s="29"/>
      <c r="I138" s="29"/>
      <c r="J138" s="29"/>
      <c r="K138" s="29"/>
      <c r="L138" s="29"/>
      <c r="M138" s="29"/>
      <c r="N138" s="29"/>
      <c r="O138" s="29"/>
      <c r="P138" s="29"/>
      <c r="Q138" s="29"/>
      <c r="R138" s="29"/>
      <c r="S138" s="29"/>
      <c r="T138" s="29"/>
      <c r="U138" s="29"/>
      <c r="V138" s="29"/>
      <c r="W138" s="29"/>
      <c r="X138" s="29"/>
      <c r="Y138" s="29"/>
      <c r="Z138" s="29"/>
      <c r="AA138" s="29"/>
      <c r="AB138" s="29"/>
      <c r="AC138" s="29"/>
      <c r="AD138" s="29"/>
      <c r="AE138" s="29"/>
      <c r="AF138" s="29"/>
      <c r="AG138" s="29"/>
      <c r="AH138" s="29"/>
      <c r="AI138" s="29"/>
      <c r="AJ138" s="29"/>
      <c r="AK138" s="29"/>
      <c r="AL138" s="29"/>
      <c r="AM138" s="29"/>
      <c r="AN138" s="29"/>
      <c r="AO138" s="29"/>
      <c r="AP138" s="29"/>
      <c r="AQ138" s="29"/>
      <c r="AR138" s="29"/>
      <c r="AS138" s="29"/>
      <c r="AT138" s="29"/>
      <c r="AU138" s="29"/>
      <c r="AV138" s="29"/>
      <c r="AW138" s="29"/>
      <c r="AX138" s="29"/>
    </row>
    <row r="139" ht="15.75" customHeight="1">
      <c r="A139" s="29"/>
      <c r="B139" s="29"/>
      <c r="C139" s="31"/>
      <c r="D139" s="29"/>
      <c r="E139" s="29"/>
      <c r="F139" s="29"/>
      <c r="G139" s="29"/>
      <c r="H139" s="29"/>
      <c r="I139" s="29"/>
      <c r="J139" s="29"/>
      <c r="K139" s="29"/>
      <c r="L139" s="29"/>
      <c r="M139" s="29"/>
      <c r="N139" s="29"/>
      <c r="O139" s="29"/>
      <c r="P139" s="29"/>
      <c r="Q139" s="29"/>
      <c r="R139" s="29"/>
      <c r="S139" s="29"/>
      <c r="T139" s="29"/>
      <c r="U139" s="29"/>
      <c r="V139" s="29"/>
      <c r="W139" s="29"/>
      <c r="X139" s="29"/>
      <c r="Y139" s="29"/>
      <c r="Z139" s="29"/>
      <c r="AA139" s="29"/>
      <c r="AB139" s="29"/>
      <c r="AC139" s="29"/>
      <c r="AD139" s="29"/>
      <c r="AE139" s="29"/>
      <c r="AF139" s="29"/>
      <c r="AG139" s="29"/>
      <c r="AH139" s="29"/>
      <c r="AI139" s="29"/>
      <c r="AJ139" s="29"/>
      <c r="AK139" s="29"/>
      <c r="AL139" s="29"/>
      <c r="AM139" s="29"/>
      <c r="AN139" s="29"/>
      <c r="AO139" s="29"/>
      <c r="AP139" s="29"/>
      <c r="AQ139" s="29"/>
      <c r="AR139" s="29"/>
      <c r="AS139" s="29"/>
      <c r="AT139" s="29"/>
      <c r="AU139" s="29"/>
      <c r="AV139" s="29"/>
      <c r="AW139" s="29"/>
      <c r="AX139" s="29"/>
    </row>
    <row r="140" ht="15.75" customHeight="1">
      <c r="A140" s="29"/>
      <c r="B140" s="29"/>
      <c r="C140" s="31"/>
      <c r="D140" s="29"/>
      <c r="E140" s="29"/>
      <c r="F140" s="29"/>
      <c r="G140" s="29"/>
      <c r="H140" s="29"/>
      <c r="I140" s="29"/>
      <c r="J140" s="29"/>
      <c r="K140" s="29"/>
      <c r="L140" s="29"/>
      <c r="M140" s="29"/>
      <c r="N140" s="29"/>
      <c r="O140" s="29"/>
      <c r="P140" s="29"/>
      <c r="Q140" s="29"/>
      <c r="R140" s="29"/>
      <c r="S140" s="29"/>
      <c r="T140" s="29"/>
      <c r="U140" s="29"/>
      <c r="V140" s="29"/>
      <c r="W140" s="29"/>
      <c r="X140" s="29"/>
      <c r="Y140" s="29"/>
      <c r="Z140" s="29"/>
      <c r="AA140" s="29"/>
      <c r="AB140" s="29"/>
      <c r="AC140" s="29"/>
      <c r="AD140" s="29"/>
      <c r="AE140" s="29"/>
      <c r="AF140" s="29"/>
      <c r="AG140" s="29"/>
      <c r="AH140" s="29"/>
      <c r="AI140" s="29"/>
      <c r="AJ140" s="29"/>
      <c r="AK140" s="29"/>
      <c r="AL140" s="29"/>
      <c r="AM140" s="29"/>
      <c r="AN140" s="29"/>
      <c r="AO140" s="29"/>
      <c r="AP140" s="29"/>
      <c r="AQ140" s="29"/>
      <c r="AR140" s="29"/>
      <c r="AS140" s="29"/>
      <c r="AT140" s="29"/>
      <c r="AU140" s="29"/>
      <c r="AV140" s="29"/>
      <c r="AW140" s="29"/>
      <c r="AX140" s="29"/>
    </row>
    <row r="141" ht="15.75" customHeight="1">
      <c r="A141" s="29"/>
      <c r="B141" s="29"/>
      <c r="C141" s="31"/>
      <c r="D141" s="29"/>
      <c r="E141" s="29"/>
      <c r="F141" s="29"/>
      <c r="G141" s="29"/>
      <c r="H141" s="29"/>
      <c r="I141" s="29"/>
      <c r="J141" s="29"/>
      <c r="K141" s="29"/>
      <c r="L141" s="29"/>
      <c r="M141" s="29"/>
      <c r="N141" s="29"/>
      <c r="O141" s="29"/>
      <c r="P141" s="29"/>
      <c r="Q141" s="29"/>
      <c r="R141" s="29"/>
      <c r="S141" s="29"/>
      <c r="T141" s="29"/>
      <c r="U141" s="29"/>
      <c r="V141" s="29"/>
      <c r="W141" s="29"/>
      <c r="X141" s="29"/>
      <c r="Y141" s="29"/>
      <c r="Z141" s="29"/>
      <c r="AA141" s="29"/>
      <c r="AB141" s="29"/>
      <c r="AC141" s="29"/>
      <c r="AD141" s="29"/>
      <c r="AE141" s="29"/>
      <c r="AF141" s="29"/>
      <c r="AG141" s="29"/>
      <c r="AH141" s="29"/>
      <c r="AI141" s="29"/>
      <c r="AJ141" s="29"/>
      <c r="AK141" s="29"/>
      <c r="AL141" s="29"/>
      <c r="AM141" s="29"/>
      <c r="AN141" s="29"/>
      <c r="AO141" s="29"/>
      <c r="AP141" s="29"/>
      <c r="AQ141" s="29"/>
      <c r="AR141" s="29"/>
      <c r="AS141" s="29"/>
      <c r="AT141" s="29"/>
      <c r="AU141" s="29"/>
      <c r="AV141" s="29"/>
      <c r="AW141" s="29"/>
      <c r="AX141" s="29"/>
    </row>
    <row r="142" ht="15.75" customHeight="1">
      <c r="A142" s="29"/>
      <c r="B142" s="29"/>
      <c r="C142" s="31"/>
      <c r="D142" s="29"/>
      <c r="E142" s="29"/>
      <c r="F142" s="29"/>
      <c r="G142" s="29"/>
      <c r="H142" s="29"/>
      <c r="I142" s="29"/>
      <c r="J142" s="29"/>
      <c r="K142" s="29"/>
      <c r="L142" s="29"/>
      <c r="M142" s="29"/>
      <c r="N142" s="29"/>
      <c r="O142" s="29"/>
      <c r="P142" s="29"/>
      <c r="Q142" s="29"/>
      <c r="R142" s="29"/>
      <c r="S142" s="29"/>
      <c r="T142" s="29"/>
      <c r="U142" s="29"/>
      <c r="V142" s="29"/>
      <c r="W142" s="29"/>
      <c r="X142" s="29"/>
      <c r="Y142" s="29"/>
      <c r="Z142" s="29"/>
      <c r="AA142" s="29"/>
      <c r="AB142" s="29"/>
      <c r="AC142" s="29"/>
      <c r="AD142" s="29"/>
      <c r="AE142" s="29"/>
      <c r="AF142" s="29"/>
      <c r="AG142" s="29"/>
      <c r="AH142" s="29"/>
      <c r="AI142" s="29"/>
      <c r="AJ142" s="29"/>
      <c r="AK142" s="29"/>
      <c r="AL142" s="29"/>
      <c r="AM142" s="29"/>
      <c r="AN142" s="29"/>
      <c r="AO142" s="29"/>
      <c r="AP142" s="29"/>
      <c r="AQ142" s="29"/>
      <c r="AR142" s="29"/>
      <c r="AS142" s="29"/>
      <c r="AT142" s="29"/>
      <c r="AU142" s="29"/>
      <c r="AV142" s="29"/>
      <c r="AW142" s="29"/>
      <c r="AX142" s="29"/>
    </row>
    <row r="143" ht="15.75" customHeight="1">
      <c r="A143" s="29"/>
      <c r="B143" s="29"/>
      <c r="C143" s="31"/>
      <c r="D143" s="29"/>
      <c r="E143" s="29"/>
      <c r="F143" s="29"/>
      <c r="G143" s="29"/>
      <c r="H143" s="29"/>
      <c r="I143" s="29"/>
      <c r="J143" s="29"/>
      <c r="K143" s="29"/>
      <c r="L143" s="29"/>
      <c r="M143" s="29"/>
      <c r="N143" s="29"/>
      <c r="O143" s="29"/>
      <c r="P143" s="29"/>
      <c r="Q143" s="29"/>
      <c r="R143" s="29"/>
      <c r="S143" s="29"/>
      <c r="T143" s="29"/>
      <c r="U143" s="29"/>
      <c r="V143" s="29"/>
      <c r="W143" s="29"/>
      <c r="X143" s="29"/>
      <c r="Y143" s="29"/>
      <c r="Z143" s="29"/>
      <c r="AA143" s="29"/>
      <c r="AB143" s="29"/>
      <c r="AC143" s="29"/>
      <c r="AD143" s="29"/>
      <c r="AE143" s="29"/>
      <c r="AF143" s="29"/>
      <c r="AG143" s="29"/>
      <c r="AH143" s="29"/>
      <c r="AI143" s="29"/>
      <c r="AJ143" s="29"/>
      <c r="AK143" s="29"/>
      <c r="AL143" s="29"/>
      <c r="AM143" s="29"/>
      <c r="AN143" s="29"/>
      <c r="AO143" s="29"/>
      <c r="AP143" s="29"/>
      <c r="AQ143" s="29"/>
      <c r="AR143" s="29"/>
      <c r="AS143" s="29"/>
      <c r="AT143" s="29"/>
      <c r="AU143" s="29"/>
      <c r="AV143" s="29"/>
      <c r="AW143" s="29"/>
      <c r="AX143" s="29"/>
    </row>
    <row r="144" ht="15.75" customHeight="1">
      <c r="A144" s="29"/>
      <c r="B144" s="29"/>
      <c r="C144" s="31"/>
      <c r="D144" s="29"/>
      <c r="E144" s="29"/>
      <c r="F144" s="29"/>
      <c r="G144" s="29"/>
      <c r="H144" s="29"/>
      <c r="I144" s="29"/>
      <c r="J144" s="29"/>
      <c r="K144" s="29"/>
      <c r="L144" s="29"/>
      <c r="M144" s="29"/>
      <c r="N144" s="29"/>
      <c r="O144" s="29"/>
      <c r="P144" s="29"/>
      <c r="Q144" s="29"/>
      <c r="R144" s="29"/>
      <c r="S144" s="29"/>
      <c r="T144" s="29"/>
      <c r="U144" s="29"/>
      <c r="V144" s="29"/>
      <c r="W144" s="29"/>
      <c r="X144" s="29"/>
      <c r="Y144" s="29"/>
      <c r="Z144" s="29"/>
      <c r="AA144" s="29"/>
      <c r="AB144" s="29"/>
      <c r="AC144" s="29"/>
      <c r="AD144" s="29"/>
      <c r="AE144" s="29"/>
      <c r="AF144" s="29"/>
      <c r="AG144" s="29"/>
      <c r="AH144" s="29"/>
      <c r="AI144" s="29"/>
      <c r="AJ144" s="29"/>
      <c r="AK144" s="29"/>
      <c r="AL144" s="29"/>
      <c r="AM144" s="29"/>
      <c r="AN144" s="29"/>
      <c r="AO144" s="29"/>
      <c r="AP144" s="29"/>
      <c r="AQ144" s="29"/>
      <c r="AR144" s="29"/>
      <c r="AS144" s="29"/>
      <c r="AT144" s="29"/>
      <c r="AU144" s="29"/>
      <c r="AV144" s="29"/>
      <c r="AW144" s="29"/>
      <c r="AX144" s="29"/>
    </row>
    <row r="145" ht="15.75" customHeight="1">
      <c r="A145" s="29"/>
      <c r="B145" s="29"/>
      <c r="C145" s="31"/>
      <c r="D145" s="29"/>
      <c r="E145" s="29"/>
      <c r="F145" s="29"/>
      <c r="G145" s="29"/>
      <c r="H145" s="29"/>
      <c r="I145" s="29"/>
      <c r="J145" s="29"/>
      <c r="K145" s="29"/>
      <c r="L145" s="29"/>
      <c r="M145" s="29"/>
      <c r="N145" s="29"/>
      <c r="O145" s="29"/>
      <c r="P145" s="29"/>
      <c r="Q145" s="29"/>
      <c r="R145" s="29"/>
      <c r="S145" s="29"/>
      <c r="T145" s="29"/>
      <c r="U145" s="29"/>
      <c r="V145" s="29"/>
      <c r="W145" s="29"/>
      <c r="X145" s="29"/>
      <c r="Y145" s="29"/>
      <c r="Z145" s="29"/>
      <c r="AA145" s="29"/>
      <c r="AB145" s="29"/>
      <c r="AC145" s="29"/>
      <c r="AD145" s="29"/>
      <c r="AE145" s="29"/>
      <c r="AF145" s="29"/>
      <c r="AG145" s="29"/>
      <c r="AH145" s="29"/>
      <c r="AI145" s="29"/>
      <c r="AJ145" s="29"/>
      <c r="AK145" s="29"/>
      <c r="AL145" s="29"/>
      <c r="AM145" s="29"/>
      <c r="AN145" s="29"/>
      <c r="AO145" s="29"/>
      <c r="AP145" s="29"/>
      <c r="AQ145" s="29"/>
      <c r="AR145" s="29"/>
      <c r="AS145" s="29"/>
      <c r="AT145" s="29"/>
      <c r="AU145" s="29"/>
      <c r="AV145" s="29"/>
      <c r="AW145" s="29"/>
      <c r="AX145" s="29"/>
    </row>
    <row r="146" ht="15.75" customHeight="1">
      <c r="A146" s="29"/>
      <c r="B146" s="29"/>
      <c r="C146" s="31"/>
      <c r="D146" s="29"/>
      <c r="E146" s="29"/>
      <c r="F146" s="29"/>
      <c r="G146" s="29"/>
      <c r="H146" s="29"/>
      <c r="I146" s="29"/>
      <c r="J146" s="29"/>
      <c r="K146" s="29"/>
      <c r="L146" s="29"/>
      <c r="M146" s="29"/>
      <c r="N146" s="29"/>
      <c r="O146" s="29"/>
      <c r="P146" s="29"/>
      <c r="Q146" s="29"/>
      <c r="R146" s="29"/>
      <c r="S146" s="29"/>
      <c r="T146" s="29"/>
      <c r="U146" s="29"/>
      <c r="V146" s="29"/>
      <c r="W146" s="29"/>
      <c r="X146" s="29"/>
      <c r="Y146" s="29"/>
      <c r="Z146" s="29"/>
      <c r="AA146" s="29"/>
      <c r="AB146" s="29"/>
      <c r="AC146" s="29"/>
      <c r="AD146" s="29"/>
      <c r="AE146" s="29"/>
      <c r="AF146" s="29"/>
      <c r="AG146" s="29"/>
      <c r="AH146" s="29"/>
      <c r="AI146" s="29"/>
      <c r="AJ146" s="29"/>
      <c r="AK146" s="29"/>
      <c r="AL146" s="29"/>
      <c r="AM146" s="29"/>
      <c r="AN146" s="29"/>
      <c r="AO146" s="29"/>
      <c r="AP146" s="29"/>
      <c r="AQ146" s="29"/>
      <c r="AR146" s="29"/>
      <c r="AS146" s="29"/>
      <c r="AT146" s="29"/>
      <c r="AU146" s="29"/>
      <c r="AV146" s="29"/>
      <c r="AW146" s="29"/>
      <c r="AX146" s="29"/>
    </row>
    <row r="147" ht="15.75" customHeight="1">
      <c r="A147" s="29"/>
      <c r="B147" s="29"/>
      <c r="C147" s="31"/>
      <c r="D147" s="29"/>
      <c r="E147" s="29"/>
      <c r="F147" s="29"/>
      <c r="G147" s="29"/>
      <c r="H147" s="29"/>
      <c r="I147" s="29"/>
      <c r="J147" s="29"/>
      <c r="K147" s="29"/>
      <c r="L147" s="29"/>
      <c r="M147" s="29"/>
      <c r="N147" s="29"/>
      <c r="O147" s="29"/>
      <c r="P147" s="29"/>
      <c r="Q147" s="29"/>
      <c r="R147" s="29"/>
      <c r="S147" s="29"/>
      <c r="T147" s="29"/>
      <c r="U147" s="29"/>
      <c r="V147" s="29"/>
      <c r="W147" s="29"/>
      <c r="X147" s="29"/>
      <c r="Y147" s="29"/>
      <c r="Z147" s="29"/>
      <c r="AA147" s="29"/>
      <c r="AB147" s="29"/>
      <c r="AC147" s="29"/>
      <c r="AD147" s="29"/>
      <c r="AE147" s="29"/>
      <c r="AF147" s="29"/>
      <c r="AG147" s="29"/>
      <c r="AH147" s="29"/>
      <c r="AI147" s="29"/>
      <c r="AJ147" s="29"/>
      <c r="AK147" s="29"/>
      <c r="AL147" s="29"/>
      <c r="AM147" s="29"/>
      <c r="AN147" s="29"/>
      <c r="AO147" s="29"/>
      <c r="AP147" s="29"/>
      <c r="AQ147" s="29"/>
      <c r="AR147" s="29"/>
      <c r="AS147" s="29"/>
      <c r="AT147" s="29"/>
      <c r="AU147" s="29"/>
      <c r="AV147" s="29"/>
      <c r="AW147" s="29"/>
      <c r="AX147" s="29"/>
    </row>
    <row r="148" ht="15.75" customHeight="1">
      <c r="A148" s="29"/>
      <c r="B148" s="29"/>
      <c r="C148" s="31"/>
      <c r="D148" s="29"/>
      <c r="E148" s="29"/>
      <c r="F148" s="29"/>
      <c r="G148" s="29"/>
      <c r="H148" s="29"/>
      <c r="I148" s="29"/>
      <c r="J148" s="29"/>
      <c r="K148" s="29"/>
      <c r="L148" s="29"/>
      <c r="M148" s="29"/>
      <c r="N148" s="29"/>
      <c r="O148" s="29"/>
      <c r="P148" s="29"/>
      <c r="Q148" s="29"/>
      <c r="R148" s="29"/>
      <c r="S148" s="29"/>
      <c r="T148" s="29"/>
      <c r="U148" s="29"/>
      <c r="V148" s="29"/>
      <c r="W148" s="29"/>
      <c r="X148" s="29"/>
      <c r="Y148" s="29"/>
      <c r="Z148" s="29"/>
      <c r="AA148" s="29"/>
      <c r="AB148" s="29"/>
      <c r="AC148" s="29"/>
      <c r="AD148" s="29"/>
      <c r="AE148" s="29"/>
      <c r="AF148" s="29"/>
      <c r="AG148" s="29"/>
      <c r="AH148" s="29"/>
      <c r="AI148" s="29"/>
      <c r="AJ148" s="29"/>
      <c r="AK148" s="29"/>
      <c r="AL148" s="29"/>
      <c r="AM148" s="29"/>
      <c r="AN148" s="29"/>
      <c r="AO148" s="29"/>
      <c r="AP148" s="29"/>
      <c r="AQ148" s="29"/>
      <c r="AR148" s="29"/>
      <c r="AS148" s="29"/>
      <c r="AT148" s="29"/>
      <c r="AU148" s="29"/>
      <c r="AV148" s="29"/>
      <c r="AW148" s="29"/>
      <c r="AX148" s="29"/>
    </row>
    <row r="149" ht="15.75" customHeight="1">
      <c r="A149" s="29"/>
      <c r="B149" s="29"/>
      <c r="C149" s="31"/>
      <c r="D149" s="29"/>
      <c r="E149" s="29"/>
      <c r="F149" s="29"/>
      <c r="G149" s="29"/>
      <c r="H149" s="29"/>
      <c r="I149" s="29"/>
      <c r="J149" s="29"/>
      <c r="K149" s="29"/>
      <c r="L149" s="29"/>
      <c r="M149" s="29"/>
      <c r="N149" s="29"/>
      <c r="O149" s="29"/>
      <c r="P149" s="29"/>
      <c r="Q149" s="29"/>
      <c r="R149" s="29"/>
      <c r="S149" s="29"/>
      <c r="T149" s="29"/>
      <c r="U149" s="29"/>
      <c r="V149" s="29"/>
      <c r="W149" s="29"/>
      <c r="X149" s="29"/>
      <c r="Y149" s="29"/>
      <c r="Z149" s="29"/>
      <c r="AA149" s="29"/>
      <c r="AB149" s="29"/>
      <c r="AC149" s="29"/>
      <c r="AD149" s="29"/>
      <c r="AE149" s="29"/>
      <c r="AF149" s="29"/>
      <c r="AG149" s="29"/>
      <c r="AH149" s="29"/>
      <c r="AI149" s="29"/>
      <c r="AJ149" s="29"/>
      <c r="AK149" s="29"/>
      <c r="AL149" s="29"/>
      <c r="AM149" s="29"/>
      <c r="AN149" s="29"/>
      <c r="AO149" s="29"/>
      <c r="AP149" s="29"/>
      <c r="AQ149" s="29"/>
      <c r="AR149" s="29"/>
      <c r="AS149" s="29"/>
      <c r="AT149" s="29"/>
      <c r="AU149" s="29"/>
      <c r="AV149" s="29"/>
      <c r="AW149" s="29"/>
      <c r="AX149" s="29"/>
    </row>
    <row r="150" ht="15.75" customHeight="1">
      <c r="A150" s="29"/>
      <c r="B150" s="29"/>
      <c r="C150" s="31"/>
      <c r="D150" s="29"/>
      <c r="E150" s="29"/>
      <c r="F150" s="29"/>
      <c r="G150" s="29"/>
      <c r="H150" s="29"/>
      <c r="I150" s="29"/>
      <c r="J150" s="29"/>
      <c r="K150" s="29"/>
      <c r="L150" s="29"/>
      <c r="M150" s="29"/>
      <c r="N150" s="29"/>
      <c r="O150" s="29"/>
      <c r="P150" s="29"/>
      <c r="Q150" s="29"/>
      <c r="R150" s="29"/>
      <c r="S150" s="29"/>
      <c r="T150" s="29"/>
      <c r="U150" s="29"/>
      <c r="V150" s="29"/>
      <c r="W150" s="29"/>
      <c r="X150" s="29"/>
      <c r="Y150" s="29"/>
      <c r="Z150" s="29"/>
      <c r="AA150" s="29"/>
      <c r="AB150" s="29"/>
      <c r="AC150" s="29"/>
      <c r="AD150" s="29"/>
      <c r="AE150" s="29"/>
      <c r="AF150" s="29"/>
      <c r="AG150" s="29"/>
      <c r="AH150" s="29"/>
      <c r="AI150" s="29"/>
      <c r="AJ150" s="29"/>
      <c r="AK150" s="29"/>
      <c r="AL150" s="29"/>
      <c r="AM150" s="29"/>
      <c r="AN150" s="29"/>
      <c r="AO150" s="29"/>
      <c r="AP150" s="29"/>
      <c r="AQ150" s="29"/>
      <c r="AR150" s="29"/>
      <c r="AS150" s="29"/>
      <c r="AT150" s="29"/>
      <c r="AU150" s="29"/>
      <c r="AV150" s="29"/>
      <c r="AW150" s="29"/>
      <c r="AX150" s="29"/>
    </row>
    <row r="151" ht="15.75" customHeight="1">
      <c r="A151" s="29"/>
      <c r="B151" s="29"/>
      <c r="C151" s="31"/>
      <c r="D151" s="29"/>
      <c r="E151" s="29"/>
      <c r="F151" s="29"/>
      <c r="G151" s="29"/>
      <c r="H151" s="29"/>
      <c r="I151" s="29"/>
      <c r="J151" s="29"/>
      <c r="K151" s="29"/>
      <c r="L151" s="29"/>
      <c r="M151" s="29"/>
      <c r="N151" s="29"/>
      <c r="O151" s="29"/>
      <c r="P151" s="29"/>
      <c r="Q151" s="29"/>
      <c r="R151" s="29"/>
      <c r="S151" s="29"/>
      <c r="T151" s="29"/>
      <c r="U151" s="29"/>
      <c r="V151" s="29"/>
      <c r="W151" s="29"/>
      <c r="X151" s="29"/>
      <c r="Y151" s="29"/>
      <c r="Z151" s="29"/>
      <c r="AA151" s="29"/>
      <c r="AB151" s="29"/>
      <c r="AC151" s="29"/>
      <c r="AD151" s="29"/>
      <c r="AE151" s="29"/>
      <c r="AF151" s="29"/>
      <c r="AG151" s="29"/>
      <c r="AH151" s="29"/>
      <c r="AI151" s="29"/>
      <c r="AJ151" s="29"/>
      <c r="AK151" s="29"/>
      <c r="AL151" s="29"/>
      <c r="AM151" s="29"/>
      <c r="AN151" s="29"/>
      <c r="AO151" s="29"/>
      <c r="AP151" s="29"/>
      <c r="AQ151" s="29"/>
      <c r="AR151" s="29"/>
      <c r="AS151" s="29"/>
      <c r="AT151" s="29"/>
      <c r="AU151" s="29"/>
      <c r="AV151" s="29"/>
      <c r="AW151" s="29"/>
      <c r="AX151" s="29"/>
    </row>
    <row r="152" ht="15.75" customHeight="1">
      <c r="A152" s="29"/>
      <c r="B152" s="29"/>
      <c r="C152" s="31"/>
      <c r="D152" s="29"/>
      <c r="E152" s="29"/>
      <c r="F152" s="29"/>
      <c r="G152" s="29"/>
      <c r="H152" s="29"/>
      <c r="I152" s="29"/>
      <c r="J152" s="29"/>
      <c r="K152" s="29"/>
      <c r="L152" s="29"/>
      <c r="M152" s="29"/>
      <c r="N152" s="29"/>
      <c r="O152" s="29"/>
      <c r="P152" s="29"/>
      <c r="Q152" s="29"/>
      <c r="R152" s="29"/>
      <c r="S152" s="29"/>
      <c r="T152" s="29"/>
      <c r="U152" s="29"/>
      <c r="V152" s="29"/>
      <c r="W152" s="29"/>
      <c r="X152" s="29"/>
      <c r="Y152" s="29"/>
      <c r="Z152" s="29"/>
      <c r="AA152" s="29"/>
      <c r="AB152" s="29"/>
      <c r="AC152" s="29"/>
      <c r="AD152" s="29"/>
      <c r="AE152" s="29"/>
      <c r="AF152" s="29"/>
      <c r="AG152" s="29"/>
      <c r="AH152" s="29"/>
      <c r="AI152" s="29"/>
      <c r="AJ152" s="29"/>
      <c r="AK152" s="29"/>
      <c r="AL152" s="29"/>
      <c r="AM152" s="29"/>
      <c r="AN152" s="29"/>
      <c r="AO152" s="29"/>
      <c r="AP152" s="29"/>
      <c r="AQ152" s="29"/>
      <c r="AR152" s="29"/>
      <c r="AS152" s="29"/>
      <c r="AT152" s="29"/>
      <c r="AU152" s="29"/>
      <c r="AV152" s="29"/>
      <c r="AW152" s="29"/>
      <c r="AX152" s="29"/>
    </row>
    <row r="153" ht="15.75" customHeight="1">
      <c r="A153" s="29"/>
      <c r="B153" s="29"/>
      <c r="C153" s="31"/>
      <c r="D153" s="29"/>
      <c r="E153" s="29"/>
      <c r="F153" s="29"/>
      <c r="G153" s="29"/>
      <c r="H153" s="29"/>
      <c r="I153" s="29"/>
      <c r="J153" s="29"/>
      <c r="K153" s="29"/>
      <c r="L153" s="29"/>
      <c r="M153" s="29"/>
      <c r="N153" s="29"/>
      <c r="O153" s="29"/>
      <c r="P153" s="29"/>
      <c r="Q153" s="29"/>
      <c r="R153" s="29"/>
      <c r="S153" s="29"/>
      <c r="T153" s="29"/>
      <c r="U153" s="29"/>
      <c r="V153" s="29"/>
      <c r="W153" s="29"/>
      <c r="X153" s="29"/>
      <c r="Y153" s="29"/>
      <c r="Z153" s="29"/>
      <c r="AA153" s="29"/>
      <c r="AB153" s="29"/>
      <c r="AC153" s="29"/>
      <c r="AD153" s="29"/>
      <c r="AE153" s="29"/>
      <c r="AF153" s="29"/>
      <c r="AG153" s="29"/>
      <c r="AH153" s="29"/>
      <c r="AI153" s="29"/>
      <c r="AJ153" s="29"/>
      <c r="AK153" s="29"/>
      <c r="AL153" s="29"/>
      <c r="AM153" s="29"/>
      <c r="AN153" s="29"/>
      <c r="AO153" s="29"/>
      <c r="AP153" s="29"/>
      <c r="AQ153" s="29"/>
      <c r="AR153" s="29"/>
      <c r="AS153" s="29"/>
      <c r="AT153" s="29"/>
      <c r="AU153" s="29"/>
      <c r="AV153" s="29"/>
      <c r="AW153" s="29"/>
      <c r="AX153" s="29"/>
    </row>
    <row r="154" ht="15.75" customHeight="1">
      <c r="A154" s="29"/>
      <c r="B154" s="29"/>
      <c r="C154" s="31"/>
      <c r="D154" s="29"/>
      <c r="E154" s="29"/>
      <c r="F154" s="29"/>
      <c r="G154" s="29"/>
      <c r="H154" s="29"/>
      <c r="I154" s="29"/>
      <c r="J154" s="29"/>
      <c r="K154" s="29"/>
      <c r="L154" s="29"/>
      <c r="M154" s="29"/>
      <c r="N154" s="29"/>
      <c r="O154" s="29"/>
      <c r="P154" s="29"/>
      <c r="Q154" s="29"/>
      <c r="R154" s="29"/>
      <c r="S154" s="29"/>
      <c r="T154" s="29"/>
      <c r="U154" s="29"/>
      <c r="V154" s="29"/>
      <c r="W154" s="29"/>
      <c r="X154" s="29"/>
      <c r="Y154" s="29"/>
      <c r="Z154" s="29"/>
      <c r="AA154" s="29"/>
      <c r="AB154" s="29"/>
      <c r="AC154" s="29"/>
      <c r="AD154" s="29"/>
      <c r="AE154" s="29"/>
      <c r="AF154" s="29"/>
      <c r="AG154" s="29"/>
      <c r="AH154" s="29"/>
      <c r="AI154" s="29"/>
      <c r="AJ154" s="29"/>
      <c r="AK154" s="29"/>
      <c r="AL154" s="29"/>
      <c r="AM154" s="29"/>
      <c r="AN154" s="29"/>
      <c r="AO154" s="29"/>
      <c r="AP154" s="29"/>
      <c r="AQ154" s="29"/>
      <c r="AR154" s="29"/>
      <c r="AS154" s="29"/>
      <c r="AT154" s="29"/>
      <c r="AU154" s="29"/>
      <c r="AV154" s="29"/>
      <c r="AW154" s="29"/>
      <c r="AX154" s="29"/>
    </row>
    <row r="155" ht="15.75" customHeight="1">
      <c r="A155" s="29"/>
      <c r="B155" s="29"/>
      <c r="C155" s="31"/>
      <c r="D155" s="29"/>
      <c r="E155" s="29"/>
      <c r="F155" s="29"/>
      <c r="G155" s="29"/>
      <c r="H155" s="29"/>
      <c r="I155" s="29"/>
      <c r="J155" s="29"/>
      <c r="K155" s="29"/>
      <c r="L155" s="29"/>
      <c r="M155" s="29"/>
      <c r="N155" s="29"/>
      <c r="O155" s="29"/>
      <c r="P155" s="29"/>
      <c r="Q155" s="29"/>
      <c r="R155" s="29"/>
      <c r="S155" s="29"/>
      <c r="T155" s="29"/>
      <c r="U155" s="29"/>
      <c r="V155" s="29"/>
      <c r="W155" s="29"/>
      <c r="X155" s="29"/>
      <c r="Y155" s="29"/>
      <c r="Z155" s="29"/>
      <c r="AA155" s="29"/>
      <c r="AB155" s="29"/>
      <c r="AC155" s="29"/>
      <c r="AD155" s="29"/>
      <c r="AE155" s="29"/>
      <c r="AF155" s="29"/>
      <c r="AG155" s="29"/>
      <c r="AH155" s="29"/>
      <c r="AI155" s="29"/>
      <c r="AJ155" s="29"/>
      <c r="AK155" s="29"/>
      <c r="AL155" s="29"/>
      <c r="AM155" s="29"/>
      <c r="AN155" s="29"/>
      <c r="AO155" s="29"/>
      <c r="AP155" s="29"/>
      <c r="AQ155" s="29"/>
      <c r="AR155" s="29"/>
      <c r="AS155" s="29"/>
      <c r="AT155" s="29"/>
      <c r="AU155" s="29"/>
      <c r="AV155" s="29"/>
      <c r="AW155" s="29"/>
      <c r="AX155" s="29"/>
    </row>
    <row r="156" ht="15.75" customHeight="1">
      <c r="A156" s="29"/>
      <c r="B156" s="29"/>
      <c r="C156" s="31"/>
      <c r="D156" s="29"/>
      <c r="E156" s="29"/>
      <c r="F156" s="29"/>
      <c r="G156" s="29"/>
      <c r="H156" s="29"/>
      <c r="I156" s="29"/>
      <c r="J156" s="29"/>
      <c r="K156" s="29"/>
      <c r="L156" s="29"/>
      <c r="M156" s="29"/>
      <c r="N156" s="29"/>
      <c r="O156" s="29"/>
      <c r="P156" s="29"/>
      <c r="Q156" s="29"/>
      <c r="R156" s="29"/>
      <c r="S156" s="29"/>
      <c r="T156" s="29"/>
      <c r="U156" s="29"/>
      <c r="V156" s="29"/>
      <c r="W156" s="29"/>
      <c r="X156" s="29"/>
      <c r="Y156" s="29"/>
      <c r="Z156" s="29"/>
      <c r="AA156" s="29"/>
      <c r="AB156" s="29"/>
      <c r="AC156" s="29"/>
      <c r="AD156" s="29"/>
      <c r="AE156" s="29"/>
      <c r="AF156" s="29"/>
      <c r="AG156" s="29"/>
      <c r="AH156" s="29"/>
      <c r="AI156" s="29"/>
      <c r="AJ156" s="29"/>
      <c r="AK156" s="29"/>
      <c r="AL156" s="29"/>
      <c r="AM156" s="29"/>
      <c r="AN156" s="29"/>
      <c r="AO156" s="29"/>
      <c r="AP156" s="29"/>
      <c r="AQ156" s="29"/>
      <c r="AR156" s="29"/>
      <c r="AS156" s="29"/>
      <c r="AT156" s="29"/>
      <c r="AU156" s="29"/>
      <c r="AV156" s="29"/>
      <c r="AW156" s="29"/>
      <c r="AX156" s="29"/>
    </row>
    <row r="157" ht="15.75" customHeight="1">
      <c r="A157" s="29"/>
      <c r="B157" s="29"/>
      <c r="C157" s="31"/>
      <c r="D157" s="29"/>
      <c r="E157" s="29"/>
      <c r="F157" s="29"/>
      <c r="G157" s="29"/>
      <c r="H157" s="29"/>
      <c r="I157" s="29"/>
      <c r="J157" s="29"/>
      <c r="K157" s="29"/>
      <c r="L157" s="29"/>
      <c r="M157" s="29"/>
      <c r="N157" s="29"/>
      <c r="O157" s="29"/>
      <c r="P157" s="29"/>
      <c r="Q157" s="29"/>
      <c r="R157" s="29"/>
      <c r="S157" s="29"/>
      <c r="T157" s="29"/>
      <c r="U157" s="29"/>
      <c r="V157" s="29"/>
      <c r="W157" s="29"/>
      <c r="X157" s="29"/>
      <c r="Y157" s="29"/>
      <c r="Z157" s="29"/>
      <c r="AA157" s="29"/>
      <c r="AB157" s="29"/>
      <c r="AC157" s="29"/>
      <c r="AD157" s="29"/>
      <c r="AE157" s="29"/>
      <c r="AF157" s="29"/>
      <c r="AG157" s="29"/>
      <c r="AH157" s="29"/>
      <c r="AI157" s="29"/>
      <c r="AJ157" s="29"/>
      <c r="AK157" s="29"/>
      <c r="AL157" s="29"/>
      <c r="AM157" s="29"/>
      <c r="AN157" s="29"/>
      <c r="AO157" s="29"/>
      <c r="AP157" s="29"/>
      <c r="AQ157" s="29"/>
      <c r="AR157" s="29"/>
      <c r="AS157" s="29"/>
      <c r="AT157" s="29"/>
      <c r="AU157" s="29"/>
      <c r="AV157" s="29"/>
      <c r="AW157" s="29"/>
      <c r="AX157" s="29"/>
    </row>
    <row r="158" ht="15.75" customHeight="1">
      <c r="A158" s="29"/>
      <c r="B158" s="29"/>
      <c r="C158" s="31"/>
      <c r="D158" s="29"/>
      <c r="E158" s="29"/>
      <c r="F158" s="29"/>
      <c r="G158" s="29"/>
      <c r="H158" s="29"/>
      <c r="I158" s="29"/>
      <c r="J158" s="29"/>
      <c r="K158" s="29"/>
      <c r="L158" s="29"/>
      <c r="M158" s="29"/>
      <c r="N158" s="29"/>
      <c r="O158" s="29"/>
      <c r="P158" s="29"/>
      <c r="Q158" s="29"/>
      <c r="R158" s="29"/>
      <c r="S158" s="29"/>
      <c r="T158" s="29"/>
      <c r="U158" s="29"/>
      <c r="V158" s="29"/>
      <c r="W158" s="29"/>
      <c r="X158" s="29"/>
      <c r="Y158" s="29"/>
      <c r="Z158" s="29"/>
      <c r="AA158" s="29"/>
      <c r="AB158" s="29"/>
      <c r="AC158" s="29"/>
      <c r="AD158" s="29"/>
      <c r="AE158" s="29"/>
      <c r="AF158" s="29"/>
      <c r="AG158" s="29"/>
      <c r="AH158" s="29"/>
      <c r="AI158" s="29"/>
      <c r="AJ158" s="29"/>
      <c r="AK158" s="29"/>
      <c r="AL158" s="29"/>
      <c r="AM158" s="29"/>
      <c r="AN158" s="29"/>
      <c r="AO158" s="29"/>
      <c r="AP158" s="29"/>
      <c r="AQ158" s="29"/>
      <c r="AR158" s="29"/>
      <c r="AS158" s="29"/>
      <c r="AT158" s="29"/>
      <c r="AU158" s="29"/>
      <c r="AV158" s="29"/>
      <c r="AW158" s="29"/>
      <c r="AX158" s="29"/>
    </row>
    <row r="159" ht="15.75" customHeight="1">
      <c r="A159" s="29"/>
      <c r="B159" s="29"/>
      <c r="C159" s="31"/>
      <c r="D159" s="29"/>
      <c r="E159" s="29"/>
      <c r="F159" s="29"/>
      <c r="G159" s="29"/>
      <c r="H159" s="29"/>
      <c r="I159" s="29"/>
      <c r="J159" s="29"/>
      <c r="K159" s="29"/>
      <c r="L159" s="29"/>
      <c r="M159" s="29"/>
      <c r="N159" s="29"/>
      <c r="O159" s="29"/>
      <c r="P159" s="29"/>
      <c r="Q159" s="29"/>
      <c r="R159" s="29"/>
      <c r="S159" s="29"/>
      <c r="T159" s="29"/>
      <c r="U159" s="29"/>
      <c r="V159" s="29"/>
      <c r="W159" s="29"/>
      <c r="X159" s="29"/>
      <c r="Y159" s="29"/>
      <c r="Z159" s="29"/>
      <c r="AA159" s="29"/>
      <c r="AB159" s="29"/>
      <c r="AC159" s="29"/>
      <c r="AD159" s="29"/>
      <c r="AE159" s="29"/>
      <c r="AF159" s="29"/>
      <c r="AG159" s="29"/>
      <c r="AH159" s="29"/>
      <c r="AI159" s="29"/>
      <c r="AJ159" s="29"/>
      <c r="AK159" s="29"/>
      <c r="AL159" s="29"/>
      <c r="AM159" s="29"/>
      <c r="AN159" s="29"/>
      <c r="AO159" s="29"/>
      <c r="AP159" s="29"/>
      <c r="AQ159" s="29"/>
      <c r="AR159" s="29"/>
      <c r="AS159" s="29"/>
      <c r="AT159" s="29"/>
      <c r="AU159" s="29"/>
      <c r="AV159" s="29"/>
      <c r="AW159" s="29"/>
      <c r="AX159" s="29"/>
    </row>
    <row r="160" ht="15.75" customHeight="1">
      <c r="A160" s="29"/>
      <c r="B160" s="29"/>
      <c r="C160" s="31"/>
      <c r="D160" s="29"/>
      <c r="E160" s="29"/>
      <c r="F160" s="29"/>
      <c r="G160" s="29"/>
      <c r="H160" s="29"/>
      <c r="I160" s="29"/>
      <c r="J160" s="29"/>
      <c r="K160" s="29"/>
      <c r="L160" s="29"/>
      <c r="M160" s="29"/>
      <c r="N160" s="29"/>
      <c r="O160" s="29"/>
      <c r="P160" s="29"/>
      <c r="Q160" s="29"/>
      <c r="R160" s="29"/>
      <c r="S160" s="29"/>
      <c r="T160" s="29"/>
      <c r="U160" s="29"/>
      <c r="V160" s="29"/>
      <c r="W160" s="29"/>
      <c r="X160" s="29"/>
      <c r="Y160" s="29"/>
      <c r="Z160" s="29"/>
      <c r="AA160" s="29"/>
      <c r="AB160" s="29"/>
      <c r="AC160" s="29"/>
      <c r="AD160" s="29"/>
      <c r="AE160" s="29"/>
      <c r="AF160" s="29"/>
      <c r="AG160" s="29"/>
      <c r="AH160" s="29"/>
      <c r="AI160" s="29"/>
      <c r="AJ160" s="29"/>
      <c r="AK160" s="29"/>
      <c r="AL160" s="29"/>
      <c r="AM160" s="29"/>
      <c r="AN160" s="29"/>
      <c r="AO160" s="29"/>
      <c r="AP160" s="29"/>
      <c r="AQ160" s="29"/>
      <c r="AR160" s="29"/>
      <c r="AS160" s="29"/>
      <c r="AT160" s="29"/>
      <c r="AU160" s="29"/>
      <c r="AV160" s="29"/>
      <c r="AW160" s="29"/>
      <c r="AX160" s="29"/>
    </row>
    <row r="161" ht="15.75" customHeight="1">
      <c r="A161" s="29"/>
      <c r="B161" s="29"/>
      <c r="C161" s="31"/>
      <c r="D161" s="29"/>
      <c r="E161" s="29"/>
      <c r="F161" s="29"/>
      <c r="G161" s="29"/>
      <c r="H161" s="29"/>
      <c r="I161" s="29"/>
      <c r="J161" s="29"/>
      <c r="K161" s="29"/>
      <c r="L161" s="29"/>
      <c r="M161" s="29"/>
      <c r="N161" s="29"/>
      <c r="O161" s="29"/>
      <c r="P161" s="29"/>
      <c r="Q161" s="29"/>
      <c r="R161" s="29"/>
      <c r="S161" s="29"/>
      <c r="T161" s="29"/>
      <c r="U161" s="29"/>
      <c r="V161" s="29"/>
      <c r="W161" s="29"/>
      <c r="X161" s="29"/>
      <c r="Y161" s="29"/>
      <c r="Z161" s="29"/>
      <c r="AA161" s="29"/>
      <c r="AB161" s="29"/>
      <c r="AC161" s="29"/>
      <c r="AD161" s="29"/>
      <c r="AE161" s="29"/>
      <c r="AF161" s="29"/>
      <c r="AG161" s="29"/>
      <c r="AH161" s="29"/>
      <c r="AI161" s="29"/>
      <c r="AJ161" s="29"/>
      <c r="AK161" s="29"/>
      <c r="AL161" s="29"/>
      <c r="AM161" s="29"/>
      <c r="AN161" s="29"/>
      <c r="AO161" s="29"/>
      <c r="AP161" s="29"/>
      <c r="AQ161" s="29"/>
      <c r="AR161" s="29"/>
      <c r="AS161" s="29"/>
      <c r="AT161" s="29"/>
      <c r="AU161" s="29"/>
      <c r="AV161" s="29"/>
      <c r="AW161" s="29"/>
      <c r="AX161" s="29"/>
    </row>
    <row r="162" ht="15.75" customHeight="1">
      <c r="A162" s="29"/>
      <c r="B162" s="29"/>
      <c r="C162" s="31"/>
      <c r="D162" s="29"/>
      <c r="E162" s="29"/>
      <c r="F162" s="29"/>
      <c r="G162" s="29"/>
      <c r="H162" s="29"/>
      <c r="I162" s="29"/>
      <c r="J162" s="29"/>
      <c r="K162" s="29"/>
      <c r="L162" s="29"/>
      <c r="M162" s="29"/>
      <c r="N162" s="29"/>
      <c r="O162" s="29"/>
      <c r="P162" s="29"/>
      <c r="Q162" s="29"/>
      <c r="R162" s="29"/>
      <c r="S162" s="29"/>
      <c r="T162" s="29"/>
      <c r="U162" s="29"/>
      <c r="V162" s="29"/>
      <c r="W162" s="29"/>
      <c r="X162" s="29"/>
      <c r="Y162" s="29"/>
      <c r="Z162" s="29"/>
      <c r="AA162" s="29"/>
      <c r="AB162" s="29"/>
      <c r="AC162" s="29"/>
      <c r="AD162" s="29"/>
      <c r="AE162" s="29"/>
      <c r="AF162" s="29"/>
      <c r="AG162" s="29"/>
      <c r="AH162" s="29"/>
      <c r="AI162" s="29"/>
      <c r="AJ162" s="29"/>
      <c r="AK162" s="29"/>
      <c r="AL162" s="29"/>
      <c r="AM162" s="29"/>
      <c r="AN162" s="29"/>
      <c r="AO162" s="29"/>
      <c r="AP162" s="29"/>
      <c r="AQ162" s="29"/>
      <c r="AR162" s="29"/>
      <c r="AS162" s="29"/>
      <c r="AT162" s="29"/>
      <c r="AU162" s="29"/>
      <c r="AV162" s="29"/>
      <c r="AW162" s="29"/>
      <c r="AX162" s="29"/>
    </row>
    <row r="163" ht="15.75" customHeight="1">
      <c r="A163" s="29"/>
      <c r="B163" s="29"/>
      <c r="C163" s="31"/>
      <c r="D163" s="29"/>
      <c r="E163" s="29"/>
      <c r="F163" s="29"/>
      <c r="G163" s="29"/>
      <c r="H163" s="29"/>
      <c r="I163" s="29"/>
      <c r="J163" s="29"/>
      <c r="K163" s="29"/>
      <c r="L163" s="29"/>
      <c r="M163" s="29"/>
      <c r="N163" s="29"/>
      <c r="O163" s="29"/>
      <c r="P163" s="29"/>
      <c r="Q163" s="29"/>
      <c r="R163" s="29"/>
      <c r="S163" s="29"/>
      <c r="T163" s="29"/>
      <c r="U163" s="29"/>
      <c r="V163" s="29"/>
      <c r="W163" s="29"/>
      <c r="X163" s="29"/>
      <c r="Y163" s="29"/>
      <c r="Z163" s="29"/>
      <c r="AA163" s="29"/>
      <c r="AB163" s="29"/>
      <c r="AC163" s="29"/>
      <c r="AD163" s="29"/>
      <c r="AE163" s="29"/>
      <c r="AF163" s="29"/>
      <c r="AG163" s="29"/>
      <c r="AH163" s="29"/>
      <c r="AI163" s="29"/>
      <c r="AJ163" s="29"/>
      <c r="AK163" s="29"/>
      <c r="AL163" s="29"/>
      <c r="AM163" s="29"/>
      <c r="AN163" s="29"/>
      <c r="AO163" s="29"/>
      <c r="AP163" s="29"/>
      <c r="AQ163" s="29"/>
      <c r="AR163" s="29"/>
      <c r="AS163" s="29"/>
      <c r="AT163" s="29"/>
      <c r="AU163" s="29"/>
      <c r="AV163" s="29"/>
      <c r="AW163" s="29"/>
      <c r="AX163" s="29"/>
    </row>
    <row r="164" ht="15.75" customHeight="1">
      <c r="A164" s="29"/>
      <c r="B164" s="29"/>
      <c r="C164" s="31"/>
      <c r="D164" s="29"/>
      <c r="E164" s="29"/>
      <c r="F164" s="29"/>
      <c r="G164" s="29"/>
      <c r="H164" s="29"/>
      <c r="I164" s="29"/>
      <c r="J164" s="29"/>
      <c r="K164" s="29"/>
      <c r="L164" s="29"/>
      <c r="M164" s="29"/>
      <c r="N164" s="29"/>
      <c r="O164" s="29"/>
      <c r="P164" s="29"/>
      <c r="Q164" s="29"/>
      <c r="R164" s="29"/>
      <c r="S164" s="29"/>
      <c r="T164" s="29"/>
      <c r="U164" s="29"/>
      <c r="V164" s="29"/>
      <c r="W164" s="29"/>
      <c r="X164" s="29"/>
      <c r="Y164" s="29"/>
      <c r="Z164" s="29"/>
      <c r="AA164" s="29"/>
      <c r="AB164" s="29"/>
      <c r="AC164" s="29"/>
      <c r="AD164" s="29"/>
      <c r="AE164" s="29"/>
      <c r="AF164" s="29"/>
      <c r="AG164" s="29"/>
      <c r="AH164" s="29"/>
      <c r="AI164" s="29"/>
      <c r="AJ164" s="29"/>
      <c r="AK164" s="29"/>
      <c r="AL164" s="29"/>
      <c r="AM164" s="29"/>
      <c r="AN164" s="29"/>
      <c r="AO164" s="29"/>
      <c r="AP164" s="29"/>
      <c r="AQ164" s="29"/>
      <c r="AR164" s="29"/>
      <c r="AS164" s="29"/>
      <c r="AT164" s="29"/>
      <c r="AU164" s="29"/>
      <c r="AV164" s="29"/>
      <c r="AW164" s="29"/>
      <c r="AX164" s="29"/>
    </row>
    <row r="165" ht="15.75" customHeight="1">
      <c r="A165" s="29"/>
      <c r="B165" s="29"/>
      <c r="C165" s="31"/>
      <c r="D165" s="29"/>
      <c r="E165" s="29"/>
      <c r="F165" s="29"/>
      <c r="G165" s="29"/>
      <c r="H165" s="29"/>
      <c r="I165" s="29"/>
      <c r="J165" s="29"/>
      <c r="K165" s="29"/>
      <c r="L165" s="29"/>
      <c r="M165" s="29"/>
      <c r="N165" s="29"/>
      <c r="O165" s="29"/>
      <c r="P165" s="29"/>
      <c r="Q165" s="29"/>
      <c r="R165" s="29"/>
      <c r="S165" s="29"/>
      <c r="T165" s="29"/>
      <c r="U165" s="29"/>
      <c r="V165" s="29"/>
      <c r="W165" s="29"/>
      <c r="X165" s="29"/>
      <c r="Y165" s="29"/>
      <c r="Z165" s="29"/>
      <c r="AA165" s="29"/>
      <c r="AB165" s="29"/>
      <c r="AC165" s="29"/>
      <c r="AD165" s="29"/>
      <c r="AE165" s="29"/>
      <c r="AF165" s="29"/>
      <c r="AG165" s="29"/>
      <c r="AH165" s="29"/>
      <c r="AI165" s="29"/>
      <c r="AJ165" s="29"/>
      <c r="AK165" s="29"/>
      <c r="AL165" s="29"/>
      <c r="AM165" s="29"/>
      <c r="AN165" s="29"/>
      <c r="AO165" s="29"/>
      <c r="AP165" s="29"/>
      <c r="AQ165" s="29"/>
      <c r="AR165" s="29"/>
      <c r="AS165" s="29"/>
      <c r="AT165" s="29"/>
      <c r="AU165" s="29"/>
      <c r="AV165" s="29"/>
      <c r="AW165" s="29"/>
      <c r="AX165" s="29"/>
    </row>
    <row r="166" ht="15.75" customHeight="1">
      <c r="A166" s="29"/>
      <c r="B166" s="29"/>
      <c r="C166" s="31"/>
      <c r="D166" s="29"/>
      <c r="E166" s="29"/>
      <c r="F166" s="29"/>
      <c r="G166" s="29"/>
      <c r="H166" s="29"/>
      <c r="I166" s="29"/>
      <c r="J166" s="29"/>
      <c r="K166" s="29"/>
      <c r="L166" s="29"/>
      <c r="M166" s="29"/>
      <c r="N166" s="29"/>
      <c r="O166" s="29"/>
      <c r="P166" s="29"/>
      <c r="Q166" s="29"/>
      <c r="R166" s="29"/>
      <c r="S166" s="29"/>
      <c r="T166" s="29"/>
      <c r="U166" s="29"/>
      <c r="V166" s="29"/>
      <c r="W166" s="29"/>
      <c r="X166" s="29"/>
      <c r="Y166" s="29"/>
      <c r="Z166" s="29"/>
      <c r="AA166" s="29"/>
      <c r="AB166" s="29"/>
      <c r="AC166" s="29"/>
      <c r="AD166" s="29"/>
      <c r="AE166" s="29"/>
      <c r="AF166" s="29"/>
      <c r="AG166" s="29"/>
      <c r="AH166" s="29"/>
      <c r="AI166" s="29"/>
      <c r="AJ166" s="29"/>
      <c r="AK166" s="29"/>
      <c r="AL166" s="29"/>
      <c r="AM166" s="29"/>
      <c r="AN166" s="29"/>
      <c r="AO166" s="29"/>
      <c r="AP166" s="29"/>
      <c r="AQ166" s="29"/>
      <c r="AR166" s="29"/>
      <c r="AS166" s="29"/>
      <c r="AT166" s="29"/>
      <c r="AU166" s="29"/>
      <c r="AV166" s="29"/>
      <c r="AW166" s="29"/>
      <c r="AX166" s="29"/>
    </row>
    <row r="167" ht="15.75" customHeight="1">
      <c r="A167" s="29"/>
      <c r="B167" s="29"/>
      <c r="C167" s="31"/>
      <c r="D167" s="29"/>
      <c r="E167" s="29"/>
      <c r="F167" s="29"/>
      <c r="G167" s="29"/>
      <c r="H167" s="29"/>
      <c r="I167" s="29"/>
      <c r="J167" s="29"/>
      <c r="K167" s="29"/>
      <c r="L167" s="29"/>
      <c r="M167" s="29"/>
      <c r="N167" s="29"/>
      <c r="O167" s="29"/>
      <c r="P167" s="29"/>
      <c r="Q167" s="29"/>
      <c r="R167" s="29"/>
      <c r="S167" s="29"/>
      <c r="T167" s="29"/>
      <c r="U167" s="29"/>
      <c r="V167" s="29"/>
      <c r="W167" s="29"/>
      <c r="X167" s="29"/>
      <c r="Y167" s="29"/>
      <c r="Z167" s="29"/>
      <c r="AA167" s="29"/>
      <c r="AB167" s="29"/>
      <c r="AC167" s="29"/>
      <c r="AD167" s="29"/>
      <c r="AE167" s="29"/>
      <c r="AF167" s="29"/>
      <c r="AG167" s="29"/>
      <c r="AH167" s="29"/>
      <c r="AI167" s="29"/>
      <c r="AJ167" s="29"/>
      <c r="AK167" s="29"/>
      <c r="AL167" s="29"/>
      <c r="AM167" s="29"/>
      <c r="AN167" s="29"/>
      <c r="AO167" s="29"/>
      <c r="AP167" s="29"/>
      <c r="AQ167" s="29"/>
      <c r="AR167" s="29"/>
      <c r="AS167" s="29"/>
      <c r="AT167" s="29"/>
      <c r="AU167" s="29"/>
      <c r="AV167" s="29"/>
      <c r="AW167" s="29"/>
      <c r="AX167" s="29"/>
    </row>
    <row r="168" ht="15.75" customHeight="1">
      <c r="A168" s="29"/>
      <c r="B168" s="29"/>
      <c r="C168" s="31"/>
      <c r="D168" s="29"/>
      <c r="E168" s="29"/>
      <c r="F168" s="29"/>
      <c r="G168" s="29"/>
      <c r="H168" s="29"/>
      <c r="I168" s="29"/>
      <c r="J168" s="29"/>
      <c r="K168" s="29"/>
      <c r="L168" s="29"/>
      <c r="M168" s="29"/>
      <c r="N168" s="29"/>
      <c r="O168" s="29"/>
      <c r="P168" s="29"/>
      <c r="Q168" s="29"/>
      <c r="R168" s="29"/>
      <c r="S168" s="29"/>
      <c r="T168" s="29"/>
      <c r="U168" s="29"/>
      <c r="V168" s="29"/>
      <c r="W168" s="29"/>
      <c r="X168" s="29"/>
      <c r="Y168" s="29"/>
      <c r="Z168" s="29"/>
      <c r="AA168" s="29"/>
      <c r="AB168" s="29"/>
      <c r="AC168" s="29"/>
      <c r="AD168" s="29"/>
      <c r="AE168" s="29"/>
      <c r="AF168" s="29"/>
      <c r="AG168" s="29"/>
      <c r="AH168" s="29"/>
      <c r="AI168" s="29"/>
      <c r="AJ168" s="29"/>
      <c r="AK168" s="29"/>
      <c r="AL168" s="29"/>
      <c r="AM168" s="29"/>
      <c r="AN168" s="29"/>
      <c r="AO168" s="29"/>
      <c r="AP168" s="29"/>
      <c r="AQ168" s="29"/>
      <c r="AR168" s="29"/>
      <c r="AS168" s="29"/>
      <c r="AT168" s="29"/>
      <c r="AU168" s="29"/>
      <c r="AV168" s="29"/>
      <c r="AW168" s="29"/>
      <c r="AX168" s="29"/>
    </row>
    <row r="169" ht="15.75" customHeight="1">
      <c r="A169" s="29"/>
      <c r="B169" s="29"/>
      <c r="C169" s="31"/>
      <c r="D169" s="29"/>
      <c r="E169" s="29"/>
      <c r="F169" s="29"/>
      <c r="G169" s="29"/>
      <c r="H169" s="29"/>
      <c r="I169" s="29"/>
      <c r="J169" s="29"/>
      <c r="K169" s="29"/>
      <c r="L169" s="29"/>
      <c r="M169" s="29"/>
      <c r="N169" s="29"/>
      <c r="O169" s="29"/>
      <c r="P169" s="29"/>
      <c r="Q169" s="29"/>
      <c r="R169" s="29"/>
      <c r="S169" s="29"/>
      <c r="T169" s="29"/>
      <c r="U169" s="29"/>
      <c r="V169" s="29"/>
      <c r="W169" s="29"/>
      <c r="X169" s="29"/>
      <c r="Y169" s="29"/>
      <c r="Z169" s="29"/>
      <c r="AA169" s="29"/>
      <c r="AB169" s="29"/>
      <c r="AC169" s="29"/>
      <c r="AD169" s="29"/>
      <c r="AE169" s="29"/>
      <c r="AF169" s="29"/>
      <c r="AG169" s="29"/>
      <c r="AH169" s="29"/>
      <c r="AI169" s="29"/>
      <c r="AJ169" s="29"/>
      <c r="AK169" s="29"/>
      <c r="AL169" s="29"/>
      <c r="AM169" s="29"/>
      <c r="AN169" s="29"/>
      <c r="AO169" s="29"/>
      <c r="AP169" s="29"/>
      <c r="AQ169" s="29"/>
      <c r="AR169" s="29"/>
      <c r="AS169" s="29"/>
      <c r="AT169" s="29"/>
      <c r="AU169" s="29"/>
      <c r="AV169" s="29"/>
      <c r="AW169" s="29"/>
      <c r="AX169" s="29"/>
    </row>
    <row r="170" ht="15.75" customHeight="1">
      <c r="A170" s="29"/>
      <c r="B170" s="29"/>
      <c r="C170" s="31"/>
      <c r="D170" s="29"/>
      <c r="E170" s="29"/>
      <c r="F170" s="29"/>
      <c r="G170" s="29"/>
      <c r="H170" s="29"/>
      <c r="I170" s="29"/>
      <c r="J170" s="29"/>
      <c r="K170" s="29"/>
      <c r="L170" s="29"/>
      <c r="M170" s="29"/>
      <c r="N170" s="29"/>
      <c r="O170" s="29"/>
      <c r="P170" s="29"/>
      <c r="Q170" s="29"/>
      <c r="R170" s="29"/>
      <c r="S170" s="29"/>
      <c r="T170" s="29"/>
      <c r="U170" s="29"/>
      <c r="V170" s="29"/>
      <c r="W170" s="29"/>
      <c r="X170" s="29"/>
      <c r="Y170" s="29"/>
      <c r="Z170" s="29"/>
      <c r="AA170" s="29"/>
      <c r="AB170" s="29"/>
      <c r="AC170" s="29"/>
      <c r="AD170" s="29"/>
      <c r="AE170" s="29"/>
      <c r="AF170" s="29"/>
      <c r="AG170" s="29"/>
      <c r="AH170" s="29"/>
      <c r="AI170" s="29"/>
      <c r="AJ170" s="29"/>
      <c r="AK170" s="29"/>
      <c r="AL170" s="29"/>
      <c r="AM170" s="29"/>
      <c r="AN170" s="29"/>
      <c r="AO170" s="29"/>
      <c r="AP170" s="29"/>
      <c r="AQ170" s="29"/>
      <c r="AR170" s="29"/>
      <c r="AS170" s="29"/>
      <c r="AT170" s="29"/>
      <c r="AU170" s="29"/>
      <c r="AV170" s="29"/>
      <c r="AW170" s="29"/>
      <c r="AX170" s="29"/>
    </row>
    <row r="171" ht="15.75" customHeight="1">
      <c r="A171" s="29"/>
      <c r="B171" s="29"/>
      <c r="C171" s="31"/>
      <c r="D171" s="29"/>
      <c r="E171" s="29"/>
      <c r="F171" s="29"/>
      <c r="G171" s="29"/>
      <c r="H171" s="29"/>
      <c r="I171" s="29"/>
      <c r="J171" s="29"/>
      <c r="K171" s="29"/>
      <c r="L171" s="29"/>
      <c r="M171" s="29"/>
      <c r="N171" s="29"/>
      <c r="O171" s="29"/>
      <c r="P171" s="29"/>
      <c r="Q171" s="29"/>
      <c r="R171" s="29"/>
      <c r="S171" s="29"/>
      <c r="T171" s="29"/>
      <c r="U171" s="29"/>
      <c r="V171" s="29"/>
      <c r="W171" s="29"/>
      <c r="X171" s="29"/>
      <c r="Y171" s="29"/>
      <c r="Z171" s="29"/>
      <c r="AA171" s="29"/>
      <c r="AB171" s="29"/>
      <c r="AC171" s="29"/>
      <c r="AD171" s="29"/>
      <c r="AE171" s="29"/>
      <c r="AF171" s="29"/>
      <c r="AG171" s="29"/>
      <c r="AH171" s="29"/>
      <c r="AI171" s="29"/>
      <c r="AJ171" s="29"/>
      <c r="AK171" s="29"/>
      <c r="AL171" s="29"/>
      <c r="AM171" s="29"/>
      <c r="AN171" s="29"/>
      <c r="AO171" s="29"/>
      <c r="AP171" s="29"/>
      <c r="AQ171" s="29"/>
      <c r="AR171" s="29"/>
      <c r="AS171" s="29"/>
      <c r="AT171" s="29"/>
      <c r="AU171" s="29"/>
      <c r="AV171" s="29"/>
      <c r="AW171" s="29"/>
      <c r="AX171" s="29"/>
    </row>
    <row r="172" ht="15.75" customHeight="1">
      <c r="A172" s="29"/>
      <c r="B172" s="29"/>
      <c r="C172" s="31"/>
      <c r="D172" s="29"/>
      <c r="E172" s="29"/>
      <c r="F172" s="29"/>
      <c r="G172" s="29"/>
      <c r="H172" s="29"/>
      <c r="I172" s="29"/>
      <c r="J172" s="29"/>
      <c r="K172" s="29"/>
      <c r="L172" s="29"/>
      <c r="M172" s="29"/>
      <c r="N172" s="29"/>
      <c r="O172" s="29"/>
      <c r="P172" s="29"/>
      <c r="Q172" s="29"/>
      <c r="R172" s="29"/>
      <c r="S172" s="29"/>
      <c r="T172" s="29"/>
      <c r="U172" s="29"/>
      <c r="V172" s="29"/>
      <c r="W172" s="29"/>
      <c r="X172" s="29"/>
      <c r="Y172" s="29"/>
      <c r="Z172" s="29"/>
      <c r="AA172" s="29"/>
      <c r="AB172" s="29"/>
      <c r="AC172" s="29"/>
      <c r="AD172" s="29"/>
      <c r="AE172" s="29"/>
      <c r="AF172" s="29"/>
      <c r="AG172" s="29"/>
      <c r="AH172" s="29"/>
      <c r="AI172" s="29"/>
      <c r="AJ172" s="29"/>
      <c r="AK172" s="29"/>
      <c r="AL172" s="29"/>
      <c r="AM172" s="29"/>
      <c r="AN172" s="29"/>
      <c r="AO172" s="29"/>
      <c r="AP172" s="29"/>
      <c r="AQ172" s="29"/>
      <c r="AR172" s="29"/>
      <c r="AS172" s="29"/>
      <c r="AT172" s="29"/>
      <c r="AU172" s="29"/>
      <c r="AV172" s="29"/>
      <c r="AW172" s="29"/>
      <c r="AX172" s="29"/>
    </row>
    <row r="173" ht="15.75" customHeight="1">
      <c r="A173" s="29"/>
      <c r="B173" s="29"/>
      <c r="C173" s="31"/>
      <c r="D173" s="29"/>
      <c r="E173" s="29"/>
      <c r="F173" s="29"/>
      <c r="G173" s="29"/>
      <c r="H173" s="29"/>
      <c r="I173" s="29"/>
      <c r="J173" s="29"/>
      <c r="K173" s="29"/>
      <c r="L173" s="29"/>
      <c r="M173" s="29"/>
      <c r="N173" s="29"/>
      <c r="O173" s="29"/>
      <c r="P173" s="29"/>
      <c r="Q173" s="29"/>
      <c r="R173" s="29"/>
      <c r="S173" s="29"/>
      <c r="T173" s="29"/>
      <c r="U173" s="29"/>
      <c r="V173" s="29"/>
      <c r="W173" s="29"/>
      <c r="X173" s="29"/>
      <c r="Y173" s="29"/>
      <c r="Z173" s="29"/>
      <c r="AA173" s="29"/>
      <c r="AB173" s="29"/>
      <c r="AC173" s="29"/>
      <c r="AD173" s="29"/>
      <c r="AE173" s="29"/>
      <c r="AF173" s="29"/>
      <c r="AG173" s="29"/>
      <c r="AH173" s="29"/>
      <c r="AI173" s="29"/>
      <c r="AJ173" s="29"/>
      <c r="AK173" s="29"/>
      <c r="AL173" s="29"/>
      <c r="AM173" s="29"/>
      <c r="AN173" s="29"/>
      <c r="AO173" s="29"/>
      <c r="AP173" s="29"/>
      <c r="AQ173" s="29"/>
      <c r="AR173" s="29"/>
      <c r="AS173" s="29"/>
      <c r="AT173" s="29"/>
      <c r="AU173" s="29"/>
      <c r="AV173" s="29"/>
      <c r="AW173" s="29"/>
      <c r="AX173" s="29"/>
    </row>
    <row r="174" ht="15.75" customHeight="1">
      <c r="A174" s="29"/>
      <c r="B174" s="29"/>
      <c r="C174" s="31"/>
      <c r="D174" s="29"/>
      <c r="E174" s="29"/>
      <c r="F174" s="29"/>
      <c r="G174" s="29"/>
      <c r="H174" s="29"/>
      <c r="I174" s="29"/>
      <c r="J174" s="29"/>
      <c r="K174" s="29"/>
      <c r="L174" s="29"/>
      <c r="M174" s="29"/>
      <c r="N174" s="29"/>
      <c r="O174" s="29"/>
      <c r="P174" s="29"/>
      <c r="Q174" s="29"/>
      <c r="R174" s="29"/>
      <c r="S174" s="29"/>
      <c r="T174" s="29"/>
      <c r="U174" s="29"/>
      <c r="V174" s="29"/>
      <c r="W174" s="29"/>
      <c r="X174" s="29"/>
      <c r="Y174" s="29"/>
      <c r="Z174" s="29"/>
      <c r="AA174" s="29"/>
      <c r="AB174" s="29"/>
      <c r="AC174" s="29"/>
      <c r="AD174" s="29"/>
      <c r="AE174" s="29"/>
      <c r="AF174" s="29"/>
      <c r="AG174" s="29"/>
      <c r="AH174" s="29"/>
      <c r="AI174" s="29"/>
      <c r="AJ174" s="29"/>
      <c r="AK174" s="29"/>
      <c r="AL174" s="29"/>
      <c r="AM174" s="29"/>
      <c r="AN174" s="29"/>
      <c r="AO174" s="29"/>
      <c r="AP174" s="29"/>
      <c r="AQ174" s="29"/>
      <c r="AR174" s="29"/>
      <c r="AS174" s="29"/>
      <c r="AT174" s="29"/>
      <c r="AU174" s="29"/>
      <c r="AV174" s="29"/>
      <c r="AW174" s="29"/>
      <c r="AX174" s="29"/>
    </row>
    <row r="175" ht="15.75" customHeight="1">
      <c r="A175" s="29"/>
      <c r="B175" s="29"/>
      <c r="C175" s="31"/>
      <c r="D175" s="29"/>
      <c r="E175" s="29"/>
      <c r="F175" s="29"/>
      <c r="G175" s="29"/>
      <c r="H175" s="29"/>
      <c r="I175" s="29"/>
      <c r="J175" s="29"/>
      <c r="K175" s="29"/>
      <c r="L175" s="29"/>
      <c r="M175" s="29"/>
      <c r="N175" s="29"/>
      <c r="O175" s="29"/>
      <c r="P175" s="29"/>
      <c r="Q175" s="29"/>
      <c r="R175" s="29"/>
      <c r="S175" s="29"/>
      <c r="T175" s="29"/>
      <c r="U175" s="29"/>
      <c r="V175" s="29"/>
      <c r="W175" s="29"/>
      <c r="X175" s="29"/>
      <c r="Y175" s="29"/>
      <c r="Z175" s="29"/>
      <c r="AA175" s="29"/>
      <c r="AB175" s="29"/>
      <c r="AC175" s="29"/>
      <c r="AD175" s="29"/>
      <c r="AE175" s="29"/>
      <c r="AF175" s="29"/>
      <c r="AG175" s="29"/>
      <c r="AH175" s="29"/>
      <c r="AI175" s="29"/>
      <c r="AJ175" s="29"/>
      <c r="AK175" s="29"/>
      <c r="AL175" s="29"/>
      <c r="AM175" s="29"/>
      <c r="AN175" s="29"/>
      <c r="AO175" s="29"/>
      <c r="AP175" s="29"/>
      <c r="AQ175" s="29"/>
      <c r="AR175" s="29"/>
      <c r="AS175" s="29"/>
      <c r="AT175" s="29"/>
      <c r="AU175" s="29"/>
      <c r="AV175" s="29"/>
      <c r="AW175" s="29"/>
      <c r="AX175" s="29"/>
    </row>
    <row r="176" ht="15.75" customHeight="1">
      <c r="A176" s="29"/>
      <c r="B176" s="29"/>
      <c r="C176" s="31"/>
      <c r="D176" s="29"/>
      <c r="E176" s="29"/>
      <c r="F176" s="29"/>
      <c r="G176" s="29"/>
      <c r="H176" s="29"/>
      <c r="I176" s="29"/>
      <c r="J176" s="29"/>
      <c r="K176" s="29"/>
      <c r="L176" s="29"/>
      <c r="M176" s="29"/>
      <c r="N176" s="29"/>
      <c r="O176" s="29"/>
      <c r="P176" s="29"/>
      <c r="Q176" s="29"/>
      <c r="R176" s="29"/>
      <c r="S176" s="29"/>
      <c r="T176" s="29"/>
      <c r="U176" s="29"/>
      <c r="V176" s="29"/>
      <c r="W176" s="29"/>
      <c r="X176" s="29"/>
      <c r="Y176" s="29"/>
      <c r="Z176" s="29"/>
      <c r="AA176" s="29"/>
      <c r="AB176" s="29"/>
      <c r="AC176" s="29"/>
      <c r="AD176" s="29"/>
      <c r="AE176" s="29"/>
      <c r="AF176" s="29"/>
      <c r="AG176" s="29"/>
      <c r="AH176" s="29"/>
      <c r="AI176" s="29"/>
      <c r="AJ176" s="29"/>
      <c r="AK176" s="29"/>
      <c r="AL176" s="29"/>
      <c r="AM176" s="29"/>
      <c r="AN176" s="29"/>
      <c r="AO176" s="29"/>
      <c r="AP176" s="29"/>
      <c r="AQ176" s="29"/>
      <c r="AR176" s="29"/>
      <c r="AS176" s="29"/>
      <c r="AT176" s="29"/>
      <c r="AU176" s="29"/>
      <c r="AV176" s="29"/>
      <c r="AW176" s="29"/>
      <c r="AX176" s="29"/>
    </row>
    <row r="177" ht="15.75" customHeight="1">
      <c r="A177" s="29"/>
      <c r="B177" s="29"/>
      <c r="C177" s="31"/>
      <c r="D177" s="29"/>
      <c r="E177" s="29"/>
      <c r="F177" s="29"/>
      <c r="G177" s="29"/>
      <c r="H177" s="29"/>
      <c r="I177" s="29"/>
      <c r="J177" s="29"/>
      <c r="K177" s="29"/>
      <c r="L177" s="29"/>
      <c r="M177" s="29"/>
      <c r="N177" s="29"/>
      <c r="O177" s="29"/>
      <c r="P177" s="29"/>
      <c r="Q177" s="29"/>
      <c r="R177" s="29"/>
      <c r="S177" s="29"/>
      <c r="T177" s="29"/>
      <c r="U177" s="29"/>
      <c r="V177" s="29"/>
      <c r="W177" s="29"/>
      <c r="X177" s="29"/>
      <c r="Y177" s="29"/>
      <c r="Z177" s="29"/>
      <c r="AA177" s="29"/>
      <c r="AB177" s="29"/>
      <c r="AC177" s="29"/>
      <c r="AD177" s="29"/>
      <c r="AE177" s="29"/>
      <c r="AF177" s="29"/>
      <c r="AG177" s="29"/>
      <c r="AH177" s="29"/>
      <c r="AI177" s="29"/>
      <c r="AJ177" s="29"/>
      <c r="AK177" s="29"/>
      <c r="AL177" s="29"/>
      <c r="AM177" s="29"/>
      <c r="AN177" s="29"/>
      <c r="AO177" s="29"/>
      <c r="AP177" s="29"/>
      <c r="AQ177" s="29"/>
      <c r="AR177" s="29"/>
      <c r="AS177" s="29"/>
      <c r="AT177" s="29"/>
      <c r="AU177" s="29"/>
      <c r="AV177" s="29"/>
      <c r="AW177" s="29"/>
      <c r="AX177" s="29"/>
    </row>
    <row r="178" ht="15.75" customHeight="1">
      <c r="A178" s="29"/>
      <c r="B178" s="29"/>
      <c r="C178" s="31"/>
      <c r="D178" s="29"/>
      <c r="E178" s="29"/>
      <c r="F178" s="29"/>
      <c r="G178" s="29"/>
      <c r="H178" s="29"/>
      <c r="I178" s="29"/>
      <c r="J178" s="29"/>
      <c r="K178" s="29"/>
      <c r="L178" s="29"/>
      <c r="M178" s="29"/>
      <c r="N178" s="29"/>
      <c r="O178" s="29"/>
      <c r="P178" s="29"/>
      <c r="Q178" s="29"/>
      <c r="R178" s="29"/>
      <c r="S178" s="29"/>
      <c r="T178" s="29"/>
      <c r="U178" s="29"/>
      <c r="V178" s="29"/>
      <c r="W178" s="29"/>
      <c r="X178" s="29"/>
      <c r="Y178" s="29"/>
      <c r="Z178" s="29"/>
      <c r="AA178" s="29"/>
      <c r="AB178" s="29"/>
      <c r="AC178" s="29"/>
      <c r="AD178" s="29"/>
      <c r="AE178" s="29"/>
      <c r="AF178" s="29"/>
      <c r="AG178" s="29"/>
      <c r="AH178" s="29"/>
      <c r="AI178" s="29"/>
      <c r="AJ178" s="29"/>
      <c r="AK178" s="29"/>
      <c r="AL178" s="29"/>
      <c r="AM178" s="29"/>
      <c r="AN178" s="29"/>
      <c r="AO178" s="29"/>
      <c r="AP178" s="29"/>
      <c r="AQ178" s="29"/>
      <c r="AR178" s="29"/>
      <c r="AS178" s="29"/>
      <c r="AT178" s="29"/>
      <c r="AU178" s="29"/>
      <c r="AV178" s="29"/>
      <c r="AW178" s="29"/>
      <c r="AX178" s="29"/>
    </row>
    <row r="179" ht="15.75" customHeight="1">
      <c r="A179" s="29"/>
      <c r="B179" s="29"/>
      <c r="C179" s="31"/>
      <c r="D179" s="29"/>
      <c r="E179" s="29"/>
      <c r="F179" s="29"/>
      <c r="G179" s="29"/>
      <c r="H179" s="29"/>
      <c r="I179" s="29"/>
      <c r="J179" s="29"/>
      <c r="K179" s="29"/>
      <c r="L179" s="29"/>
      <c r="M179" s="29"/>
      <c r="N179" s="29"/>
      <c r="O179" s="29"/>
      <c r="P179" s="29"/>
      <c r="Q179" s="29"/>
      <c r="R179" s="29"/>
      <c r="S179" s="29"/>
      <c r="T179" s="29"/>
      <c r="U179" s="29"/>
      <c r="V179" s="29"/>
      <c r="W179" s="29"/>
      <c r="X179" s="29"/>
      <c r="Y179" s="29"/>
      <c r="Z179" s="29"/>
      <c r="AA179" s="29"/>
      <c r="AB179" s="29"/>
      <c r="AC179" s="29"/>
      <c r="AD179" s="29"/>
      <c r="AE179" s="29"/>
      <c r="AF179" s="29"/>
      <c r="AG179" s="29"/>
      <c r="AH179" s="29"/>
      <c r="AI179" s="29"/>
      <c r="AJ179" s="29"/>
      <c r="AK179" s="29"/>
      <c r="AL179" s="29"/>
      <c r="AM179" s="29"/>
      <c r="AN179" s="29"/>
      <c r="AO179" s="29"/>
      <c r="AP179" s="29"/>
      <c r="AQ179" s="29"/>
      <c r="AR179" s="29"/>
      <c r="AS179" s="29"/>
      <c r="AT179" s="29"/>
      <c r="AU179" s="29"/>
      <c r="AV179" s="29"/>
      <c r="AW179" s="29"/>
      <c r="AX179" s="29"/>
    </row>
    <row r="180" ht="15.75" customHeight="1">
      <c r="A180" s="29"/>
      <c r="B180" s="29"/>
      <c r="C180" s="31"/>
      <c r="D180" s="29"/>
      <c r="E180" s="29"/>
      <c r="F180" s="29"/>
      <c r="G180" s="29"/>
      <c r="H180" s="29"/>
      <c r="I180" s="29"/>
      <c r="J180" s="29"/>
      <c r="K180" s="29"/>
      <c r="L180" s="29"/>
      <c r="M180" s="29"/>
      <c r="N180" s="29"/>
      <c r="O180" s="29"/>
      <c r="P180" s="29"/>
      <c r="Q180" s="29"/>
      <c r="R180" s="29"/>
      <c r="S180" s="29"/>
      <c r="T180" s="29"/>
      <c r="U180" s="29"/>
      <c r="V180" s="29"/>
      <c r="W180" s="29"/>
      <c r="X180" s="29"/>
      <c r="Y180" s="29"/>
      <c r="Z180" s="29"/>
      <c r="AA180" s="29"/>
      <c r="AB180" s="29"/>
      <c r="AC180" s="29"/>
      <c r="AD180" s="29"/>
      <c r="AE180" s="29"/>
      <c r="AF180" s="29"/>
      <c r="AG180" s="29"/>
      <c r="AH180" s="29"/>
      <c r="AI180" s="29"/>
      <c r="AJ180" s="29"/>
      <c r="AK180" s="29"/>
      <c r="AL180" s="29"/>
      <c r="AM180" s="29"/>
      <c r="AN180" s="29"/>
      <c r="AO180" s="29"/>
      <c r="AP180" s="29"/>
      <c r="AQ180" s="29"/>
      <c r="AR180" s="29"/>
      <c r="AS180" s="29"/>
      <c r="AT180" s="29"/>
      <c r="AU180" s="29"/>
      <c r="AV180" s="29"/>
      <c r="AW180" s="29"/>
      <c r="AX180" s="29"/>
    </row>
    <row r="181" ht="15.75" customHeight="1">
      <c r="A181" s="29"/>
      <c r="B181" s="29"/>
      <c r="C181" s="31"/>
      <c r="D181" s="29"/>
      <c r="E181" s="29"/>
      <c r="F181" s="29"/>
      <c r="G181" s="29"/>
      <c r="H181" s="29"/>
      <c r="I181" s="29"/>
      <c r="J181" s="29"/>
      <c r="K181" s="29"/>
      <c r="L181" s="29"/>
      <c r="M181" s="29"/>
      <c r="N181" s="29"/>
      <c r="O181" s="29"/>
      <c r="P181" s="29"/>
      <c r="Q181" s="29"/>
      <c r="R181" s="29"/>
      <c r="S181" s="29"/>
      <c r="T181" s="29"/>
      <c r="U181" s="29"/>
      <c r="V181" s="29"/>
      <c r="W181" s="29"/>
      <c r="X181" s="29"/>
      <c r="Y181" s="29"/>
      <c r="Z181" s="29"/>
      <c r="AA181" s="29"/>
      <c r="AB181" s="29"/>
      <c r="AC181" s="29"/>
      <c r="AD181" s="29"/>
      <c r="AE181" s="29"/>
      <c r="AF181" s="29"/>
      <c r="AG181" s="29"/>
      <c r="AH181" s="29"/>
      <c r="AI181" s="29"/>
      <c r="AJ181" s="29"/>
      <c r="AK181" s="29"/>
      <c r="AL181" s="29"/>
      <c r="AM181" s="29"/>
      <c r="AN181" s="29"/>
      <c r="AO181" s="29"/>
      <c r="AP181" s="29"/>
      <c r="AQ181" s="29"/>
      <c r="AR181" s="29"/>
      <c r="AS181" s="29"/>
      <c r="AT181" s="29"/>
      <c r="AU181" s="29"/>
      <c r="AV181" s="29"/>
      <c r="AW181" s="29"/>
      <c r="AX181" s="29"/>
    </row>
    <row r="182" ht="15.75" customHeight="1">
      <c r="A182" s="29"/>
      <c r="B182" s="29"/>
      <c r="C182" s="31"/>
      <c r="D182" s="29"/>
      <c r="E182" s="29"/>
      <c r="F182" s="29"/>
      <c r="G182" s="29"/>
      <c r="H182" s="29"/>
      <c r="I182" s="29"/>
      <c r="J182" s="29"/>
      <c r="K182" s="29"/>
      <c r="L182" s="29"/>
      <c r="M182" s="29"/>
      <c r="N182" s="29"/>
      <c r="O182" s="29"/>
      <c r="P182" s="29"/>
      <c r="Q182" s="29"/>
      <c r="R182" s="29"/>
      <c r="S182" s="29"/>
      <c r="T182" s="29"/>
      <c r="U182" s="29"/>
      <c r="V182" s="29"/>
      <c r="W182" s="29"/>
      <c r="X182" s="29"/>
      <c r="Y182" s="29"/>
      <c r="Z182" s="29"/>
      <c r="AA182" s="29"/>
      <c r="AB182" s="29"/>
      <c r="AC182" s="29"/>
      <c r="AD182" s="29"/>
      <c r="AE182" s="29"/>
      <c r="AF182" s="29"/>
      <c r="AG182" s="29"/>
      <c r="AH182" s="29"/>
      <c r="AI182" s="29"/>
      <c r="AJ182" s="29"/>
      <c r="AK182" s="29"/>
      <c r="AL182" s="29"/>
      <c r="AM182" s="29"/>
      <c r="AN182" s="29"/>
      <c r="AO182" s="29"/>
      <c r="AP182" s="29"/>
      <c r="AQ182" s="29"/>
      <c r="AR182" s="29"/>
      <c r="AS182" s="29"/>
      <c r="AT182" s="29"/>
      <c r="AU182" s="29"/>
      <c r="AV182" s="29"/>
      <c r="AW182" s="29"/>
      <c r="AX182" s="29"/>
    </row>
    <row r="183" ht="15.75" customHeight="1">
      <c r="A183" s="29"/>
      <c r="B183" s="29"/>
      <c r="C183" s="31"/>
      <c r="D183" s="29"/>
      <c r="E183" s="29"/>
      <c r="F183" s="29"/>
      <c r="G183" s="29"/>
      <c r="H183" s="29"/>
      <c r="I183" s="29"/>
      <c r="J183" s="29"/>
      <c r="K183" s="29"/>
      <c r="L183" s="29"/>
      <c r="M183" s="29"/>
      <c r="N183" s="29"/>
      <c r="O183" s="29"/>
      <c r="P183" s="29"/>
      <c r="Q183" s="29"/>
      <c r="R183" s="29"/>
      <c r="S183" s="29"/>
      <c r="T183" s="29"/>
      <c r="U183" s="29"/>
      <c r="V183" s="29"/>
      <c r="W183" s="29"/>
      <c r="X183" s="29"/>
      <c r="Y183" s="29"/>
      <c r="Z183" s="29"/>
      <c r="AA183" s="29"/>
      <c r="AB183" s="29"/>
      <c r="AC183" s="29"/>
      <c r="AD183" s="29"/>
      <c r="AE183" s="29"/>
      <c r="AF183" s="29"/>
      <c r="AG183" s="29"/>
      <c r="AH183" s="29"/>
      <c r="AI183" s="29"/>
      <c r="AJ183" s="29"/>
      <c r="AK183" s="29"/>
      <c r="AL183" s="29"/>
      <c r="AM183" s="29"/>
      <c r="AN183" s="29"/>
      <c r="AO183" s="29"/>
      <c r="AP183" s="29"/>
      <c r="AQ183" s="29"/>
      <c r="AR183" s="29"/>
      <c r="AS183" s="29"/>
      <c r="AT183" s="29"/>
      <c r="AU183" s="29"/>
      <c r="AV183" s="29"/>
      <c r="AW183" s="29"/>
      <c r="AX183" s="29"/>
    </row>
    <row r="184" ht="15.75" customHeight="1">
      <c r="A184" s="29"/>
      <c r="B184" s="29"/>
      <c r="C184" s="31"/>
      <c r="D184" s="29"/>
      <c r="E184" s="29"/>
      <c r="F184" s="29"/>
      <c r="G184" s="29"/>
      <c r="H184" s="29"/>
      <c r="I184" s="29"/>
      <c r="J184" s="29"/>
      <c r="K184" s="29"/>
      <c r="L184" s="29"/>
      <c r="M184" s="29"/>
      <c r="N184" s="29"/>
      <c r="O184" s="29"/>
      <c r="P184" s="29"/>
      <c r="Q184" s="29"/>
      <c r="R184" s="29"/>
      <c r="S184" s="29"/>
      <c r="T184" s="29"/>
      <c r="U184" s="29"/>
      <c r="V184" s="29"/>
      <c r="W184" s="29"/>
      <c r="X184" s="29"/>
      <c r="Y184" s="29"/>
      <c r="Z184" s="29"/>
      <c r="AA184" s="29"/>
      <c r="AB184" s="29"/>
      <c r="AC184" s="29"/>
      <c r="AD184" s="29"/>
      <c r="AE184" s="29"/>
      <c r="AF184" s="29"/>
      <c r="AG184" s="29"/>
      <c r="AH184" s="29"/>
      <c r="AI184" s="29"/>
      <c r="AJ184" s="29"/>
      <c r="AK184" s="29"/>
      <c r="AL184" s="29"/>
      <c r="AM184" s="29"/>
      <c r="AN184" s="29"/>
      <c r="AO184" s="29"/>
      <c r="AP184" s="29"/>
      <c r="AQ184" s="29"/>
      <c r="AR184" s="29"/>
      <c r="AS184" s="29"/>
      <c r="AT184" s="29"/>
      <c r="AU184" s="29"/>
      <c r="AV184" s="29"/>
      <c r="AW184" s="29"/>
      <c r="AX184" s="29"/>
    </row>
    <row r="185" ht="15.75" customHeight="1">
      <c r="A185" s="29"/>
      <c r="B185" s="29"/>
      <c r="C185" s="31"/>
      <c r="D185" s="29"/>
      <c r="E185" s="29"/>
      <c r="F185" s="29"/>
      <c r="G185" s="29"/>
      <c r="H185" s="29"/>
      <c r="I185" s="29"/>
      <c r="J185" s="29"/>
      <c r="K185" s="29"/>
      <c r="L185" s="29"/>
      <c r="M185" s="29"/>
      <c r="N185" s="29"/>
      <c r="O185" s="29"/>
      <c r="P185" s="29"/>
      <c r="Q185" s="29"/>
      <c r="R185" s="29"/>
      <c r="S185" s="29"/>
      <c r="T185" s="29"/>
      <c r="U185" s="29"/>
      <c r="V185" s="29"/>
      <c r="W185" s="29"/>
      <c r="X185" s="29"/>
      <c r="Y185" s="29"/>
      <c r="Z185" s="29"/>
      <c r="AA185" s="29"/>
      <c r="AB185" s="29"/>
      <c r="AC185" s="29"/>
      <c r="AD185" s="29"/>
      <c r="AE185" s="29"/>
      <c r="AF185" s="29"/>
      <c r="AG185" s="29"/>
      <c r="AH185" s="29"/>
      <c r="AI185" s="29"/>
      <c r="AJ185" s="29"/>
      <c r="AK185" s="29"/>
      <c r="AL185" s="29"/>
      <c r="AM185" s="29"/>
      <c r="AN185" s="29"/>
      <c r="AO185" s="29"/>
      <c r="AP185" s="29"/>
      <c r="AQ185" s="29"/>
      <c r="AR185" s="29"/>
      <c r="AS185" s="29"/>
      <c r="AT185" s="29"/>
      <c r="AU185" s="29"/>
      <c r="AV185" s="29"/>
      <c r="AW185" s="29"/>
      <c r="AX185" s="29"/>
    </row>
    <row r="186" ht="15.75" customHeight="1">
      <c r="A186" s="29"/>
      <c r="B186" s="29"/>
      <c r="C186" s="31"/>
      <c r="D186" s="29"/>
      <c r="E186" s="29"/>
      <c r="F186" s="29"/>
      <c r="G186" s="29"/>
      <c r="H186" s="29"/>
      <c r="I186" s="29"/>
      <c r="J186" s="29"/>
      <c r="K186" s="29"/>
      <c r="L186" s="29"/>
      <c r="M186" s="29"/>
      <c r="N186" s="29"/>
      <c r="O186" s="29"/>
      <c r="P186" s="29"/>
      <c r="Q186" s="29"/>
      <c r="R186" s="29"/>
      <c r="S186" s="29"/>
      <c r="T186" s="29"/>
      <c r="U186" s="29"/>
      <c r="V186" s="29"/>
      <c r="W186" s="29"/>
      <c r="X186" s="29"/>
      <c r="Y186" s="29"/>
      <c r="Z186" s="29"/>
      <c r="AA186" s="29"/>
      <c r="AB186" s="29"/>
      <c r="AC186" s="29"/>
      <c r="AD186" s="29"/>
      <c r="AE186" s="29"/>
      <c r="AF186" s="29"/>
      <c r="AG186" s="29"/>
      <c r="AH186" s="29"/>
      <c r="AI186" s="29"/>
      <c r="AJ186" s="29"/>
      <c r="AK186" s="29"/>
      <c r="AL186" s="29"/>
      <c r="AM186" s="29"/>
      <c r="AN186" s="29"/>
      <c r="AO186" s="29"/>
      <c r="AP186" s="29"/>
      <c r="AQ186" s="29"/>
      <c r="AR186" s="29"/>
      <c r="AS186" s="29"/>
      <c r="AT186" s="29"/>
      <c r="AU186" s="29"/>
      <c r="AV186" s="29"/>
      <c r="AW186" s="29"/>
      <c r="AX186" s="29"/>
    </row>
    <row r="187" ht="15.75" customHeight="1">
      <c r="A187" s="29"/>
      <c r="B187" s="29"/>
      <c r="C187" s="31"/>
      <c r="D187" s="29"/>
      <c r="E187" s="29"/>
      <c r="F187" s="29"/>
      <c r="G187" s="29"/>
      <c r="H187" s="29"/>
      <c r="I187" s="29"/>
      <c r="J187" s="29"/>
      <c r="K187" s="29"/>
      <c r="L187" s="29"/>
      <c r="M187" s="29"/>
      <c r="N187" s="29"/>
      <c r="O187" s="29"/>
      <c r="P187" s="29"/>
      <c r="Q187" s="29"/>
      <c r="R187" s="29"/>
      <c r="S187" s="29"/>
      <c r="T187" s="29"/>
      <c r="U187" s="29"/>
      <c r="V187" s="29"/>
      <c r="W187" s="29"/>
      <c r="X187" s="29"/>
      <c r="Y187" s="29"/>
      <c r="Z187" s="29"/>
      <c r="AA187" s="29"/>
      <c r="AB187" s="29"/>
      <c r="AC187" s="29"/>
      <c r="AD187" s="29"/>
      <c r="AE187" s="29"/>
      <c r="AF187" s="29"/>
      <c r="AG187" s="29"/>
      <c r="AH187" s="29"/>
      <c r="AI187" s="29"/>
      <c r="AJ187" s="29"/>
      <c r="AK187" s="29"/>
      <c r="AL187" s="29"/>
      <c r="AM187" s="29"/>
      <c r="AN187" s="29"/>
      <c r="AO187" s="29"/>
      <c r="AP187" s="29"/>
      <c r="AQ187" s="29"/>
      <c r="AR187" s="29"/>
      <c r="AS187" s="29"/>
      <c r="AT187" s="29"/>
      <c r="AU187" s="29"/>
      <c r="AV187" s="29"/>
      <c r="AW187" s="29"/>
      <c r="AX187" s="29"/>
    </row>
    <row r="188" ht="15.75" customHeight="1">
      <c r="A188" s="29"/>
      <c r="B188" s="29"/>
      <c r="C188" s="31"/>
      <c r="D188" s="29"/>
      <c r="E188" s="29"/>
      <c r="F188" s="29"/>
      <c r="G188" s="29"/>
      <c r="H188" s="29"/>
      <c r="I188" s="29"/>
      <c r="J188" s="29"/>
      <c r="K188" s="29"/>
      <c r="L188" s="29"/>
      <c r="M188" s="29"/>
      <c r="N188" s="29"/>
      <c r="O188" s="29"/>
      <c r="P188" s="29"/>
      <c r="Q188" s="29"/>
      <c r="R188" s="29"/>
      <c r="S188" s="29"/>
      <c r="T188" s="29"/>
      <c r="U188" s="29"/>
      <c r="V188" s="29"/>
      <c r="W188" s="29"/>
      <c r="X188" s="29"/>
      <c r="Y188" s="29"/>
      <c r="Z188" s="29"/>
      <c r="AA188" s="29"/>
      <c r="AB188" s="29"/>
      <c r="AC188" s="29"/>
      <c r="AD188" s="29"/>
      <c r="AE188" s="29"/>
      <c r="AF188" s="29"/>
      <c r="AG188" s="29"/>
      <c r="AH188" s="29"/>
      <c r="AI188" s="29"/>
      <c r="AJ188" s="29"/>
      <c r="AK188" s="29"/>
      <c r="AL188" s="29"/>
      <c r="AM188" s="29"/>
      <c r="AN188" s="29"/>
      <c r="AO188" s="29"/>
      <c r="AP188" s="29"/>
      <c r="AQ188" s="29"/>
      <c r="AR188" s="29"/>
      <c r="AS188" s="29"/>
      <c r="AT188" s="29"/>
      <c r="AU188" s="29"/>
      <c r="AV188" s="29"/>
      <c r="AW188" s="29"/>
      <c r="AX188" s="29"/>
    </row>
    <row r="189" ht="15.75" customHeight="1">
      <c r="A189" s="29"/>
      <c r="B189" s="29"/>
      <c r="C189" s="31"/>
      <c r="D189" s="29"/>
      <c r="E189" s="29"/>
      <c r="F189" s="29"/>
      <c r="G189" s="29"/>
      <c r="H189" s="29"/>
      <c r="I189" s="29"/>
      <c r="J189" s="29"/>
      <c r="K189" s="29"/>
      <c r="L189" s="29"/>
      <c r="M189" s="29"/>
      <c r="N189" s="29"/>
      <c r="O189" s="29"/>
      <c r="P189" s="29"/>
      <c r="Q189" s="29"/>
      <c r="R189" s="29"/>
      <c r="S189" s="29"/>
      <c r="T189" s="29"/>
      <c r="U189" s="29"/>
      <c r="V189" s="29"/>
      <c r="W189" s="29"/>
      <c r="X189" s="29"/>
      <c r="Y189" s="29"/>
      <c r="Z189" s="29"/>
      <c r="AA189" s="29"/>
      <c r="AB189" s="29"/>
      <c r="AC189" s="29"/>
      <c r="AD189" s="29"/>
      <c r="AE189" s="29"/>
      <c r="AF189" s="29"/>
      <c r="AG189" s="29"/>
      <c r="AH189" s="29"/>
      <c r="AI189" s="29"/>
      <c r="AJ189" s="29"/>
      <c r="AK189" s="29"/>
      <c r="AL189" s="29"/>
      <c r="AM189" s="29"/>
      <c r="AN189" s="29"/>
      <c r="AO189" s="29"/>
      <c r="AP189" s="29"/>
      <c r="AQ189" s="29"/>
      <c r="AR189" s="29"/>
      <c r="AS189" s="29"/>
      <c r="AT189" s="29"/>
      <c r="AU189" s="29"/>
      <c r="AV189" s="29"/>
      <c r="AW189" s="29"/>
      <c r="AX189" s="29"/>
    </row>
    <row r="190" ht="15.75" customHeight="1">
      <c r="A190" s="29"/>
      <c r="B190" s="29"/>
      <c r="C190" s="31"/>
      <c r="D190" s="29"/>
      <c r="E190" s="29"/>
      <c r="F190" s="29"/>
      <c r="G190" s="29"/>
      <c r="H190" s="29"/>
      <c r="I190" s="29"/>
      <c r="J190" s="29"/>
      <c r="K190" s="29"/>
      <c r="L190" s="29"/>
      <c r="M190" s="29"/>
      <c r="N190" s="29"/>
      <c r="O190" s="29"/>
      <c r="P190" s="29"/>
      <c r="Q190" s="29"/>
      <c r="R190" s="29"/>
      <c r="S190" s="29"/>
      <c r="T190" s="29"/>
      <c r="U190" s="29"/>
      <c r="V190" s="29"/>
      <c r="W190" s="29"/>
      <c r="X190" s="29"/>
      <c r="Y190" s="29"/>
      <c r="Z190" s="29"/>
      <c r="AA190" s="29"/>
      <c r="AB190" s="29"/>
      <c r="AC190" s="29"/>
      <c r="AD190" s="29"/>
      <c r="AE190" s="29"/>
      <c r="AF190" s="29"/>
      <c r="AG190" s="29"/>
      <c r="AH190" s="29"/>
      <c r="AI190" s="29"/>
      <c r="AJ190" s="29"/>
      <c r="AK190" s="29"/>
      <c r="AL190" s="29"/>
      <c r="AM190" s="29"/>
      <c r="AN190" s="29"/>
      <c r="AO190" s="29"/>
      <c r="AP190" s="29"/>
      <c r="AQ190" s="29"/>
      <c r="AR190" s="29"/>
      <c r="AS190" s="29"/>
      <c r="AT190" s="29"/>
      <c r="AU190" s="29"/>
      <c r="AV190" s="29"/>
      <c r="AW190" s="29"/>
      <c r="AX190" s="29"/>
    </row>
    <row r="191" ht="15.75" customHeight="1">
      <c r="A191" s="29"/>
      <c r="B191" s="29"/>
      <c r="C191" s="31"/>
      <c r="D191" s="29"/>
      <c r="E191" s="29"/>
      <c r="F191" s="29"/>
      <c r="G191" s="29"/>
      <c r="H191" s="29"/>
      <c r="I191" s="29"/>
      <c r="J191" s="29"/>
      <c r="K191" s="29"/>
      <c r="L191" s="29"/>
      <c r="M191" s="29"/>
      <c r="N191" s="29"/>
      <c r="O191" s="29"/>
      <c r="P191" s="29"/>
      <c r="Q191" s="29"/>
      <c r="R191" s="29"/>
      <c r="S191" s="29"/>
      <c r="T191" s="29"/>
      <c r="U191" s="29"/>
      <c r="V191" s="29"/>
      <c r="W191" s="29"/>
      <c r="X191" s="29"/>
      <c r="Y191" s="29"/>
      <c r="Z191" s="29"/>
      <c r="AA191" s="29"/>
      <c r="AB191" s="29"/>
      <c r="AC191" s="29"/>
      <c r="AD191" s="29"/>
      <c r="AE191" s="29"/>
      <c r="AF191" s="29"/>
      <c r="AG191" s="29"/>
      <c r="AH191" s="29"/>
      <c r="AI191" s="29"/>
      <c r="AJ191" s="29"/>
      <c r="AK191" s="29"/>
      <c r="AL191" s="29"/>
      <c r="AM191" s="29"/>
      <c r="AN191" s="29"/>
      <c r="AO191" s="29"/>
      <c r="AP191" s="29"/>
      <c r="AQ191" s="29"/>
      <c r="AR191" s="29"/>
      <c r="AS191" s="29"/>
      <c r="AT191" s="29"/>
      <c r="AU191" s="29"/>
      <c r="AV191" s="29"/>
      <c r="AW191" s="29"/>
      <c r="AX191" s="29"/>
    </row>
    <row r="192" ht="15.75" customHeight="1">
      <c r="A192" s="29"/>
      <c r="B192" s="29"/>
      <c r="C192" s="31"/>
      <c r="D192" s="29"/>
      <c r="E192" s="29"/>
      <c r="F192" s="29"/>
      <c r="G192" s="29"/>
      <c r="H192" s="29"/>
      <c r="I192" s="29"/>
      <c r="J192" s="29"/>
      <c r="K192" s="29"/>
      <c r="L192" s="29"/>
      <c r="M192" s="29"/>
      <c r="N192" s="29"/>
      <c r="O192" s="29"/>
      <c r="P192" s="29"/>
      <c r="Q192" s="29"/>
      <c r="R192" s="29"/>
      <c r="S192" s="29"/>
      <c r="T192" s="29"/>
      <c r="U192" s="29"/>
      <c r="V192" s="29"/>
      <c r="W192" s="29"/>
      <c r="X192" s="29"/>
      <c r="Y192" s="29"/>
      <c r="Z192" s="29"/>
      <c r="AA192" s="29"/>
      <c r="AB192" s="29"/>
      <c r="AC192" s="29"/>
      <c r="AD192" s="29"/>
      <c r="AE192" s="29"/>
      <c r="AF192" s="29"/>
      <c r="AG192" s="29"/>
      <c r="AH192" s="29"/>
      <c r="AI192" s="29"/>
      <c r="AJ192" s="29"/>
      <c r="AK192" s="29"/>
      <c r="AL192" s="29"/>
      <c r="AM192" s="29"/>
      <c r="AN192" s="29"/>
      <c r="AO192" s="29"/>
      <c r="AP192" s="29"/>
      <c r="AQ192" s="29"/>
      <c r="AR192" s="29"/>
      <c r="AS192" s="29"/>
      <c r="AT192" s="29"/>
      <c r="AU192" s="29"/>
      <c r="AV192" s="29"/>
      <c r="AW192" s="29"/>
      <c r="AX192" s="29"/>
    </row>
    <row r="193" ht="15.75" customHeight="1">
      <c r="A193" s="29"/>
      <c r="B193" s="29"/>
      <c r="C193" s="31"/>
      <c r="D193" s="29"/>
      <c r="E193" s="29"/>
      <c r="F193" s="29"/>
      <c r="G193" s="29"/>
      <c r="H193" s="29"/>
      <c r="I193" s="29"/>
      <c r="J193" s="29"/>
      <c r="K193" s="29"/>
      <c r="L193" s="29"/>
      <c r="M193" s="29"/>
      <c r="N193" s="29"/>
      <c r="O193" s="29"/>
      <c r="P193" s="29"/>
      <c r="Q193" s="29"/>
      <c r="R193" s="29"/>
      <c r="S193" s="29"/>
      <c r="T193" s="29"/>
      <c r="U193" s="29"/>
      <c r="V193" s="29"/>
      <c r="W193" s="29"/>
      <c r="X193" s="29"/>
      <c r="Y193" s="29"/>
      <c r="Z193" s="29"/>
      <c r="AA193" s="29"/>
      <c r="AB193" s="29"/>
      <c r="AC193" s="29"/>
      <c r="AD193" s="29"/>
      <c r="AE193" s="29"/>
      <c r="AF193" s="29"/>
      <c r="AG193" s="29"/>
      <c r="AH193" s="29"/>
      <c r="AI193" s="29"/>
      <c r="AJ193" s="29"/>
      <c r="AK193" s="29"/>
      <c r="AL193" s="29"/>
      <c r="AM193" s="29"/>
      <c r="AN193" s="29"/>
      <c r="AO193" s="29"/>
      <c r="AP193" s="29"/>
      <c r="AQ193" s="29"/>
      <c r="AR193" s="29"/>
      <c r="AS193" s="29"/>
      <c r="AT193" s="29"/>
      <c r="AU193" s="29"/>
      <c r="AV193" s="29"/>
      <c r="AW193" s="29"/>
      <c r="AX193" s="29"/>
    </row>
    <row r="194" ht="15.75" customHeight="1">
      <c r="A194" s="29"/>
      <c r="B194" s="29"/>
      <c r="C194" s="31"/>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c r="AB194" s="29"/>
      <c r="AC194" s="29"/>
      <c r="AD194" s="29"/>
      <c r="AE194" s="29"/>
      <c r="AF194" s="29"/>
      <c r="AG194" s="29"/>
      <c r="AH194" s="29"/>
      <c r="AI194" s="29"/>
      <c r="AJ194" s="29"/>
      <c r="AK194" s="29"/>
      <c r="AL194" s="29"/>
      <c r="AM194" s="29"/>
      <c r="AN194" s="29"/>
      <c r="AO194" s="29"/>
      <c r="AP194" s="29"/>
      <c r="AQ194" s="29"/>
      <c r="AR194" s="29"/>
      <c r="AS194" s="29"/>
      <c r="AT194" s="29"/>
      <c r="AU194" s="29"/>
      <c r="AV194" s="29"/>
      <c r="AW194" s="29"/>
      <c r="AX194" s="29"/>
    </row>
    <row r="195" ht="15.75" customHeight="1">
      <c r="A195" s="29"/>
      <c r="B195" s="29"/>
      <c r="C195" s="31"/>
      <c r="D195" s="29"/>
      <c r="E195" s="29"/>
      <c r="F195" s="29"/>
      <c r="G195" s="29"/>
      <c r="H195" s="29"/>
      <c r="I195" s="29"/>
      <c r="J195" s="29"/>
      <c r="K195" s="29"/>
      <c r="L195" s="29"/>
      <c r="M195" s="29"/>
      <c r="N195" s="29"/>
      <c r="O195" s="29"/>
      <c r="P195" s="29"/>
      <c r="Q195" s="29"/>
      <c r="R195" s="29"/>
      <c r="S195" s="29"/>
      <c r="T195" s="29"/>
      <c r="U195" s="29"/>
      <c r="V195" s="29"/>
      <c r="W195" s="29"/>
      <c r="X195" s="29"/>
      <c r="Y195" s="29"/>
      <c r="Z195" s="29"/>
      <c r="AA195" s="29"/>
      <c r="AB195" s="29"/>
      <c r="AC195" s="29"/>
      <c r="AD195" s="29"/>
      <c r="AE195" s="29"/>
      <c r="AF195" s="29"/>
      <c r="AG195" s="29"/>
      <c r="AH195" s="29"/>
      <c r="AI195" s="29"/>
      <c r="AJ195" s="29"/>
      <c r="AK195" s="29"/>
      <c r="AL195" s="29"/>
      <c r="AM195" s="29"/>
      <c r="AN195" s="29"/>
      <c r="AO195" s="29"/>
      <c r="AP195" s="29"/>
      <c r="AQ195" s="29"/>
      <c r="AR195" s="29"/>
      <c r="AS195" s="29"/>
      <c r="AT195" s="29"/>
      <c r="AU195" s="29"/>
      <c r="AV195" s="29"/>
      <c r="AW195" s="29"/>
      <c r="AX195" s="29"/>
    </row>
    <row r="196" ht="15.75" customHeight="1">
      <c r="A196" s="29"/>
      <c r="B196" s="29"/>
      <c r="C196" s="31"/>
      <c r="D196" s="29"/>
      <c r="E196" s="29"/>
      <c r="F196" s="29"/>
      <c r="G196" s="29"/>
      <c r="H196" s="29"/>
      <c r="I196" s="29"/>
      <c r="J196" s="29"/>
      <c r="K196" s="29"/>
      <c r="L196" s="29"/>
      <c r="M196" s="29"/>
      <c r="N196" s="29"/>
      <c r="O196" s="29"/>
      <c r="P196" s="29"/>
      <c r="Q196" s="29"/>
      <c r="R196" s="29"/>
      <c r="S196" s="29"/>
      <c r="T196" s="29"/>
      <c r="U196" s="29"/>
      <c r="V196" s="29"/>
      <c r="W196" s="29"/>
      <c r="X196" s="29"/>
      <c r="Y196" s="29"/>
      <c r="Z196" s="29"/>
      <c r="AA196" s="29"/>
      <c r="AB196" s="29"/>
      <c r="AC196" s="29"/>
      <c r="AD196" s="29"/>
      <c r="AE196" s="29"/>
      <c r="AF196" s="29"/>
      <c r="AG196" s="29"/>
      <c r="AH196" s="29"/>
      <c r="AI196" s="29"/>
      <c r="AJ196" s="29"/>
      <c r="AK196" s="29"/>
      <c r="AL196" s="29"/>
      <c r="AM196" s="29"/>
      <c r="AN196" s="29"/>
      <c r="AO196" s="29"/>
      <c r="AP196" s="29"/>
      <c r="AQ196" s="29"/>
      <c r="AR196" s="29"/>
      <c r="AS196" s="29"/>
      <c r="AT196" s="29"/>
      <c r="AU196" s="29"/>
      <c r="AV196" s="29"/>
      <c r="AW196" s="29"/>
      <c r="AX196" s="29"/>
    </row>
    <row r="197" ht="15.75" customHeight="1">
      <c r="A197" s="29"/>
      <c r="B197" s="29"/>
      <c r="C197" s="31"/>
      <c r="D197" s="29"/>
      <c r="E197" s="29"/>
      <c r="F197" s="29"/>
      <c r="G197" s="29"/>
      <c r="H197" s="29"/>
      <c r="I197" s="29"/>
      <c r="J197" s="29"/>
      <c r="K197" s="29"/>
      <c r="L197" s="29"/>
      <c r="M197" s="29"/>
      <c r="N197" s="29"/>
      <c r="O197" s="29"/>
      <c r="P197" s="29"/>
      <c r="Q197" s="29"/>
      <c r="R197" s="29"/>
      <c r="S197" s="29"/>
      <c r="T197" s="29"/>
      <c r="U197" s="29"/>
      <c r="V197" s="29"/>
      <c r="W197" s="29"/>
      <c r="X197" s="29"/>
      <c r="Y197" s="29"/>
      <c r="Z197" s="29"/>
      <c r="AA197" s="29"/>
      <c r="AB197" s="29"/>
      <c r="AC197" s="29"/>
      <c r="AD197" s="29"/>
      <c r="AE197" s="29"/>
      <c r="AF197" s="29"/>
      <c r="AG197" s="29"/>
      <c r="AH197" s="29"/>
      <c r="AI197" s="29"/>
      <c r="AJ197" s="29"/>
      <c r="AK197" s="29"/>
      <c r="AL197" s="29"/>
      <c r="AM197" s="29"/>
      <c r="AN197" s="29"/>
      <c r="AO197" s="29"/>
      <c r="AP197" s="29"/>
      <c r="AQ197" s="29"/>
      <c r="AR197" s="29"/>
      <c r="AS197" s="29"/>
      <c r="AT197" s="29"/>
      <c r="AU197" s="29"/>
      <c r="AV197" s="29"/>
      <c r="AW197" s="29"/>
      <c r="AX197" s="29"/>
    </row>
    <row r="198" ht="15.75" customHeight="1">
      <c r="A198" s="29"/>
      <c r="B198" s="29"/>
      <c r="C198" s="31"/>
      <c r="D198" s="29"/>
      <c r="E198" s="29"/>
      <c r="F198" s="29"/>
      <c r="G198" s="29"/>
      <c r="H198" s="29"/>
      <c r="I198" s="29"/>
      <c r="J198" s="29"/>
      <c r="K198" s="29"/>
      <c r="L198" s="29"/>
      <c r="M198" s="29"/>
      <c r="N198" s="29"/>
      <c r="O198" s="29"/>
      <c r="P198" s="29"/>
      <c r="Q198" s="29"/>
      <c r="R198" s="29"/>
      <c r="S198" s="29"/>
      <c r="T198" s="29"/>
      <c r="U198" s="29"/>
      <c r="V198" s="29"/>
      <c r="W198" s="29"/>
      <c r="X198" s="29"/>
      <c r="Y198" s="29"/>
      <c r="Z198" s="29"/>
      <c r="AA198" s="29"/>
      <c r="AB198" s="29"/>
      <c r="AC198" s="29"/>
      <c r="AD198" s="29"/>
      <c r="AE198" s="29"/>
      <c r="AF198" s="29"/>
      <c r="AG198" s="29"/>
      <c r="AH198" s="29"/>
      <c r="AI198" s="29"/>
      <c r="AJ198" s="29"/>
      <c r="AK198" s="29"/>
      <c r="AL198" s="29"/>
      <c r="AM198" s="29"/>
      <c r="AN198" s="29"/>
      <c r="AO198" s="29"/>
      <c r="AP198" s="29"/>
      <c r="AQ198" s="29"/>
      <c r="AR198" s="29"/>
      <c r="AS198" s="29"/>
      <c r="AT198" s="29"/>
      <c r="AU198" s="29"/>
      <c r="AV198" s="29"/>
      <c r="AW198" s="29"/>
      <c r="AX198" s="29"/>
    </row>
    <row r="199" ht="15.75" customHeight="1">
      <c r="A199" s="29"/>
      <c r="B199" s="29"/>
      <c r="C199" s="31"/>
      <c r="D199" s="29"/>
      <c r="E199" s="29"/>
      <c r="F199" s="29"/>
      <c r="G199" s="29"/>
      <c r="H199" s="29"/>
      <c r="I199" s="29"/>
      <c r="J199" s="29"/>
      <c r="K199" s="29"/>
      <c r="L199" s="29"/>
      <c r="M199" s="29"/>
      <c r="N199" s="29"/>
      <c r="O199" s="29"/>
      <c r="P199" s="29"/>
      <c r="Q199" s="29"/>
      <c r="R199" s="29"/>
      <c r="S199" s="29"/>
      <c r="T199" s="29"/>
      <c r="U199" s="29"/>
      <c r="V199" s="29"/>
      <c r="W199" s="29"/>
      <c r="X199" s="29"/>
      <c r="Y199" s="29"/>
      <c r="Z199" s="29"/>
      <c r="AA199" s="29"/>
      <c r="AB199" s="29"/>
      <c r="AC199" s="29"/>
      <c r="AD199" s="29"/>
      <c r="AE199" s="29"/>
      <c r="AF199" s="29"/>
      <c r="AG199" s="29"/>
      <c r="AH199" s="29"/>
      <c r="AI199" s="29"/>
      <c r="AJ199" s="29"/>
      <c r="AK199" s="29"/>
      <c r="AL199" s="29"/>
      <c r="AM199" s="29"/>
      <c r="AN199" s="29"/>
      <c r="AO199" s="29"/>
      <c r="AP199" s="29"/>
      <c r="AQ199" s="29"/>
      <c r="AR199" s="29"/>
      <c r="AS199" s="29"/>
      <c r="AT199" s="29"/>
      <c r="AU199" s="29"/>
      <c r="AV199" s="29"/>
      <c r="AW199" s="29"/>
      <c r="AX199" s="29"/>
    </row>
    <row r="200" ht="15.75" customHeight="1">
      <c r="A200" s="29"/>
      <c r="B200" s="29"/>
      <c r="C200" s="31"/>
      <c r="D200" s="29"/>
      <c r="E200" s="29"/>
      <c r="F200" s="29"/>
      <c r="G200" s="29"/>
      <c r="H200" s="29"/>
      <c r="I200" s="29"/>
      <c r="J200" s="29"/>
      <c r="K200" s="29"/>
      <c r="L200" s="29"/>
      <c r="M200" s="29"/>
      <c r="N200" s="29"/>
      <c r="O200" s="29"/>
      <c r="P200" s="29"/>
      <c r="Q200" s="29"/>
      <c r="R200" s="29"/>
      <c r="S200" s="29"/>
      <c r="T200" s="29"/>
      <c r="U200" s="29"/>
      <c r="V200" s="29"/>
      <c r="W200" s="29"/>
      <c r="X200" s="29"/>
      <c r="Y200" s="29"/>
      <c r="Z200" s="29"/>
      <c r="AA200" s="29"/>
      <c r="AB200" s="29"/>
      <c r="AC200" s="29"/>
      <c r="AD200" s="29"/>
      <c r="AE200" s="29"/>
      <c r="AF200" s="29"/>
      <c r="AG200" s="29"/>
      <c r="AH200" s="29"/>
      <c r="AI200" s="29"/>
      <c r="AJ200" s="29"/>
      <c r="AK200" s="29"/>
      <c r="AL200" s="29"/>
      <c r="AM200" s="29"/>
      <c r="AN200" s="29"/>
      <c r="AO200" s="29"/>
      <c r="AP200" s="29"/>
      <c r="AQ200" s="29"/>
      <c r="AR200" s="29"/>
      <c r="AS200" s="29"/>
      <c r="AT200" s="29"/>
      <c r="AU200" s="29"/>
      <c r="AV200" s="29"/>
      <c r="AW200" s="29"/>
      <c r="AX200" s="29"/>
    </row>
    <row r="201" ht="15.75" customHeight="1">
      <c r="A201" s="29"/>
      <c r="B201" s="29"/>
      <c r="C201" s="31"/>
      <c r="D201" s="29"/>
      <c r="E201" s="29"/>
      <c r="F201" s="29"/>
      <c r="G201" s="29"/>
      <c r="H201" s="29"/>
      <c r="I201" s="29"/>
      <c r="J201" s="29"/>
      <c r="K201" s="29"/>
      <c r="L201" s="29"/>
      <c r="M201" s="29"/>
      <c r="N201" s="29"/>
      <c r="O201" s="29"/>
      <c r="P201" s="29"/>
      <c r="Q201" s="29"/>
      <c r="R201" s="29"/>
      <c r="S201" s="29"/>
      <c r="T201" s="29"/>
      <c r="U201" s="29"/>
      <c r="V201" s="29"/>
      <c r="W201" s="29"/>
      <c r="X201" s="29"/>
      <c r="Y201" s="29"/>
      <c r="Z201" s="29"/>
      <c r="AA201" s="29"/>
      <c r="AB201" s="29"/>
      <c r="AC201" s="29"/>
      <c r="AD201" s="29"/>
      <c r="AE201" s="29"/>
      <c r="AF201" s="29"/>
      <c r="AG201" s="29"/>
      <c r="AH201" s="29"/>
      <c r="AI201" s="29"/>
      <c r="AJ201" s="29"/>
      <c r="AK201" s="29"/>
      <c r="AL201" s="29"/>
      <c r="AM201" s="29"/>
      <c r="AN201" s="29"/>
      <c r="AO201" s="29"/>
      <c r="AP201" s="29"/>
      <c r="AQ201" s="29"/>
      <c r="AR201" s="29"/>
      <c r="AS201" s="29"/>
      <c r="AT201" s="29"/>
      <c r="AU201" s="29"/>
      <c r="AV201" s="29"/>
      <c r="AW201" s="29"/>
      <c r="AX201" s="29"/>
    </row>
    <row r="202" ht="15.75" customHeight="1">
      <c r="A202" s="29"/>
      <c r="B202" s="29"/>
      <c r="C202" s="31"/>
      <c r="D202" s="29"/>
      <c r="E202" s="29"/>
      <c r="F202" s="29"/>
      <c r="G202" s="29"/>
      <c r="H202" s="29"/>
      <c r="I202" s="29"/>
      <c r="J202" s="29"/>
      <c r="K202" s="29"/>
      <c r="L202" s="29"/>
      <c r="M202" s="29"/>
      <c r="N202" s="29"/>
      <c r="O202" s="29"/>
      <c r="P202" s="29"/>
      <c r="Q202" s="29"/>
      <c r="R202" s="29"/>
      <c r="S202" s="29"/>
      <c r="T202" s="29"/>
      <c r="U202" s="29"/>
      <c r="V202" s="29"/>
      <c r="W202" s="29"/>
      <c r="X202" s="29"/>
      <c r="Y202" s="29"/>
      <c r="Z202" s="29"/>
      <c r="AA202" s="29"/>
      <c r="AB202" s="29"/>
      <c r="AC202" s="29"/>
      <c r="AD202" s="29"/>
      <c r="AE202" s="29"/>
      <c r="AF202" s="29"/>
      <c r="AG202" s="29"/>
      <c r="AH202" s="29"/>
      <c r="AI202" s="29"/>
      <c r="AJ202" s="29"/>
      <c r="AK202" s="29"/>
      <c r="AL202" s="29"/>
      <c r="AM202" s="29"/>
      <c r="AN202" s="29"/>
      <c r="AO202" s="29"/>
      <c r="AP202" s="29"/>
      <c r="AQ202" s="29"/>
      <c r="AR202" s="29"/>
      <c r="AS202" s="29"/>
      <c r="AT202" s="29"/>
      <c r="AU202" s="29"/>
      <c r="AV202" s="29"/>
      <c r="AW202" s="29"/>
      <c r="AX202" s="29"/>
    </row>
    <row r="203" ht="15.75" customHeight="1">
      <c r="A203" s="29"/>
      <c r="B203" s="29"/>
      <c r="C203" s="31"/>
      <c r="D203" s="29"/>
      <c r="E203" s="29"/>
      <c r="F203" s="29"/>
      <c r="G203" s="29"/>
      <c r="H203" s="29"/>
      <c r="I203" s="29"/>
      <c r="J203" s="29"/>
      <c r="K203" s="29"/>
      <c r="L203" s="29"/>
      <c r="M203" s="29"/>
      <c r="N203" s="29"/>
      <c r="O203" s="29"/>
      <c r="P203" s="29"/>
      <c r="Q203" s="29"/>
      <c r="R203" s="29"/>
      <c r="S203" s="29"/>
      <c r="T203" s="29"/>
      <c r="U203" s="29"/>
      <c r="V203" s="29"/>
      <c r="W203" s="29"/>
      <c r="X203" s="29"/>
      <c r="Y203" s="29"/>
      <c r="Z203" s="29"/>
      <c r="AA203" s="29"/>
      <c r="AB203" s="29"/>
      <c r="AC203" s="29"/>
      <c r="AD203" s="29"/>
      <c r="AE203" s="29"/>
      <c r="AF203" s="29"/>
      <c r="AG203" s="29"/>
      <c r="AH203" s="29"/>
      <c r="AI203" s="29"/>
      <c r="AJ203" s="29"/>
      <c r="AK203" s="29"/>
      <c r="AL203" s="29"/>
      <c r="AM203" s="29"/>
      <c r="AN203" s="29"/>
      <c r="AO203" s="29"/>
      <c r="AP203" s="29"/>
      <c r="AQ203" s="29"/>
      <c r="AR203" s="29"/>
      <c r="AS203" s="29"/>
      <c r="AT203" s="29"/>
      <c r="AU203" s="29"/>
      <c r="AV203" s="29"/>
      <c r="AW203" s="29"/>
      <c r="AX203" s="29"/>
    </row>
    <row r="204" ht="15.75" customHeight="1">
      <c r="A204" s="29"/>
      <c r="B204" s="29"/>
      <c r="C204" s="31"/>
      <c r="D204" s="29"/>
      <c r="E204" s="29"/>
      <c r="F204" s="29"/>
      <c r="G204" s="29"/>
      <c r="H204" s="29"/>
      <c r="I204" s="29"/>
      <c r="J204" s="29"/>
      <c r="K204" s="29"/>
      <c r="L204" s="29"/>
      <c r="M204" s="29"/>
      <c r="N204" s="29"/>
      <c r="O204" s="29"/>
      <c r="P204" s="29"/>
      <c r="Q204" s="29"/>
      <c r="R204" s="29"/>
      <c r="S204" s="29"/>
      <c r="T204" s="29"/>
      <c r="U204" s="29"/>
      <c r="V204" s="29"/>
      <c r="W204" s="29"/>
      <c r="X204" s="29"/>
      <c r="Y204" s="29"/>
      <c r="Z204" s="29"/>
      <c r="AA204" s="29"/>
      <c r="AB204" s="29"/>
      <c r="AC204" s="29"/>
      <c r="AD204" s="29"/>
      <c r="AE204" s="29"/>
      <c r="AF204" s="29"/>
      <c r="AG204" s="29"/>
      <c r="AH204" s="29"/>
      <c r="AI204" s="29"/>
      <c r="AJ204" s="29"/>
      <c r="AK204" s="29"/>
      <c r="AL204" s="29"/>
      <c r="AM204" s="29"/>
      <c r="AN204" s="29"/>
      <c r="AO204" s="29"/>
      <c r="AP204" s="29"/>
      <c r="AQ204" s="29"/>
      <c r="AR204" s="29"/>
      <c r="AS204" s="29"/>
      <c r="AT204" s="29"/>
      <c r="AU204" s="29"/>
      <c r="AV204" s="29"/>
      <c r="AW204" s="29"/>
      <c r="AX204" s="29"/>
    </row>
    <row r="205" ht="15.75" customHeight="1">
      <c r="A205" s="29"/>
      <c r="B205" s="29"/>
      <c r="C205" s="31"/>
      <c r="D205" s="29"/>
      <c r="E205" s="29"/>
      <c r="F205" s="29"/>
      <c r="G205" s="29"/>
      <c r="H205" s="29"/>
      <c r="I205" s="29"/>
      <c r="J205" s="29"/>
      <c r="K205" s="29"/>
      <c r="L205" s="29"/>
      <c r="M205" s="29"/>
      <c r="N205" s="29"/>
      <c r="O205" s="29"/>
      <c r="P205" s="29"/>
      <c r="Q205" s="29"/>
      <c r="R205" s="29"/>
      <c r="S205" s="29"/>
      <c r="T205" s="29"/>
      <c r="U205" s="29"/>
      <c r="V205" s="29"/>
      <c r="W205" s="29"/>
      <c r="X205" s="29"/>
      <c r="Y205" s="29"/>
      <c r="Z205" s="29"/>
      <c r="AA205" s="29"/>
      <c r="AB205" s="29"/>
      <c r="AC205" s="29"/>
      <c r="AD205" s="29"/>
      <c r="AE205" s="29"/>
      <c r="AF205" s="29"/>
      <c r="AG205" s="29"/>
      <c r="AH205" s="29"/>
      <c r="AI205" s="29"/>
      <c r="AJ205" s="29"/>
      <c r="AK205" s="29"/>
      <c r="AL205" s="29"/>
      <c r="AM205" s="29"/>
      <c r="AN205" s="29"/>
      <c r="AO205" s="29"/>
      <c r="AP205" s="29"/>
      <c r="AQ205" s="29"/>
      <c r="AR205" s="29"/>
      <c r="AS205" s="29"/>
      <c r="AT205" s="29"/>
      <c r="AU205" s="29"/>
      <c r="AV205" s="29"/>
      <c r="AW205" s="29"/>
      <c r="AX205" s="29"/>
    </row>
    <row r="206" ht="15.75" customHeight="1">
      <c r="A206" s="29"/>
      <c r="B206" s="29"/>
      <c r="C206" s="31"/>
      <c r="D206" s="29"/>
      <c r="E206" s="29"/>
      <c r="F206" s="29"/>
      <c r="G206" s="29"/>
      <c r="H206" s="29"/>
      <c r="I206" s="29"/>
      <c r="J206" s="29"/>
      <c r="K206" s="29"/>
      <c r="L206" s="29"/>
      <c r="M206" s="29"/>
      <c r="N206" s="29"/>
      <c r="O206" s="29"/>
      <c r="P206" s="29"/>
      <c r="Q206" s="29"/>
      <c r="R206" s="29"/>
      <c r="S206" s="29"/>
      <c r="T206" s="29"/>
      <c r="U206" s="29"/>
      <c r="V206" s="29"/>
      <c r="W206" s="29"/>
      <c r="X206" s="29"/>
      <c r="Y206" s="29"/>
      <c r="Z206" s="29"/>
      <c r="AA206" s="29"/>
      <c r="AB206" s="29"/>
      <c r="AC206" s="29"/>
      <c r="AD206" s="29"/>
      <c r="AE206" s="29"/>
      <c r="AF206" s="29"/>
      <c r="AG206" s="29"/>
      <c r="AH206" s="29"/>
      <c r="AI206" s="29"/>
      <c r="AJ206" s="29"/>
      <c r="AK206" s="29"/>
      <c r="AL206" s="29"/>
      <c r="AM206" s="29"/>
      <c r="AN206" s="29"/>
      <c r="AO206" s="29"/>
      <c r="AP206" s="29"/>
      <c r="AQ206" s="29"/>
      <c r="AR206" s="29"/>
      <c r="AS206" s="29"/>
      <c r="AT206" s="29"/>
      <c r="AU206" s="29"/>
      <c r="AV206" s="29"/>
      <c r="AW206" s="29"/>
      <c r="AX206" s="29"/>
    </row>
    <row r="207" ht="15.75" customHeight="1">
      <c r="A207" s="29"/>
      <c r="B207" s="29"/>
      <c r="C207" s="31"/>
      <c r="D207" s="29"/>
      <c r="E207" s="29"/>
      <c r="F207" s="29"/>
      <c r="G207" s="29"/>
      <c r="H207" s="29"/>
      <c r="I207" s="29"/>
      <c r="J207" s="29"/>
      <c r="K207" s="29"/>
      <c r="L207" s="29"/>
      <c r="M207" s="29"/>
      <c r="N207" s="29"/>
      <c r="O207" s="29"/>
      <c r="P207" s="29"/>
      <c r="Q207" s="29"/>
      <c r="R207" s="29"/>
      <c r="S207" s="29"/>
      <c r="T207" s="29"/>
      <c r="U207" s="29"/>
      <c r="V207" s="29"/>
      <c r="W207" s="29"/>
      <c r="X207" s="29"/>
      <c r="Y207" s="29"/>
      <c r="Z207" s="29"/>
      <c r="AA207" s="29"/>
      <c r="AB207" s="29"/>
      <c r="AC207" s="29"/>
      <c r="AD207" s="29"/>
      <c r="AE207" s="29"/>
      <c r="AF207" s="29"/>
      <c r="AG207" s="29"/>
      <c r="AH207" s="29"/>
      <c r="AI207" s="29"/>
      <c r="AJ207" s="29"/>
      <c r="AK207" s="29"/>
      <c r="AL207" s="29"/>
      <c r="AM207" s="29"/>
      <c r="AN207" s="29"/>
      <c r="AO207" s="29"/>
      <c r="AP207" s="29"/>
      <c r="AQ207" s="29"/>
      <c r="AR207" s="29"/>
      <c r="AS207" s="29"/>
      <c r="AT207" s="29"/>
      <c r="AU207" s="29"/>
      <c r="AV207" s="29"/>
      <c r="AW207" s="29"/>
      <c r="AX207" s="29"/>
    </row>
    <row r="208" ht="15.75" customHeight="1">
      <c r="A208" s="29"/>
      <c r="B208" s="29"/>
      <c r="C208" s="31"/>
      <c r="D208" s="29"/>
      <c r="E208" s="29"/>
      <c r="F208" s="29"/>
      <c r="G208" s="29"/>
      <c r="H208" s="29"/>
      <c r="I208" s="29"/>
      <c r="J208" s="29"/>
      <c r="K208" s="29"/>
      <c r="L208" s="29"/>
      <c r="M208" s="29"/>
      <c r="N208" s="29"/>
      <c r="O208" s="29"/>
      <c r="P208" s="29"/>
      <c r="Q208" s="29"/>
      <c r="R208" s="29"/>
      <c r="S208" s="29"/>
      <c r="T208" s="29"/>
      <c r="U208" s="29"/>
      <c r="V208" s="29"/>
      <c r="W208" s="29"/>
      <c r="X208" s="29"/>
      <c r="Y208" s="29"/>
      <c r="Z208" s="29"/>
      <c r="AA208" s="29"/>
      <c r="AB208" s="29"/>
      <c r="AC208" s="29"/>
      <c r="AD208" s="29"/>
      <c r="AE208" s="29"/>
      <c r="AF208" s="29"/>
      <c r="AG208" s="29"/>
      <c r="AH208" s="29"/>
      <c r="AI208" s="29"/>
      <c r="AJ208" s="29"/>
      <c r="AK208" s="29"/>
      <c r="AL208" s="29"/>
      <c r="AM208" s="29"/>
      <c r="AN208" s="29"/>
      <c r="AO208" s="29"/>
      <c r="AP208" s="29"/>
      <c r="AQ208" s="29"/>
      <c r="AR208" s="29"/>
      <c r="AS208" s="29"/>
      <c r="AT208" s="29"/>
      <c r="AU208" s="29"/>
      <c r="AV208" s="29"/>
      <c r="AW208" s="29"/>
      <c r="AX208" s="29"/>
    </row>
    <row r="209" ht="15.75" customHeight="1">
      <c r="A209" s="29"/>
      <c r="B209" s="29"/>
      <c r="C209" s="31"/>
      <c r="D209" s="29"/>
      <c r="E209" s="29"/>
      <c r="F209" s="29"/>
      <c r="G209" s="29"/>
      <c r="H209" s="29"/>
      <c r="I209" s="29"/>
      <c r="J209" s="29"/>
      <c r="K209" s="29"/>
      <c r="L209" s="29"/>
      <c r="M209" s="29"/>
      <c r="N209" s="29"/>
      <c r="O209" s="29"/>
      <c r="P209" s="29"/>
      <c r="Q209" s="29"/>
      <c r="R209" s="29"/>
      <c r="S209" s="29"/>
      <c r="T209" s="29"/>
      <c r="U209" s="29"/>
      <c r="V209" s="29"/>
      <c r="W209" s="29"/>
      <c r="X209" s="29"/>
      <c r="Y209" s="29"/>
      <c r="Z209" s="29"/>
      <c r="AA209" s="29"/>
      <c r="AB209" s="29"/>
      <c r="AC209" s="29"/>
      <c r="AD209" s="29"/>
      <c r="AE209" s="29"/>
      <c r="AF209" s="29"/>
      <c r="AG209" s="29"/>
      <c r="AH209" s="29"/>
      <c r="AI209" s="29"/>
      <c r="AJ209" s="29"/>
      <c r="AK209" s="29"/>
      <c r="AL209" s="29"/>
      <c r="AM209" s="29"/>
      <c r="AN209" s="29"/>
      <c r="AO209" s="29"/>
      <c r="AP209" s="29"/>
      <c r="AQ209" s="29"/>
      <c r="AR209" s="29"/>
      <c r="AS209" s="29"/>
      <c r="AT209" s="29"/>
      <c r="AU209" s="29"/>
      <c r="AV209" s="29"/>
      <c r="AW209" s="29"/>
      <c r="AX209" s="29"/>
    </row>
    <row r="210" ht="15.75" customHeight="1">
      <c r="A210" s="29"/>
      <c r="B210" s="29"/>
      <c r="C210" s="31"/>
      <c r="D210" s="29"/>
      <c r="E210" s="29"/>
      <c r="F210" s="29"/>
      <c r="G210" s="29"/>
      <c r="H210" s="29"/>
      <c r="I210" s="29"/>
      <c r="J210" s="29"/>
      <c r="K210" s="29"/>
      <c r="L210" s="29"/>
      <c r="M210" s="29"/>
      <c r="N210" s="29"/>
      <c r="O210" s="29"/>
      <c r="P210" s="29"/>
      <c r="Q210" s="29"/>
      <c r="R210" s="29"/>
      <c r="S210" s="29"/>
      <c r="T210" s="29"/>
      <c r="U210" s="29"/>
      <c r="V210" s="29"/>
      <c r="W210" s="29"/>
      <c r="X210" s="29"/>
      <c r="Y210" s="29"/>
      <c r="Z210" s="29"/>
      <c r="AA210" s="29"/>
      <c r="AB210" s="29"/>
      <c r="AC210" s="29"/>
      <c r="AD210" s="29"/>
      <c r="AE210" s="29"/>
      <c r="AF210" s="29"/>
      <c r="AG210" s="29"/>
      <c r="AH210" s="29"/>
      <c r="AI210" s="29"/>
      <c r="AJ210" s="29"/>
      <c r="AK210" s="29"/>
      <c r="AL210" s="29"/>
      <c r="AM210" s="29"/>
      <c r="AN210" s="29"/>
      <c r="AO210" s="29"/>
      <c r="AP210" s="29"/>
      <c r="AQ210" s="29"/>
      <c r="AR210" s="29"/>
      <c r="AS210" s="29"/>
      <c r="AT210" s="29"/>
      <c r="AU210" s="29"/>
      <c r="AV210" s="29"/>
      <c r="AW210" s="29"/>
      <c r="AX210" s="29"/>
    </row>
    <row r="211" ht="15.75" customHeight="1">
      <c r="A211" s="29"/>
      <c r="B211" s="29"/>
      <c r="C211" s="31"/>
      <c r="D211" s="29"/>
      <c r="E211" s="29"/>
      <c r="F211" s="29"/>
      <c r="G211" s="29"/>
      <c r="H211" s="29"/>
      <c r="I211" s="29"/>
      <c r="J211" s="29"/>
      <c r="K211" s="29"/>
      <c r="L211" s="29"/>
      <c r="M211" s="29"/>
      <c r="N211" s="29"/>
      <c r="O211" s="29"/>
      <c r="P211" s="29"/>
      <c r="Q211" s="29"/>
      <c r="R211" s="29"/>
      <c r="S211" s="29"/>
      <c r="T211" s="29"/>
      <c r="U211" s="29"/>
      <c r="V211" s="29"/>
      <c r="W211" s="29"/>
      <c r="X211" s="29"/>
      <c r="Y211" s="29"/>
      <c r="Z211" s="29"/>
      <c r="AA211" s="29"/>
      <c r="AB211" s="29"/>
      <c r="AC211" s="29"/>
      <c r="AD211" s="29"/>
      <c r="AE211" s="29"/>
      <c r="AF211" s="29"/>
      <c r="AG211" s="29"/>
      <c r="AH211" s="29"/>
      <c r="AI211" s="29"/>
      <c r="AJ211" s="29"/>
      <c r="AK211" s="29"/>
      <c r="AL211" s="29"/>
      <c r="AM211" s="29"/>
      <c r="AN211" s="29"/>
      <c r="AO211" s="29"/>
      <c r="AP211" s="29"/>
      <c r="AQ211" s="29"/>
      <c r="AR211" s="29"/>
      <c r="AS211" s="29"/>
      <c r="AT211" s="29"/>
      <c r="AU211" s="29"/>
      <c r="AV211" s="29"/>
      <c r="AW211" s="29"/>
      <c r="AX211" s="29"/>
    </row>
    <row r="212" ht="15.75" customHeight="1">
      <c r="A212" s="29"/>
      <c r="B212" s="29"/>
      <c r="C212" s="31"/>
      <c r="D212" s="29"/>
      <c r="E212" s="29"/>
      <c r="F212" s="29"/>
      <c r="G212" s="29"/>
      <c r="H212" s="29"/>
      <c r="I212" s="29"/>
      <c r="J212" s="29"/>
      <c r="K212" s="29"/>
      <c r="L212" s="29"/>
      <c r="M212" s="29"/>
      <c r="N212" s="29"/>
      <c r="O212" s="29"/>
      <c r="P212" s="29"/>
      <c r="Q212" s="29"/>
      <c r="R212" s="29"/>
      <c r="S212" s="29"/>
      <c r="T212" s="29"/>
      <c r="U212" s="29"/>
      <c r="V212" s="29"/>
      <c r="W212" s="29"/>
      <c r="X212" s="29"/>
      <c r="Y212" s="29"/>
      <c r="Z212" s="29"/>
      <c r="AA212" s="29"/>
      <c r="AB212" s="29"/>
      <c r="AC212" s="29"/>
      <c r="AD212" s="29"/>
      <c r="AE212" s="29"/>
      <c r="AF212" s="29"/>
      <c r="AG212" s="29"/>
      <c r="AH212" s="29"/>
      <c r="AI212" s="29"/>
      <c r="AJ212" s="29"/>
      <c r="AK212" s="29"/>
      <c r="AL212" s="29"/>
      <c r="AM212" s="29"/>
      <c r="AN212" s="29"/>
      <c r="AO212" s="29"/>
      <c r="AP212" s="29"/>
      <c r="AQ212" s="29"/>
      <c r="AR212" s="29"/>
      <c r="AS212" s="29"/>
      <c r="AT212" s="29"/>
      <c r="AU212" s="29"/>
      <c r="AV212" s="29"/>
      <c r="AW212" s="29"/>
      <c r="AX212" s="29"/>
    </row>
    <row r="213" ht="15.75" customHeight="1">
      <c r="A213" s="29"/>
      <c r="B213" s="29"/>
      <c r="C213" s="31"/>
      <c r="D213" s="29"/>
      <c r="E213" s="29"/>
      <c r="F213" s="29"/>
      <c r="G213" s="29"/>
      <c r="H213" s="29"/>
      <c r="I213" s="29"/>
      <c r="J213" s="29"/>
      <c r="K213" s="29"/>
      <c r="L213" s="29"/>
      <c r="M213" s="29"/>
      <c r="N213" s="29"/>
      <c r="O213" s="29"/>
      <c r="P213" s="29"/>
      <c r="Q213" s="29"/>
      <c r="R213" s="29"/>
      <c r="S213" s="29"/>
      <c r="T213" s="29"/>
      <c r="U213" s="29"/>
      <c r="V213" s="29"/>
      <c r="W213" s="29"/>
      <c r="X213" s="29"/>
      <c r="Y213" s="29"/>
      <c r="Z213" s="29"/>
      <c r="AA213" s="29"/>
      <c r="AB213" s="29"/>
      <c r="AC213" s="29"/>
      <c r="AD213" s="29"/>
      <c r="AE213" s="29"/>
      <c r="AF213" s="29"/>
      <c r="AG213" s="29"/>
      <c r="AH213" s="29"/>
      <c r="AI213" s="29"/>
      <c r="AJ213" s="29"/>
      <c r="AK213" s="29"/>
      <c r="AL213" s="29"/>
      <c r="AM213" s="29"/>
      <c r="AN213" s="29"/>
      <c r="AO213" s="29"/>
      <c r="AP213" s="29"/>
      <c r="AQ213" s="29"/>
      <c r="AR213" s="29"/>
      <c r="AS213" s="29"/>
      <c r="AT213" s="29"/>
      <c r="AU213" s="29"/>
      <c r="AV213" s="29"/>
      <c r="AW213" s="29"/>
      <c r="AX213" s="29"/>
    </row>
    <row r="214" ht="15.75" customHeight="1">
      <c r="A214" s="29"/>
      <c r="B214" s="29"/>
      <c r="C214" s="31"/>
      <c r="D214" s="29"/>
      <c r="E214" s="29"/>
      <c r="F214" s="29"/>
      <c r="G214" s="29"/>
      <c r="H214" s="29"/>
      <c r="I214" s="29"/>
      <c r="J214" s="29"/>
      <c r="K214" s="29"/>
      <c r="L214" s="29"/>
      <c r="M214" s="29"/>
      <c r="N214" s="29"/>
      <c r="O214" s="29"/>
      <c r="P214" s="29"/>
      <c r="Q214" s="29"/>
      <c r="R214" s="29"/>
      <c r="S214" s="29"/>
      <c r="T214" s="29"/>
      <c r="U214" s="29"/>
      <c r="V214" s="29"/>
      <c r="W214" s="29"/>
      <c r="X214" s="29"/>
      <c r="Y214" s="29"/>
      <c r="Z214" s="29"/>
      <c r="AA214" s="29"/>
      <c r="AB214" s="29"/>
      <c r="AC214" s="29"/>
      <c r="AD214" s="29"/>
      <c r="AE214" s="29"/>
      <c r="AF214" s="29"/>
      <c r="AG214" s="29"/>
      <c r="AH214" s="29"/>
      <c r="AI214" s="29"/>
      <c r="AJ214" s="29"/>
      <c r="AK214" s="29"/>
      <c r="AL214" s="29"/>
      <c r="AM214" s="29"/>
      <c r="AN214" s="29"/>
      <c r="AO214" s="29"/>
      <c r="AP214" s="29"/>
      <c r="AQ214" s="29"/>
      <c r="AR214" s="29"/>
      <c r="AS214" s="29"/>
      <c r="AT214" s="29"/>
      <c r="AU214" s="29"/>
      <c r="AV214" s="29"/>
      <c r="AW214" s="29"/>
      <c r="AX214" s="29"/>
    </row>
    <row r="215" ht="15.75" customHeight="1">
      <c r="A215" s="29"/>
      <c r="B215" s="29"/>
      <c r="C215" s="31"/>
      <c r="D215" s="29"/>
      <c r="E215" s="29"/>
      <c r="F215" s="29"/>
      <c r="G215" s="29"/>
      <c r="H215" s="29"/>
      <c r="I215" s="29"/>
      <c r="J215" s="29"/>
      <c r="K215" s="29"/>
      <c r="L215" s="29"/>
      <c r="M215" s="29"/>
      <c r="N215" s="29"/>
      <c r="O215" s="29"/>
      <c r="P215" s="29"/>
      <c r="Q215" s="29"/>
      <c r="R215" s="29"/>
      <c r="S215" s="29"/>
      <c r="T215" s="29"/>
      <c r="U215" s="29"/>
      <c r="V215" s="29"/>
      <c r="W215" s="29"/>
      <c r="X215" s="29"/>
      <c r="Y215" s="29"/>
      <c r="Z215" s="29"/>
      <c r="AA215" s="29"/>
      <c r="AB215" s="29"/>
      <c r="AC215" s="29"/>
      <c r="AD215" s="29"/>
      <c r="AE215" s="29"/>
      <c r="AF215" s="29"/>
      <c r="AG215" s="29"/>
      <c r="AH215" s="29"/>
      <c r="AI215" s="29"/>
      <c r="AJ215" s="29"/>
      <c r="AK215" s="29"/>
      <c r="AL215" s="29"/>
      <c r="AM215" s="29"/>
      <c r="AN215" s="29"/>
      <c r="AO215" s="29"/>
      <c r="AP215" s="29"/>
      <c r="AQ215" s="29"/>
      <c r="AR215" s="29"/>
      <c r="AS215" s="29"/>
      <c r="AT215" s="29"/>
      <c r="AU215" s="29"/>
      <c r="AV215" s="29"/>
      <c r="AW215" s="29"/>
      <c r="AX215" s="29"/>
    </row>
    <row r="216" ht="15.75" customHeight="1">
      <c r="A216" s="29"/>
      <c r="B216" s="29"/>
      <c r="C216" s="31"/>
      <c r="D216" s="29"/>
      <c r="E216" s="29"/>
      <c r="F216" s="29"/>
      <c r="G216" s="29"/>
      <c r="H216" s="29"/>
      <c r="I216" s="29"/>
      <c r="J216" s="29"/>
      <c r="K216" s="29"/>
      <c r="L216" s="29"/>
      <c r="M216" s="29"/>
      <c r="N216" s="29"/>
      <c r="O216" s="29"/>
      <c r="P216" s="29"/>
      <c r="Q216" s="29"/>
      <c r="R216" s="29"/>
      <c r="S216" s="29"/>
      <c r="T216" s="29"/>
      <c r="U216" s="29"/>
      <c r="V216" s="29"/>
      <c r="W216" s="29"/>
      <c r="X216" s="29"/>
      <c r="Y216" s="29"/>
      <c r="Z216" s="29"/>
      <c r="AA216" s="29"/>
      <c r="AB216" s="29"/>
      <c r="AC216" s="29"/>
      <c r="AD216" s="29"/>
      <c r="AE216" s="29"/>
      <c r="AF216" s="29"/>
      <c r="AG216" s="29"/>
      <c r="AH216" s="29"/>
      <c r="AI216" s="29"/>
      <c r="AJ216" s="29"/>
      <c r="AK216" s="29"/>
      <c r="AL216" s="29"/>
      <c r="AM216" s="29"/>
      <c r="AN216" s="29"/>
      <c r="AO216" s="29"/>
      <c r="AP216" s="29"/>
      <c r="AQ216" s="29"/>
      <c r="AR216" s="29"/>
      <c r="AS216" s="29"/>
      <c r="AT216" s="29"/>
      <c r="AU216" s="29"/>
      <c r="AV216" s="29"/>
      <c r="AW216" s="29"/>
      <c r="AX216" s="29"/>
    </row>
    <row r="217" ht="15.75" customHeight="1">
      <c r="A217" s="29"/>
      <c r="B217" s="29"/>
      <c r="C217" s="31"/>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29"/>
      <c r="AB217" s="29"/>
      <c r="AC217" s="29"/>
      <c r="AD217" s="29"/>
      <c r="AE217" s="29"/>
      <c r="AF217" s="29"/>
      <c r="AG217" s="29"/>
      <c r="AH217" s="29"/>
      <c r="AI217" s="29"/>
      <c r="AJ217" s="29"/>
      <c r="AK217" s="29"/>
      <c r="AL217" s="29"/>
      <c r="AM217" s="29"/>
      <c r="AN217" s="29"/>
      <c r="AO217" s="29"/>
      <c r="AP217" s="29"/>
      <c r="AQ217" s="29"/>
      <c r="AR217" s="29"/>
      <c r="AS217" s="29"/>
      <c r="AT217" s="29"/>
      <c r="AU217" s="29"/>
      <c r="AV217" s="29"/>
      <c r="AW217" s="29"/>
      <c r="AX217" s="29"/>
    </row>
    <row r="218" ht="15.75" customHeight="1">
      <c r="A218" s="29"/>
      <c r="B218" s="29"/>
      <c r="C218" s="31"/>
      <c r="D218" s="29"/>
      <c r="E218" s="29"/>
      <c r="F218" s="29"/>
      <c r="G218" s="29"/>
      <c r="H218" s="29"/>
      <c r="I218" s="29"/>
      <c r="J218" s="29"/>
      <c r="K218" s="29"/>
      <c r="L218" s="29"/>
      <c r="M218" s="29"/>
      <c r="N218" s="29"/>
      <c r="O218" s="29"/>
      <c r="P218" s="29"/>
      <c r="Q218" s="29"/>
      <c r="R218" s="29"/>
      <c r="S218" s="29"/>
      <c r="T218" s="29"/>
      <c r="U218" s="29"/>
      <c r="V218" s="29"/>
      <c r="W218" s="29"/>
      <c r="X218" s="29"/>
      <c r="Y218" s="29"/>
      <c r="Z218" s="29"/>
      <c r="AA218" s="29"/>
      <c r="AB218" s="29"/>
      <c r="AC218" s="29"/>
      <c r="AD218" s="29"/>
      <c r="AE218" s="29"/>
      <c r="AF218" s="29"/>
      <c r="AG218" s="29"/>
      <c r="AH218" s="29"/>
      <c r="AI218" s="29"/>
      <c r="AJ218" s="29"/>
      <c r="AK218" s="29"/>
      <c r="AL218" s="29"/>
      <c r="AM218" s="29"/>
      <c r="AN218" s="29"/>
      <c r="AO218" s="29"/>
      <c r="AP218" s="29"/>
      <c r="AQ218" s="29"/>
      <c r="AR218" s="29"/>
      <c r="AS218" s="29"/>
      <c r="AT218" s="29"/>
      <c r="AU218" s="29"/>
      <c r="AV218" s="29"/>
      <c r="AW218" s="29"/>
      <c r="AX218" s="29"/>
    </row>
    <row r="219" ht="15.75" customHeight="1">
      <c r="A219" s="29"/>
      <c r="B219" s="29"/>
      <c r="C219" s="31"/>
      <c r="D219" s="29"/>
      <c r="E219" s="29"/>
      <c r="F219" s="29"/>
      <c r="G219" s="29"/>
      <c r="H219" s="29"/>
      <c r="I219" s="29"/>
      <c r="J219" s="29"/>
      <c r="K219" s="29"/>
      <c r="L219" s="29"/>
      <c r="M219" s="29"/>
      <c r="N219" s="29"/>
      <c r="O219" s="29"/>
      <c r="P219" s="29"/>
      <c r="Q219" s="29"/>
      <c r="R219" s="29"/>
      <c r="S219" s="29"/>
      <c r="T219" s="29"/>
      <c r="U219" s="29"/>
      <c r="V219" s="29"/>
      <c r="W219" s="29"/>
      <c r="X219" s="29"/>
      <c r="Y219" s="29"/>
      <c r="Z219" s="29"/>
      <c r="AA219" s="29"/>
      <c r="AB219" s="29"/>
      <c r="AC219" s="29"/>
      <c r="AD219" s="29"/>
      <c r="AE219" s="29"/>
      <c r="AF219" s="29"/>
      <c r="AG219" s="29"/>
      <c r="AH219" s="29"/>
      <c r="AI219" s="29"/>
      <c r="AJ219" s="29"/>
      <c r="AK219" s="29"/>
      <c r="AL219" s="29"/>
      <c r="AM219" s="29"/>
      <c r="AN219" s="29"/>
      <c r="AO219" s="29"/>
      <c r="AP219" s="29"/>
      <c r="AQ219" s="29"/>
      <c r="AR219" s="29"/>
      <c r="AS219" s="29"/>
      <c r="AT219" s="29"/>
      <c r="AU219" s="29"/>
      <c r="AV219" s="29"/>
      <c r="AW219" s="29"/>
      <c r="AX219" s="29"/>
    </row>
    <row r="220" ht="15.75" customHeight="1">
      <c r="A220" s="29"/>
      <c r="B220" s="29"/>
      <c r="C220" s="31"/>
      <c r="D220" s="29"/>
      <c r="E220" s="29"/>
      <c r="F220" s="29"/>
      <c r="G220" s="29"/>
      <c r="H220" s="29"/>
      <c r="I220" s="29"/>
      <c r="J220" s="29"/>
      <c r="K220" s="29"/>
      <c r="L220" s="29"/>
      <c r="M220" s="29"/>
      <c r="N220" s="29"/>
      <c r="O220" s="29"/>
      <c r="P220" s="29"/>
      <c r="Q220" s="29"/>
      <c r="R220" s="29"/>
      <c r="S220" s="29"/>
      <c r="T220" s="29"/>
      <c r="U220" s="29"/>
      <c r="V220" s="29"/>
      <c r="W220" s="29"/>
      <c r="X220" s="29"/>
      <c r="Y220" s="29"/>
      <c r="Z220" s="29"/>
      <c r="AA220" s="29"/>
      <c r="AB220" s="29"/>
      <c r="AC220" s="29"/>
      <c r="AD220" s="29"/>
      <c r="AE220" s="29"/>
      <c r="AF220" s="29"/>
      <c r="AG220" s="29"/>
      <c r="AH220" s="29"/>
      <c r="AI220" s="29"/>
      <c r="AJ220" s="29"/>
      <c r="AK220" s="29"/>
      <c r="AL220" s="29"/>
      <c r="AM220" s="29"/>
      <c r="AN220" s="29"/>
      <c r="AO220" s="29"/>
      <c r="AP220" s="29"/>
      <c r="AQ220" s="29"/>
      <c r="AR220" s="29"/>
      <c r="AS220" s="29"/>
      <c r="AT220" s="29"/>
      <c r="AU220" s="29"/>
      <c r="AV220" s="29"/>
      <c r="AW220" s="29"/>
      <c r="AX220" s="29"/>
    </row>
    <row r="221" ht="15.75" customHeight="1">
      <c r="A221" s="29"/>
      <c r="B221" s="29"/>
      <c r="C221" s="31"/>
      <c r="D221" s="29"/>
      <c r="E221" s="29"/>
      <c r="F221" s="29"/>
      <c r="G221" s="29"/>
      <c r="H221" s="29"/>
      <c r="I221" s="29"/>
      <c r="J221" s="29"/>
      <c r="K221" s="29"/>
      <c r="L221" s="29"/>
      <c r="M221" s="29"/>
      <c r="N221" s="29"/>
      <c r="O221" s="29"/>
      <c r="P221" s="29"/>
      <c r="Q221" s="29"/>
      <c r="R221" s="29"/>
      <c r="S221" s="29"/>
      <c r="T221" s="29"/>
      <c r="U221" s="29"/>
      <c r="V221" s="29"/>
      <c r="W221" s="29"/>
      <c r="X221" s="29"/>
      <c r="Y221" s="29"/>
      <c r="Z221" s="29"/>
      <c r="AA221" s="29"/>
      <c r="AB221" s="29"/>
      <c r="AC221" s="29"/>
      <c r="AD221" s="29"/>
      <c r="AE221" s="29"/>
      <c r="AF221" s="29"/>
      <c r="AG221" s="29"/>
      <c r="AH221" s="29"/>
      <c r="AI221" s="29"/>
      <c r="AJ221" s="29"/>
      <c r="AK221" s="29"/>
      <c r="AL221" s="29"/>
      <c r="AM221" s="29"/>
      <c r="AN221" s="29"/>
      <c r="AO221" s="29"/>
      <c r="AP221" s="29"/>
      <c r="AQ221" s="29"/>
      <c r="AR221" s="29"/>
      <c r="AS221" s="29"/>
      <c r="AT221" s="29"/>
      <c r="AU221" s="29"/>
      <c r="AV221" s="29"/>
      <c r="AW221" s="29"/>
      <c r="AX221" s="29"/>
    </row>
    <row r="222" ht="15.75" customHeight="1">
      <c r="A222" s="29"/>
      <c r="B222" s="29"/>
      <c r="C222" s="31"/>
      <c r="D222" s="29"/>
      <c r="E222" s="29"/>
      <c r="F222" s="29"/>
      <c r="G222" s="29"/>
      <c r="H222" s="29"/>
      <c r="I222" s="29"/>
      <c r="J222" s="29"/>
      <c r="K222" s="29"/>
      <c r="L222" s="29"/>
      <c r="M222" s="29"/>
      <c r="N222" s="29"/>
      <c r="O222" s="29"/>
      <c r="P222" s="29"/>
      <c r="Q222" s="29"/>
      <c r="R222" s="29"/>
      <c r="S222" s="29"/>
      <c r="T222" s="29"/>
      <c r="U222" s="29"/>
      <c r="V222" s="29"/>
      <c r="W222" s="29"/>
      <c r="X222" s="29"/>
      <c r="Y222" s="29"/>
      <c r="Z222" s="29"/>
      <c r="AA222" s="29"/>
      <c r="AB222" s="29"/>
      <c r="AC222" s="29"/>
      <c r="AD222" s="29"/>
      <c r="AE222" s="29"/>
      <c r="AF222" s="29"/>
      <c r="AG222" s="29"/>
      <c r="AH222" s="29"/>
      <c r="AI222" s="29"/>
      <c r="AJ222" s="29"/>
      <c r="AK222" s="29"/>
      <c r="AL222" s="29"/>
      <c r="AM222" s="29"/>
      <c r="AN222" s="29"/>
      <c r="AO222" s="29"/>
      <c r="AP222" s="29"/>
      <c r="AQ222" s="29"/>
      <c r="AR222" s="29"/>
      <c r="AS222" s="29"/>
      <c r="AT222" s="29"/>
      <c r="AU222" s="29"/>
      <c r="AV222" s="29"/>
      <c r="AW222" s="29"/>
      <c r="AX222" s="29"/>
    </row>
    <row r="223" ht="15.75" customHeight="1">
      <c r="A223" s="29"/>
      <c r="B223" s="29"/>
      <c r="C223" s="31"/>
      <c r="D223" s="29"/>
      <c r="E223" s="29"/>
      <c r="F223" s="29"/>
      <c r="G223" s="29"/>
      <c r="H223" s="29"/>
      <c r="I223" s="29"/>
      <c r="J223" s="29"/>
      <c r="K223" s="29"/>
      <c r="L223" s="29"/>
      <c r="M223" s="29"/>
      <c r="N223" s="29"/>
      <c r="O223" s="29"/>
      <c r="P223" s="29"/>
      <c r="Q223" s="29"/>
      <c r="R223" s="29"/>
      <c r="S223" s="29"/>
      <c r="T223" s="29"/>
      <c r="U223" s="29"/>
      <c r="V223" s="29"/>
      <c r="W223" s="29"/>
      <c r="X223" s="29"/>
      <c r="Y223" s="29"/>
      <c r="Z223" s="29"/>
      <c r="AA223" s="29"/>
      <c r="AB223" s="29"/>
      <c r="AC223" s="29"/>
      <c r="AD223" s="29"/>
      <c r="AE223" s="29"/>
      <c r="AF223" s="29"/>
      <c r="AG223" s="29"/>
      <c r="AH223" s="29"/>
      <c r="AI223" s="29"/>
      <c r="AJ223" s="29"/>
      <c r="AK223" s="29"/>
      <c r="AL223" s="29"/>
      <c r="AM223" s="29"/>
      <c r="AN223" s="29"/>
      <c r="AO223" s="29"/>
      <c r="AP223" s="29"/>
      <c r="AQ223" s="29"/>
      <c r="AR223" s="29"/>
      <c r="AS223" s="29"/>
      <c r="AT223" s="29"/>
      <c r="AU223" s="29"/>
      <c r="AV223" s="29"/>
      <c r="AW223" s="29"/>
      <c r="AX223" s="29"/>
    </row>
    <row r="224" ht="15.75" customHeight="1">
      <c r="A224" s="29"/>
      <c r="B224" s="29"/>
      <c r="C224" s="31"/>
      <c r="D224" s="29"/>
      <c r="E224" s="29"/>
      <c r="F224" s="29"/>
      <c r="G224" s="29"/>
      <c r="H224" s="29"/>
      <c r="I224" s="29"/>
      <c r="J224" s="29"/>
      <c r="K224" s="29"/>
      <c r="L224" s="29"/>
      <c r="M224" s="29"/>
      <c r="N224" s="29"/>
      <c r="O224" s="29"/>
      <c r="P224" s="29"/>
      <c r="Q224" s="29"/>
      <c r="R224" s="29"/>
      <c r="S224" s="29"/>
      <c r="T224" s="29"/>
      <c r="U224" s="29"/>
      <c r="V224" s="29"/>
      <c r="W224" s="29"/>
      <c r="X224" s="29"/>
      <c r="Y224" s="29"/>
      <c r="Z224" s="29"/>
      <c r="AA224" s="29"/>
      <c r="AB224" s="29"/>
      <c r="AC224" s="29"/>
      <c r="AD224" s="29"/>
      <c r="AE224" s="29"/>
      <c r="AF224" s="29"/>
      <c r="AG224" s="29"/>
      <c r="AH224" s="29"/>
      <c r="AI224" s="29"/>
      <c r="AJ224" s="29"/>
      <c r="AK224" s="29"/>
      <c r="AL224" s="29"/>
      <c r="AM224" s="29"/>
      <c r="AN224" s="29"/>
      <c r="AO224" s="29"/>
      <c r="AP224" s="29"/>
      <c r="AQ224" s="29"/>
      <c r="AR224" s="29"/>
      <c r="AS224" s="29"/>
      <c r="AT224" s="29"/>
      <c r="AU224" s="29"/>
      <c r="AV224" s="29"/>
      <c r="AW224" s="29"/>
      <c r="AX224" s="29"/>
    </row>
    <row r="225" ht="15.75" customHeight="1">
      <c r="A225" s="29"/>
      <c r="B225" s="29"/>
      <c r="C225" s="31"/>
      <c r="D225" s="29"/>
      <c r="E225" s="29"/>
      <c r="F225" s="29"/>
      <c r="G225" s="29"/>
      <c r="H225" s="29"/>
      <c r="I225" s="29"/>
      <c r="J225" s="29"/>
      <c r="K225" s="29"/>
      <c r="L225" s="29"/>
      <c r="M225" s="29"/>
      <c r="N225" s="29"/>
      <c r="O225" s="29"/>
      <c r="P225" s="29"/>
      <c r="Q225" s="29"/>
      <c r="R225" s="29"/>
      <c r="S225" s="29"/>
      <c r="T225" s="29"/>
      <c r="U225" s="29"/>
      <c r="V225" s="29"/>
      <c r="W225" s="29"/>
      <c r="X225" s="29"/>
      <c r="Y225" s="29"/>
      <c r="Z225" s="29"/>
      <c r="AA225" s="29"/>
      <c r="AB225" s="29"/>
      <c r="AC225" s="29"/>
      <c r="AD225" s="29"/>
      <c r="AE225" s="29"/>
      <c r="AF225" s="29"/>
      <c r="AG225" s="29"/>
      <c r="AH225" s="29"/>
      <c r="AI225" s="29"/>
      <c r="AJ225" s="29"/>
      <c r="AK225" s="29"/>
      <c r="AL225" s="29"/>
      <c r="AM225" s="29"/>
      <c r="AN225" s="29"/>
      <c r="AO225" s="29"/>
      <c r="AP225" s="29"/>
      <c r="AQ225" s="29"/>
      <c r="AR225" s="29"/>
      <c r="AS225" s="29"/>
      <c r="AT225" s="29"/>
      <c r="AU225" s="29"/>
      <c r="AV225" s="29"/>
      <c r="AW225" s="29"/>
      <c r="AX225" s="29"/>
    </row>
    <row r="226" ht="15.75" customHeight="1">
      <c r="A226" s="29"/>
      <c r="B226" s="29"/>
      <c r="C226" s="31"/>
      <c r="D226" s="29"/>
      <c r="E226" s="29"/>
      <c r="F226" s="29"/>
      <c r="G226" s="29"/>
      <c r="H226" s="29"/>
      <c r="I226" s="29"/>
      <c r="J226" s="29"/>
      <c r="K226" s="29"/>
      <c r="L226" s="29"/>
      <c r="M226" s="29"/>
      <c r="N226" s="29"/>
      <c r="O226" s="29"/>
      <c r="P226" s="29"/>
      <c r="Q226" s="29"/>
      <c r="R226" s="29"/>
      <c r="S226" s="29"/>
      <c r="T226" s="29"/>
      <c r="U226" s="29"/>
      <c r="V226" s="29"/>
      <c r="W226" s="29"/>
      <c r="X226" s="29"/>
      <c r="Y226" s="29"/>
      <c r="Z226" s="29"/>
      <c r="AA226" s="29"/>
      <c r="AB226" s="29"/>
      <c r="AC226" s="29"/>
      <c r="AD226" s="29"/>
      <c r="AE226" s="29"/>
      <c r="AF226" s="29"/>
      <c r="AG226" s="29"/>
      <c r="AH226" s="29"/>
      <c r="AI226" s="29"/>
      <c r="AJ226" s="29"/>
      <c r="AK226" s="29"/>
      <c r="AL226" s="29"/>
      <c r="AM226" s="29"/>
      <c r="AN226" s="29"/>
      <c r="AO226" s="29"/>
      <c r="AP226" s="29"/>
      <c r="AQ226" s="29"/>
      <c r="AR226" s="29"/>
      <c r="AS226" s="29"/>
      <c r="AT226" s="29"/>
      <c r="AU226" s="29"/>
      <c r="AV226" s="29"/>
      <c r="AW226" s="29"/>
      <c r="AX226" s="29"/>
    </row>
    <row r="227" ht="15.75" customHeight="1">
      <c r="A227" s="29"/>
      <c r="B227" s="29"/>
      <c r="C227" s="31"/>
      <c r="D227" s="29"/>
      <c r="E227" s="29"/>
      <c r="F227" s="29"/>
      <c r="G227" s="29"/>
      <c r="H227" s="29"/>
      <c r="I227" s="29"/>
      <c r="J227" s="29"/>
      <c r="K227" s="29"/>
      <c r="L227" s="29"/>
      <c r="M227" s="29"/>
      <c r="N227" s="29"/>
      <c r="O227" s="29"/>
      <c r="P227" s="29"/>
      <c r="Q227" s="29"/>
      <c r="R227" s="29"/>
      <c r="S227" s="29"/>
      <c r="T227" s="29"/>
      <c r="U227" s="29"/>
      <c r="V227" s="29"/>
      <c r="W227" s="29"/>
      <c r="X227" s="29"/>
      <c r="Y227" s="29"/>
      <c r="Z227" s="29"/>
      <c r="AA227" s="29"/>
      <c r="AB227" s="29"/>
      <c r="AC227" s="29"/>
      <c r="AD227" s="29"/>
      <c r="AE227" s="29"/>
      <c r="AF227" s="29"/>
      <c r="AG227" s="29"/>
      <c r="AH227" s="29"/>
      <c r="AI227" s="29"/>
      <c r="AJ227" s="29"/>
      <c r="AK227" s="29"/>
      <c r="AL227" s="29"/>
      <c r="AM227" s="29"/>
      <c r="AN227" s="29"/>
      <c r="AO227" s="29"/>
      <c r="AP227" s="29"/>
      <c r="AQ227" s="29"/>
      <c r="AR227" s="29"/>
      <c r="AS227" s="29"/>
      <c r="AT227" s="29"/>
      <c r="AU227" s="29"/>
      <c r="AV227" s="29"/>
      <c r="AW227" s="29"/>
      <c r="AX227" s="29"/>
    </row>
    <row r="228" ht="15.75" customHeight="1">
      <c r="A228" s="29"/>
      <c r="B228" s="29"/>
      <c r="C228" s="31"/>
      <c r="D228" s="29"/>
      <c r="E228" s="29"/>
      <c r="F228" s="29"/>
      <c r="G228" s="29"/>
      <c r="H228" s="29"/>
      <c r="I228" s="29"/>
      <c r="J228" s="29"/>
      <c r="K228" s="29"/>
      <c r="L228" s="29"/>
      <c r="M228" s="29"/>
      <c r="N228" s="29"/>
      <c r="O228" s="29"/>
      <c r="P228" s="29"/>
      <c r="Q228" s="29"/>
      <c r="R228" s="29"/>
      <c r="S228" s="29"/>
      <c r="T228" s="29"/>
      <c r="U228" s="29"/>
      <c r="V228" s="29"/>
      <c r="W228" s="29"/>
      <c r="X228" s="29"/>
      <c r="Y228" s="29"/>
      <c r="Z228" s="29"/>
      <c r="AA228" s="29"/>
      <c r="AB228" s="29"/>
      <c r="AC228" s="29"/>
      <c r="AD228" s="29"/>
      <c r="AE228" s="29"/>
      <c r="AF228" s="29"/>
      <c r="AG228" s="29"/>
      <c r="AH228" s="29"/>
      <c r="AI228" s="29"/>
      <c r="AJ228" s="29"/>
      <c r="AK228" s="29"/>
      <c r="AL228" s="29"/>
      <c r="AM228" s="29"/>
      <c r="AN228" s="29"/>
      <c r="AO228" s="29"/>
      <c r="AP228" s="29"/>
      <c r="AQ228" s="29"/>
      <c r="AR228" s="29"/>
      <c r="AS228" s="29"/>
      <c r="AT228" s="29"/>
      <c r="AU228" s="29"/>
      <c r="AV228" s="29"/>
      <c r="AW228" s="29"/>
      <c r="AX228" s="29"/>
    </row>
    <row r="229" ht="15.75" customHeight="1">
      <c r="A229" s="29"/>
      <c r="B229" s="29"/>
      <c r="C229" s="31"/>
      <c r="D229" s="29"/>
      <c r="E229" s="29"/>
      <c r="F229" s="29"/>
      <c r="G229" s="29"/>
      <c r="H229" s="29"/>
      <c r="I229" s="29"/>
      <c r="J229" s="29"/>
      <c r="K229" s="29"/>
      <c r="L229" s="29"/>
      <c r="M229" s="29"/>
      <c r="N229" s="29"/>
      <c r="O229" s="29"/>
      <c r="P229" s="29"/>
      <c r="Q229" s="29"/>
      <c r="R229" s="29"/>
      <c r="S229" s="29"/>
      <c r="T229" s="29"/>
      <c r="U229" s="29"/>
      <c r="V229" s="29"/>
      <c r="W229" s="29"/>
      <c r="X229" s="29"/>
      <c r="Y229" s="29"/>
      <c r="Z229" s="29"/>
      <c r="AA229" s="29"/>
      <c r="AB229" s="29"/>
      <c r="AC229" s="29"/>
      <c r="AD229" s="29"/>
      <c r="AE229" s="29"/>
      <c r="AF229" s="29"/>
      <c r="AG229" s="29"/>
      <c r="AH229" s="29"/>
      <c r="AI229" s="29"/>
      <c r="AJ229" s="29"/>
      <c r="AK229" s="29"/>
      <c r="AL229" s="29"/>
      <c r="AM229" s="29"/>
      <c r="AN229" s="29"/>
      <c r="AO229" s="29"/>
      <c r="AP229" s="29"/>
      <c r="AQ229" s="29"/>
      <c r="AR229" s="29"/>
      <c r="AS229" s="29"/>
      <c r="AT229" s="29"/>
      <c r="AU229" s="29"/>
      <c r="AV229" s="29"/>
      <c r="AW229" s="29"/>
      <c r="AX229" s="29"/>
    </row>
    <row r="230" ht="15.75" customHeight="1">
      <c r="A230" s="29"/>
      <c r="B230" s="29"/>
      <c r="C230" s="31"/>
      <c r="D230" s="29"/>
      <c r="E230" s="29"/>
      <c r="F230" s="29"/>
      <c r="G230" s="29"/>
      <c r="H230" s="29"/>
      <c r="I230" s="29"/>
      <c r="J230" s="29"/>
      <c r="K230" s="29"/>
      <c r="L230" s="29"/>
      <c r="M230" s="29"/>
      <c r="N230" s="29"/>
      <c r="O230" s="29"/>
      <c r="P230" s="29"/>
      <c r="Q230" s="29"/>
      <c r="R230" s="29"/>
      <c r="S230" s="29"/>
      <c r="T230" s="29"/>
      <c r="U230" s="29"/>
      <c r="V230" s="29"/>
      <c r="W230" s="29"/>
      <c r="X230" s="29"/>
      <c r="Y230" s="29"/>
      <c r="Z230" s="29"/>
      <c r="AA230" s="29"/>
      <c r="AB230" s="29"/>
      <c r="AC230" s="29"/>
      <c r="AD230" s="29"/>
      <c r="AE230" s="29"/>
      <c r="AF230" s="29"/>
      <c r="AG230" s="29"/>
      <c r="AH230" s="29"/>
      <c r="AI230" s="29"/>
      <c r="AJ230" s="29"/>
      <c r="AK230" s="29"/>
      <c r="AL230" s="29"/>
      <c r="AM230" s="29"/>
      <c r="AN230" s="29"/>
      <c r="AO230" s="29"/>
      <c r="AP230" s="29"/>
      <c r="AQ230" s="29"/>
      <c r="AR230" s="29"/>
      <c r="AS230" s="29"/>
      <c r="AT230" s="29"/>
      <c r="AU230" s="29"/>
      <c r="AV230" s="29"/>
      <c r="AW230" s="29"/>
      <c r="AX230" s="29"/>
    </row>
    <row r="231" ht="15.75" customHeight="1">
      <c r="A231" s="29"/>
      <c r="B231" s="29"/>
      <c r="C231" s="31"/>
      <c r="D231" s="29"/>
      <c r="E231" s="29"/>
      <c r="F231" s="29"/>
      <c r="G231" s="29"/>
      <c r="H231" s="29"/>
      <c r="I231" s="29"/>
      <c r="J231" s="29"/>
      <c r="K231" s="29"/>
      <c r="L231" s="29"/>
      <c r="M231" s="29"/>
      <c r="N231" s="29"/>
      <c r="O231" s="29"/>
      <c r="P231" s="29"/>
      <c r="Q231" s="29"/>
      <c r="R231" s="29"/>
      <c r="S231" s="29"/>
      <c r="T231" s="29"/>
      <c r="U231" s="29"/>
      <c r="V231" s="29"/>
      <c r="W231" s="29"/>
      <c r="X231" s="29"/>
      <c r="Y231" s="29"/>
      <c r="Z231" s="29"/>
      <c r="AA231" s="29"/>
      <c r="AB231" s="29"/>
      <c r="AC231" s="29"/>
      <c r="AD231" s="29"/>
      <c r="AE231" s="29"/>
      <c r="AF231" s="29"/>
      <c r="AG231" s="29"/>
      <c r="AH231" s="29"/>
      <c r="AI231" s="29"/>
      <c r="AJ231" s="29"/>
      <c r="AK231" s="29"/>
      <c r="AL231" s="29"/>
      <c r="AM231" s="29"/>
      <c r="AN231" s="29"/>
      <c r="AO231" s="29"/>
      <c r="AP231" s="29"/>
      <c r="AQ231" s="29"/>
      <c r="AR231" s="29"/>
      <c r="AS231" s="29"/>
      <c r="AT231" s="29"/>
      <c r="AU231" s="29"/>
      <c r="AV231" s="29"/>
      <c r="AW231" s="29"/>
      <c r="AX231" s="29"/>
    </row>
    <row r="232" ht="15.75" customHeight="1">
      <c r="A232" s="29"/>
      <c r="B232" s="29"/>
      <c r="C232" s="31"/>
      <c r="D232" s="29"/>
      <c r="E232" s="29"/>
      <c r="F232" s="29"/>
      <c r="G232" s="29"/>
      <c r="H232" s="29"/>
      <c r="I232" s="29"/>
      <c r="J232" s="29"/>
      <c r="K232" s="29"/>
      <c r="L232" s="29"/>
      <c r="M232" s="29"/>
      <c r="N232" s="29"/>
      <c r="O232" s="29"/>
      <c r="P232" s="29"/>
      <c r="Q232" s="29"/>
      <c r="R232" s="29"/>
      <c r="S232" s="29"/>
      <c r="T232" s="29"/>
      <c r="U232" s="29"/>
      <c r="V232" s="29"/>
      <c r="W232" s="29"/>
      <c r="X232" s="29"/>
      <c r="Y232" s="29"/>
      <c r="Z232" s="29"/>
      <c r="AA232" s="29"/>
      <c r="AB232" s="29"/>
      <c r="AC232" s="29"/>
      <c r="AD232" s="29"/>
      <c r="AE232" s="29"/>
      <c r="AF232" s="29"/>
      <c r="AG232" s="29"/>
      <c r="AH232" s="29"/>
      <c r="AI232" s="29"/>
      <c r="AJ232" s="29"/>
      <c r="AK232" s="29"/>
      <c r="AL232" s="29"/>
      <c r="AM232" s="29"/>
      <c r="AN232" s="29"/>
      <c r="AO232" s="29"/>
      <c r="AP232" s="29"/>
      <c r="AQ232" s="29"/>
      <c r="AR232" s="29"/>
      <c r="AS232" s="29"/>
      <c r="AT232" s="29"/>
      <c r="AU232" s="29"/>
      <c r="AV232" s="29"/>
      <c r="AW232" s="29"/>
      <c r="AX232" s="29"/>
    </row>
    <row r="233" ht="15.75" customHeight="1">
      <c r="A233" s="29"/>
      <c r="B233" s="29"/>
      <c r="C233" s="31"/>
      <c r="D233" s="29"/>
      <c r="E233" s="29"/>
      <c r="F233" s="29"/>
      <c r="G233" s="29"/>
      <c r="H233" s="29"/>
      <c r="I233" s="29"/>
      <c r="J233" s="29"/>
      <c r="K233" s="29"/>
      <c r="L233" s="29"/>
      <c r="M233" s="29"/>
      <c r="N233" s="29"/>
      <c r="O233" s="29"/>
      <c r="P233" s="29"/>
      <c r="Q233" s="29"/>
      <c r="R233" s="29"/>
      <c r="S233" s="29"/>
      <c r="T233" s="29"/>
      <c r="U233" s="29"/>
      <c r="V233" s="29"/>
      <c r="W233" s="29"/>
      <c r="X233" s="29"/>
      <c r="Y233" s="29"/>
      <c r="Z233" s="29"/>
      <c r="AA233" s="29"/>
      <c r="AB233" s="29"/>
      <c r="AC233" s="29"/>
      <c r="AD233" s="29"/>
      <c r="AE233" s="29"/>
      <c r="AF233" s="29"/>
      <c r="AG233" s="29"/>
      <c r="AH233" s="29"/>
      <c r="AI233" s="29"/>
      <c r="AJ233" s="29"/>
      <c r="AK233" s="29"/>
      <c r="AL233" s="29"/>
      <c r="AM233" s="29"/>
      <c r="AN233" s="29"/>
      <c r="AO233" s="29"/>
      <c r="AP233" s="29"/>
      <c r="AQ233" s="29"/>
      <c r="AR233" s="29"/>
      <c r="AS233" s="29"/>
      <c r="AT233" s="29"/>
      <c r="AU233" s="29"/>
      <c r="AV233" s="29"/>
      <c r="AW233" s="29"/>
      <c r="AX233" s="29"/>
    </row>
    <row r="234" ht="15.75" customHeight="1">
      <c r="A234" s="29"/>
      <c r="B234" s="29"/>
      <c r="C234" s="31"/>
      <c r="D234" s="29"/>
      <c r="E234" s="29"/>
      <c r="F234" s="29"/>
      <c r="G234" s="29"/>
      <c r="H234" s="29"/>
      <c r="I234" s="29"/>
      <c r="J234" s="29"/>
      <c r="K234" s="29"/>
      <c r="L234" s="29"/>
      <c r="M234" s="29"/>
      <c r="N234" s="29"/>
      <c r="O234" s="29"/>
      <c r="P234" s="29"/>
      <c r="Q234" s="29"/>
      <c r="R234" s="29"/>
      <c r="S234" s="29"/>
      <c r="T234" s="29"/>
      <c r="U234" s="29"/>
      <c r="V234" s="29"/>
      <c r="W234" s="29"/>
      <c r="X234" s="29"/>
      <c r="Y234" s="29"/>
      <c r="Z234" s="29"/>
      <c r="AA234" s="29"/>
      <c r="AB234" s="29"/>
      <c r="AC234" s="29"/>
      <c r="AD234" s="29"/>
      <c r="AE234" s="29"/>
      <c r="AF234" s="29"/>
      <c r="AG234" s="29"/>
      <c r="AH234" s="29"/>
      <c r="AI234" s="29"/>
      <c r="AJ234" s="29"/>
      <c r="AK234" s="29"/>
      <c r="AL234" s="29"/>
      <c r="AM234" s="29"/>
      <c r="AN234" s="29"/>
      <c r="AO234" s="29"/>
      <c r="AP234" s="29"/>
      <c r="AQ234" s="29"/>
      <c r="AR234" s="29"/>
      <c r="AS234" s="29"/>
      <c r="AT234" s="29"/>
      <c r="AU234" s="29"/>
      <c r="AV234" s="29"/>
      <c r="AW234" s="29"/>
      <c r="AX234" s="29"/>
    </row>
    <row r="235" ht="15.75" customHeight="1">
      <c r="A235" s="29"/>
      <c r="B235" s="29"/>
      <c r="C235" s="31"/>
      <c r="D235" s="29"/>
      <c r="E235" s="29"/>
      <c r="F235" s="29"/>
      <c r="G235" s="29"/>
      <c r="H235" s="29"/>
      <c r="I235" s="29"/>
      <c r="J235" s="29"/>
      <c r="K235" s="29"/>
      <c r="L235" s="29"/>
      <c r="M235" s="29"/>
      <c r="N235" s="29"/>
      <c r="O235" s="29"/>
      <c r="P235" s="29"/>
      <c r="Q235" s="29"/>
      <c r="R235" s="29"/>
      <c r="S235" s="29"/>
      <c r="T235" s="29"/>
      <c r="U235" s="29"/>
      <c r="V235" s="29"/>
      <c r="W235" s="29"/>
      <c r="X235" s="29"/>
      <c r="Y235" s="29"/>
      <c r="Z235" s="29"/>
      <c r="AA235" s="29"/>
      <c r="AB235" s="29"/>
      <c r="AC235" s="29"/>
      <c r="AD235" s="29"/>
      <c r="AE235" s="29"/>
      <c r="AF235" s="29"/>
      <c r="AG235" s="29"/>
      <c r="AH235" s="29"/>
      <c r="AI235" s="29"/>
      <c r="AJ235" s="29"/>
      <c r="AK235" s="29"/>
      <c r="AL235" s="29"/>
      <c r="AM235" s="29"/>
      <c r="AN235" s="29"/>
      <c r="AO235" s="29"/>
      <c r="AP235" s="29"/>
      <c r="AQ235" s="29"/>
      <c r="AR235" s="29"/>
      <c r="AS235" s="29"/>
      <c r="AT235" s="29"/>
      <c r="AU235" s="29"/>
      <c r="AV235" s="29"/>
      <c r="AW235" s="29"/>
      <c r="AX235" s="29"/>
    </row>
    <row r="236" ht="15.75" customHeight="1">
      <c r="A236" s="29"/>
      <c r="B236" s="29"/>
      <c r="C236" s="31"/>
      <c r="D236" s="29"/>
      <c r="E236" s="29"/>
      <c r="F236" s="29"/>
      <c r="G236" s="29"/>
      <c r="H236" s="29"/>
      <c r="I236" s="29"/>
      <c r="J236" s="29"/>
      <c r="K236" s="29"/>
      <c r="L236" s="29"/>
      <c r="M236" s="29"/>
      <c r="N236" s="29"/>
      <c r="O236" s="29"/>
      <c r="P236" s="29"/>
      <c r="Q236" s="29"/>
      <c r="R236" s="29"/>
      <c r="S236" s="29"/>
      <c r="T236" s="29"/>
      <c r="U236" s="29"/>
      <c r="V236" s="29"/>
      <c r="W236" s="29"/>
      <c r="X236" s="29"/>
      <c r="Y236" s="29"/>
      <c r="Z236" s="29"/>
      <c r="AA236" s="29"/>
      <c r="AB236" s="29"/>
      <c r="AC236" s="29"/>
      <c r="AD236" s="29"/>
      <c r="AE236" s="29"/>
      <c r="AF236" s="29"/>
      <c r="AG236" s="29"/>
      <c r="AH236" s="29"/>
      <c r="AI236" s="29"/>
      <c r="AJ236" s="29"/>
      <c r="AK236" s="29"/>
      <c r="AL236" s="29"/>
      <c r="AM236" s="29"/>
      <c r="AN236" s="29"/>
      <c r="AO236" s="29"/>
      <c r="AP236" s="29"/>
      <c r="AQ236" s="29"/>
      <c r="AR236" s="29"/>
      <c r="AS236" s="29"/>
      <c r="AT236" s="29"/>
      <c r="AU236" s="29"/>
      <c r="AV236" s="29"/>
      <c r="AW236" s="29"/>
      <c r="AX236" s="29"/>
    </row>
    <row r="237" ht="15.75" customHeight="1">
      <c r="A237" s="29"/>
      <c r="B237" s="29"/>
      <c r="C237" s="31"/>
      <c r="D237" s="29"/>
      <c r="E237" s="29"/>
      <c r="F237" s="29"/>
      <c r="G237" s="29"/>
      <c r="H237" s="29"/>
      <c r="I237" s="29"/>
      <c r="J237" s="29"/>
      <c r="K237" s="29"/>
      <c r="L237" s="29"/>
      <c r="M237" s="29"/>
      <c r="N237" s="29"/>
      <c r="O237" s="29"/>
      <c r="P237" s="29"/>
      <c r="Q237" s="29"/>
      <c r="R237" s="29"/>
      <c r="S237" s="29"/>
      <c r="T237" s="29"/>
      <c r="U237" s="29"/>
      <c r="V237" s="29"/>
      <c r="W237" s="29"/>
      <c r="X237" s="29"/>
      <c r="Y237" s="29"/>
      <c r="Z237" s="29"/>
      <c r="AA237" s="29"/>
      <c r="AB237" s="29"/>
      <c r="AC237" s="29"/>
      <c r="AD237" s="29"/>
      <c r="AE237" s="29"/>
      <c r="AF237" s="29"/>
      <c r="AG237" s="29"/>
      <c r="AH237" s="29"/>
      <c r="AI237" s="29"/>
      <c r="AJ237" s="29"/>
      <c r="AK237" s="29"/>
      <c r="AL237" s="29"/>
      <c r="AM237" s="29"/>
      <c r="AN237" s="29"/>
      <c r="AO237" s="29"/>
      <c r="AP237" s="29"/>
      <c r="AQ237" s="29"/>
      <c r="AR237" s="29"/>
      <c r="AS237" s="29"/>
      <c r="AT237" s="29"/>
      <c r="AU237" s="29"/>
      <c r="AV237" s="29"/>
      <c r="AW237" s="29"/>
      <c r="AX237" s="29"/>
    </row>
    <row r="238" ht="15.75" customHeight="1">
      <c r="A238" s="29"/>
      <c r="B238" s="29"/>
      <c r="C238" s="31"/>
      <c r="D238" s="29"/>
      <c r="E238" s="29"/>
      <c r="F238" s="29"/>
      <c r="G238" s="29"/>
      <c r="H238" s="29"/>
      <c r="I238" s="29"/>
      <c r="J238" s="29"/>
      <c r="K238" s="29"/>
      <c r="L238" s="29"/>
      <c r="M238" s="29"/>
      <c r="N238" s="29"/>
      <c r="O238" s="29"/>
      <c r="P238" s="29"/>
      <c r="Q238" s="29"/>
      <c r="R238" s="29"/>
      <c r="S238" s="29"/>
      <c r="T238" s="29"/>
      <c r="U238" s="29"/>
      <c r="V238" s="29"/>
      <c r="W238" s="29"/>
      <c r="X238" s="29"/>
      <c r="Y238" s="29"/>
      <c r="Z238" s="29"/>
      <c r="AA238" s="29"/>
      <c r="AB238" s="29"/>
      <c r="AC238" s="29"/>
      <c r="AD238" s="29"/>
      <c r="AE238" s="29"/>
      <c r="AF238" s="29"/>
      <c r="AG238" s="29"/>
      <c r="AH238" s="29"/>
      <c r="AI238" s="29"/>
      <c r="AJ238" s="29"/>
      <c r="AK238" s="29"/>
      <c r="AL238" s="29"/>
      <c r="AM238" s="29"/>
      <c r="AN238" s="29"/>
      <c r="AO238" s="29"/>
      <c r="AP238" s="29"/>
      <c r="AQ238" s="29"/>
      <c r="AR238" s="29"/>
      <c r="AS238" s="29"/>
      <c r="AT238" s="29"/>
      <c r="AU238" s="29"/>
      <c r="AV238" s="29"/>
      <c r="AW238" s="29"/>
      <c r="AX238" s="29"/>
    </row>
    <row r="239" ht="15.75" customHeight="1">
      <c r="A239" s="29"/>
      <c r="B239" s="29"/>
      <c r="C239" s="31"/>
      <c r="D239" s="29"/>
      <c r="E239" s="29"/>
      <c r="F239" s="29"/>
      <c r="G239" s="29"/>
      <c r="H239" s="29"/>
      <c r="I239" s="29"/>
      <c r="J239" s="29"/>
      <c r="K239" s="29"/>
      <c r="L239" s="29"/>
      <c r="M239" s="29"/>
      <c r="N239" s="29"/>
      <c r="O239" s="29"/>
      <c r="P239" s="29"/>
      <c r="Q239" s="29"/>
      <c r="R239" s="29"/>
      <c r="S239" s="29"/>
      <c r="T239" s="29"/>
      <c r="U239" s="29"/>
      <c r="V239" s="29"/>
      <c r="W239" s="29"/>
      <c r="X239" s="29"/>
      <c r="Y239" s="29"/>
      <c r="Z239" s="29"/>
      <c r="AA239" s="29"/>
      <c r="AB239" s="29"/>
      <c r="AC239" s="29"/>
      <c r="AD239" s="29"/>
      <c r="AE239" s="29"/>
      <c r="AF239" s="29"/>
      <c r="AG239" s="29"/>
      <c r="AH239" s="29"/>
      <c r="AI239" s="29"/>
      <c r="AJ239" s="29"/>
      <c r="AK239" s="29"/>
      <c r="AL239" s="29"/>
      <c r="AM239" s="29"/>
      <c r="AN239" s="29"/>
      <c r="AO239" s="29"/>
      <c r="AP239" s="29"/>
      <c r="AQ239" s="29"/>
      <c r="AR239" s="29"/>
      <c r="AS239" s="29"/>
      <c r="AT239" s="29"/>
      <c r="AU239" s="29"/>
      <c r="AV239" s="29"/>
      <c r="AW239" s="29"/>
      <c r="AX239" s="29"/>
    </row>
    <row r="240" ht="15.75" customHeight="1">
      <c r="A240" s="29"/>
      <c r="B240" s="29"/>
      <c r="C240" s="31"/>
      <c r="D240" s="29"/>
      <c r="E240" s="29"/>
      <c r="F240" s="29"/>
      <c r="G240" s="29"/>
      <c r="H240" s="29"/>
      <c r="I240" s="29"/>
      <c r="J240" s="29"/>
      <c r="K240" s="29"/>
      <c r="L240" s="29"/>
      <c r="M240" s="29"/>
      <c r="N240" s="29"/>
      <c r="O240" s="29"/>
      <c r="P240" s="29"/>
      <c r="Q240" s="29"/>
      <c r="R240" s="29"/>
      <c r="S240" s="29"/>
      <c r="T240" s="29"/>
      <c r="U240" s="29"/>
      <c r="V240" s="29"/>
      <c r="W240" s="29"/>
      <c r="X240" s="29"/>
      <c r="Y240" s="29"/>
      <c r="Z240" s="29"/>
      <c r="AA240" s="29"/>
      <c r="AB240" s="29"/>
      <c r="AC240" s="29"/>
      <c r="AD240" s="29"/>
      <c r="AE240" s="29"/>
      <c r="AF240" s="29"/>
      <c r="AG240" s="29"/>
      <c r="AH240" s="29"/>
      <c r="AI240" s="29"/>
      <c r="AJ240" s="29"/>
      <c r="AK240" s="29"/>
      <c r="AL240" s="29"/>
      <c r="AM240" s="29"/>
      <c r="AN240" s="29"/>
      <c r="AO240" s="29"/>
      <c r="AP240" s="29"/>
      <c r="AQ240" s="29"/>
      <c r="AR240" s="29"/>
      <c r="AS240" s="29"/>
      <c r="AT240" s="29"/>
      <c r="AU240" s="29"/>
      <c r="AV240" s="29"/>
      <c r="AW240" s="29"/>
      <c r="AX240" s="29"/>
    </row>
    <row r="241" ht="15.75" customHeight="1">
      <c r="A241" s="29"/>
      <c r="B241" s="29"/>
      <c r="C241" s="31"/>
      <c r="D241" s="29"/>
      <c r="E241" s="29"/>
      <c r="F241" s="29"/>
      <c r="G241" s="29"/>
      <c r="H241" s="29"/>
      <c r="I241" s="29"/>
      <c r="J241" s="29"/>
      <c r="K241" s="29"/>
      <c r="L241" s="29"/>
      <c r="M241" s="29"/>
      <c r="N241" s="29"/>
      <c r="O241" s="29"/>
      <c r="P241" s="29"/>
      <c r="Q241" s="29"/>
      <c r="R241" s="29"/>
      <c r="S241" s="29"/>
      <c r="T241" s="29"/>
      <c r="U241" s="29"/>
      <c r="V241" s="29"/>
      <c r="W241" s="29"/>
      <c r="X241" s="29"/>
      <c r="Y241" s="29"/>
      <c r="Z241" s="29"/>
      <c r="AA241" s="29"/>
      <c r="AB241" s="29"/>
      <c r="AC241" s="29"/>
      <c r="AD241" s="29"/>
      <c r="AE241" s="29"/>
      <c r="AF241" s="29"/>
      <c r="AG241" s="29"/>
      <c r="AH241" s="29"/>
      <c r="AI241" s="29"/>
      <c r="AJ241" s="29"/>
      <c r="AK241" s="29"/>
      <c r="AL241" s="29"/>
      <c r="AM241" s="29"/>
      <c r="AN241" s="29"/>
      <c r="AO241" s="29"/>
      <c r="AP241" s="29"/>
      <c r="AQ241" s="29"/>
      <c r="AR241" s="29"/>
      <c r="AS241" s="29"/>
      <c r="AT241" s="29"/>
      <c r="AU241" s="29"/>
      <c r="AV241" s="29"/>
      <c r="AW241" s="29"/>
      <c r="AX241" s="29"/>
    </row>
    <row r="242" ht="15.75" customHeight="1">
      <c r="A242" s="29"/>
      <c r="B242" s="29"/>
      <c r="C242" s="31"/>
      <c r="D242" s="29"/>
      <c r="E242" s="29"/>
      <c r="F242" s="29"/>
      <c r="G242" s="29"/>
      <c r="H242" s="29"/>
      <c r="I242" s="29"/>
      <c r="J242" s="29"/>
      <c r="K242" s="29"/>
      <c r="L242" s="29"/>
      <c r="M242" s="29"/>
      <c r="N242" s="29"/>
      <c r="O242" s="29"/>
      <c r="P242" s="29"/>
      <c r="Q242" s="29"/>
      <c r="R242" s="29"/>
      <c r="S242" s="29"/>
      <c r="T242" s="29"/>
      <c r="U242" s="29"/>
      <c r="V242" s="29"/>
      <c r="W242" s="29"/>
      <c r="X242" s="29"/>
      <c r="Y242" s="29"/>
      <c r="Z242" s="29"/>
      <c r="AA242" s="29"/>
      <c r="AB242" s="29"/>
      <c r="AC242" s="29"/>
      <c r="AD242" s="29"/>
      <c r="AE242" s="29"/>
      <c r="AF242" s="29"/>
      <c r="AG242" s="29"/>
      <c r="AH242" s="29"/>
      <c r="AI242" s="29"/>
      <c r="AJ242" s="29"/>
      <c r="AK242" s="29"/>
      <c r="AL242" s="29"/>
      <c r="AM242" s="29"/>
      <c r="AN242" s="29"/>
      <c r="AO242" s="29"/>
      <c r="AP242" s="29"/>
      <c r="AQ242" s="29"/>
      <c r="AR242" s="29"/>
      <c r="AS242" s="29"/>
      <c r="AT242" s="29"/>
      <c r="AU242" s="29"/>
      <c r="AV242" s="29"/>
      <c r="AW242" s="29"/>
      <c r="AX242" s="29"/>
    </row>
    <row r="243" ht="15.75" customHeight="1">
      <c r="A243" s="29"/>
      <c r="B243" s="29"/>
      <c r="C243" s="31"/>
      <c r="D243" s="29"/>
      <c r="E243" s="29"/>
      <c r="F243" s="29"/>
      <c r="G243" s="29"/>
      <c r="H243" s="29"/>
      <c r="I243" s="29"/>
      <c r="J243" s="29"/>
      <c r="K243" s="29"/>
      <c r="L243" s="29"/>
      <c r="M243" s="29"/>
      <c r="N243" s="29"/>
      <c r="O243" s="29"/>
      <c r="P243" s="29"/>
      <c r="Q243" s="29"/>
      <c r="R243" s="29"/>
      <c r="S243" s="29"/>
      <c r="T243" s="29"/>
      <c r="U243" s="29"/>
      <c r="V243" s="29"/>
      <c r="W243" s="29"/>
      <c r="X243" s="29"/>
      <c r="Y243" s="29"/>
      <c r="Z243" s="29"/>
      <c r="AA243" s="29"/>
      <c r="AB243" s="29"/>
      <c r="AC243" s="29"/>
      <c r="AD243" s="29"/>
      <c r="AE243" s="29"/>
      <c r="AF243" s="29"/>
      <c r="AG243" s="29"/>
      <c r="AH243" s="29"/>
      <c r="AI243" s="29"/>
      <c r="AJ243" s="29"/>
      <c r="AK243" s="29"/>
      <c r="AL243" s="29"/>
      <c r="AM243" s="29"/>
      <c r="AN243" s="29"/>
      <c r="AO243" s="29"/>
      <c r="AP243" s="29"/>
      <c r="AQ243" s="29"/>
      <c r="AR243" s="29"/>
      <c r="AS243" s="29"/>
      <c r="AT243" s="29"/>
      <c r="AU243" s="29"/>
      <c r="AV243" s="29"/>
      <c r="AW243" s="29"/>
      <c r="AX243" s="29"/>
    </row>
    <row r="244" ht="15.75" customHeight="1">
      <c r="A244" s="29"/>
      <c r="B244" s="29"/>
      <c r="C244" s="31"/>
      <c r="D244" s="29"/>
      <c r="E244" s="29"/>
      <c r="F244" s="29"/>
      <c r="G244" s="29"/>
      <c r="H244" s="29"/>
      <c r="I244" s="29"/>
      <c r="J244" s="29"/>
      <c r="K244" s="29"/>
      <c r="L244" s="29"/>
      <c r="M244" s="29"/>
      <c r="N244" s="29"/>
      <c r="O244" s="29"/>
      <c r="P244" s="29"/>
      <c r="Q244" s="29"/>
      <c r="R244" s="29"/>
      <c r="S244" s="29"/>
      <c r="T244" s="29"/>
      <c r="U244" s="29"/>
      <c r="V244" s="29"/>
      <c r="W244" s="29"/>
      <c r="X244" s="29"/>
      <c r="Y244" s="29"/>
      <c r="Z244" s="29"/>
      <c r="AA244" s="29"/>
      <c r="AB244" s="29"/>
      <c r="AC244" s="29"/>
      <c r="AD244" s="29"/>
      <c r="AE244" s="29"/>
      <c r="AF244" s="29"/>
      <c r="AG244" s="29"/>
      <c r="AH244" s="29"/>
      <c r="AI244" s="29"/>
      <c r="AJ244" s="29"/>
      <c r="AK244" s="29"/>
      <c r="AL244" s="29"/>
      <c r="AM244" s="29"/>
      <c r="AN244" s="29"/>
      <c r="AO244" s="29"/>
      <c r="AP244" s="29"/>
      <c r="AQ244" s="29"/>
      <c r="AR244" s="29"/>
      <c r="AS244" s="29"/>
      <c r="AT244" s="29"/>
      <c r="AU244" s="29"/>
      <c r="AV244" s="29"/>
      <c r="AW244" s="29"/>
      <c r="AX244" s="29"/>
    </row>
    <row r="245" ht="15.75" customHeight="1">
      <c r="A245" s="29"/>
      <c r="B245" s="29"/>
      <c r="C245" s="31"/>
      <c r="D245" s="29"/>
      <c r="E245" s="29"/>
      <c r="F245" s="29"/>
      <c r="G245" s="29"/>
      <c r="H245" s="29"/>
      <c r="I245" s="29"/>
      <c r="J245" s="29"/>
      <c r="K245" s="29"/>
      <c r="L245" s="29"/>
      <c r="M245" s="29"/>
      <c r="N245" s="29"/>
      <c r="O245" s="29"/>
      <c r="P245" s="29"/>
      <c r="Q245" s="29"/>
      <c r="R245" s="29"/>
      <c r="S245" s="29"/>
      <c r="T245" s="29"/>
      <c r="U245" s="29"/>
      <c r="V245" s="29"/>
      <c r="W245" s="29"/>
      <c r="X245" s="29"/>
      <c r="Y245" s="29"/>
      <c r="Z245" s="29"/>
      <c r="AA245" s="29"/>
      <c r="AB245" s="29"/>
      <c r="AC245" s="29"/>
      <c r="AD245" s="29"/>
      <c r="AE245" s="29"/>
      <c r="AF245" s="29"/>
      <c r="AG245" s="29"/>
      <c r="AH245" s="29"/>
      <c r="AI245" s="29"/>
      <c r="AJ245" s="29"/>
      <c r="AK245" s="29"/>
      <c r="AL245" s="29"/>
      <c r="AM245" s="29"/>
      <c r="AN245" s="29"/>
      <c r="AO245" s="29"/>
      <c r="AP245" s="29"/>
      <c r="AQ245" s="29"/>
      <c r="AR245" s="29"/>
      <c r="AS245" s="29"/>
      <c r="AT245" s="29"/>
      <c r="AU245" s="29"/>
      <c r="AV245" s="29"/>
      <c r="AW245" s="29"/>
      <c r="AX245" s="29"/>
    </row>
    <row r="246" ht="15.75" customHeight="1">
      <c r="A246" s="29"/>
      <c r="B246" s="29"/>
      <c r="C246" s="31"/>
      <c r="D246" s="29"/>
      <c r="E246" s="29"/>
      <c r="F246" s="29"/>
      <c r="G246" s="29"/>
      <c r="H246" s="29"/>
      <c r="I246" s="29"/>
      <c r="J246" s="29"/>
      <c r="K246" s="29"/>
      <c r="L246" s="29"/>
      <c r="M246" s="29"/>
      <c r="N246" s="29"/>
      <c r="O246" s="29"/>
      <c r="P246" s="29"/>
      <c r="Q246" s="29"/>
      <c r="R246" s="29"/>
      <c r="S246" s="29"/>
      <c r="T246" s="29"/>
      <c r="U246" s="29"/>
      <c r="V246" s="29"/>
      <c r="W246" s="29"/>
      <c r="X246" s="29"/>
      <c r="Y246" s="29"/>
      <c r="Z246" s="29"/>
      <c r="AA246" s="29"/>
      <c r="AB246" s="29"/>
      <c r="AC246" s="29"/>
      <c r="AD246" s="29"/>
      <c r="AE246" s="29"/>
      <c r="AF246" s="29"/>
      <c r="AG246" s="29"/>
      <c r="AH246" s="29"/>
      <c r="AI246" s="29"/>
      <c r="AJ246" s="29"/>
      <c r="AK246" s="29"/>
      <c r="AL246" s="29"/>
      <c r="AM246" s="29"/>
      <c r="AN246" s="29"/>
      <c r="AO246" s="29"/>
      <c r="AP246" s="29"/>
      <c r="AQ246" s="29"/>
      <c r="AR246" s="29"/>
      <c r="AS246" s="29"/>
      <c r="AT246" s="29"/>
      <c r="AU246" s="29"/>
      <c r="AV246" s="29"/>
      <c r="AW246" s="29"/>
      <c r="AX246" s="29"/>
    </row>
    <row r="247" ht="15.75" customHeight="1">
      <c r="A247" s="29"/>
      <c r="B247" s="29"/>
      <c r="C247" s="31"/>
      <c r="D247" s="29"/>
      <c r="E247" s="29"/>
      <c r="F247" s="29"/>
      <c r="G247" s="29"/>
      <c r="H247" s="29"/>
      <c r="I247" s="29"/>
      <c r="J247" s="29"/>
      <c r="K247" s="29"/>
      <c r="L247" s="29"/>
      <c r="M247" s="29"/>
      <c r="N247" s="29"/>
      <c r="O247" s="29"/>
      <c r="P247" s="29"/>
      <c r="Q247" s="29"/>
      <c r="R247" s="29"/>
      <c r="S247" s="29"/>
      <c r="T247" s="29"/>
      <c r="U247" s="29"/>
      <c r="V247" s="29"/>
      <c r="W247" s="29"/>
      <c r="X247" s="29"/>
      <c r="Y247" s="29"/>
      <c r="Z247" s="29"/>
      <c r="AA247" s="29"/>
      <c r="AB247" s="29"/>
      <c r="AC247" s="29"/>
      <c r="AD247" s="29"/>
      <c r="AE247" s="29"/>
      <c r="AF247" s="29"/>
      <c r="AG247" s="29"/>
      <c r="AH247" s="29"/>
      <c r="AI247" s="29"/>
      <c r="AJ247" s="29"/>
      <c r="AK247" s="29"/>
      <c r="AL247" s="29"/>
      <c r="AM247" s="29"/>
      <c r="AN247" s="29"/>
      <c r="AO247" s="29"/>
      <c r="AP247" s="29"/>
      <c r="AQ247" s="29"/>
      <c r="AR247" s="29"/>
      <c r="AS247" s="29"/>
      <c r="AT247" s="29"/>
      <c r="AU247" s="29"/>
      <c r="AV247" s="29"/>
      <c r="AW247" s="29"/>
      <c r="AX247" s="29"/>
    </row>
    <row r="248" ht="15.75" customHeight="1">
      <c r="A248" s="29"/>
      <c r="B248" s="29"/>
      <c r="C248" s="31"/>
      <c r="D248" s="29"/>
      <c r="E248" s="29"/>
      <c r="F248" s="29"/>
      <c r="G248" s="29"/>
      <c r="H248" s="29"/>
      <c r="I248" s="29"/>
      <c r="J248" s="29"/>
      <c r="K248" s="29"/>
      <c r="L248" s="29"/>
      <c r="M248" s="29"/>
      <c r="N248" s="29"/>
      <c r="O248" s="29"/>
      <c r="P248" s="29"/>
      <c r="Q248" s="29"/>
      <c r="R248" s="29"/>
      <c r="S248" s="29"/>
      <c r="T248" s="29"/>
      <c r="U248" s="29"/>
      <c r="V248" s="29"/>
      <c r="W248" s="29"/>
      <c r="X248" s="29"/>
      <c r="Y248" s="29"/>
      <c r="Z248" s="29"/>
      <c r="AA248" s="29"/>
      <c r="AB248" s="29"/>
      <c r="AC248" s="29"/>
      <c r="AD248" s="29"/>
      <c r="AE248" s="29"/>
      <c r="AF248" s="29"/>
      <c r="AG248" s="29"/>
      <c r="AH248" s="29"/>
      <c r="AI248" s="29"/>
      <c r="AJ248" s="29"/>
      <c r="AK248" s="29"/>
      <c r="AL248" s="29"/>
      <c r="AM248" s="29"/>
      <c r="AN248" s="29"/>
      <c r="AO248" s="29"/>
      <c r="AP248" s="29"/>
      <c r="AQ248" s="29"/>
      <c r="AR248" s="29"/>
      <c r="AS248" s="29"/>
      <c r="AT248" s="29"/>
      <c r="AU248" s="29"/>
      <c r="AV248" s="29"/>
      <c r="AW248" s="29"/>
      <c r="AX248" s="29"/>
    </row>
    <row r="249" ht="15.75" customHeight="1">
      <c r="A249" s="29"/>
      <c r="B249" s="29"/>
      <c r="C249" s="31"/>
      <c r="D249" s="29"/>
      <c r="E249" s="29"/>
      <c r="F249" s="29"/>
      <c r="G249" s="29"/>
      <c r="H249" s="29"/>
      <c r="I249" s="29"/>
      <c r="J249" s="29"/>
      <c r="K249" s="29"/>
      <c r="L249" s="29"/>
      <c r="M249" s="29"/>
      <c r="N249" s="29"/>
      <c r="O249" s="29"/>
      <c r="P249" s="29"/>
      <c r="Q249" s="29"/>
      <c r="R249" s="29"/>
      <c r="S249" s="29"/>
      <c r="T249" s="29"/>
      <c r="U249" s="29"/>
      <c r="V249" s="29"/>
      <c r="W249" s="29"/>
      <c r="X249" s="29"/>
      <c r="Y249" s="29"/>
      <c r="Z249" s="29"/>
      <c r="AA249" s="29"/>
      <c r="AB249" s="29"/>
      <c r="AC249" s="29"/>
      <c r="AD249" s="29"/>
      <c r="AE249" s="29"/>
      <c r="AF249" s="29"/>
      <c r="AG249" s="29"/>
      <c r="AH249" s="29"/>
      <c r="AI249" s="29"/>
      <c r="AJ249" s="29"/>
      <c r="AK249" s="29"/>
      <c r="AL249" s="29"/>
      <c r="AM249" s="29"/>
      <c r="AN249" s="29"/>
      <c r="AO249" s="29"/>
      <c r="AP249" s="29"/>
      <c r="AQ249" s="29"/>
      <c r="AR249" s="29"/>
      <c r="AS249" s="29"/>
      <c r="AT249" s="29"/>
      <c r="AU249" s="29"/>
      <c r="AV249" s="29"/>
      <c r="AW249" s="29"/>
      <c r="AX249" s="29"/>
    </row>
    <row r="250" ht="15.75" customHeight="1">
      <c r="A250" s="29"/>
      <c r="B250" s="29"/>
      <c r="C250" s="31"/>
      <c r="D250" s="29"/>
      <c r="E250" s="29"/>
      <c r="F250" s="29"/>
      <c r="G250" s="29"/>
      <c r="H250" s="29"/>
      <c r="I250" s="29"/>
      <c r="J250" s="29"/>
      <c r="K250" s="29"/>
      <c r="L250" s="29"/>
      <c r="M250" s="29"/>
      <c r="N250" s="29"/>
      <c r="O250" s="29"/>
      <c r="P250" s="29"/>
      <c r="Q250" s="29"/>
      <c r="R250" s="29"/>
      <c r="S250" s="29"/>
      <c r="T250" s="29"/>
      <c r="U250" s="29"/>
      <c r="V250" s="29"/>
      <c r="W250" s="29"/>
      <c r="X250" s="29"/>
      <c r="Y250" s="29"/>
      <c r="Z250" s="29"/>
      <c r="AA250" s="29"/>
      <c r="AB250" s="29"/>
      <c r="AC250" s="29"/>
      <c r="AD250" s="29"/>
      <c r="AE250" s="29"/>
      <c r="AF250" s="29"/>
      <c r="AG250" s="29"/>
      <c r="AH250" s="29"/>
      <c r="AI250" s="29"/>
      <c r="AJ250" s="29"/>
      <c r="AK250" s="29"/>
      <c r="AL250" s="29"/>
      <c r="AM250" s="29"/>
      <c r="AN250" s="29"/>
      <c r="AO250" s="29"/>
      <c r="AP250" s="29"/>
      <c r="AQ250" s="29"/>
      <c r="AR250" s="29"/>
      <c r="AS250" s="29"/>
      <c r="AT250" s="29"/>
      <c r="AU250" s="29"/>
      <c r="AV250" s="29"/>
      <c r="AW250" s="29"/>
      <c r="AX250" s="29"/>
    </row>
    <row r="251" ht="15.75" customHeight="1">
      <c r="A251" s="29"/>
      <c r="B251" s="29"/>
      <c r="C251" s="31"/>
      <c r="D251" s="29"/>
      <c r="E251" s="29"/>
      <c r="F251" s="29"/>
      <c r="G251" s="29"/>
      <c r="H251" s="29"/>
      <c r="I251" s="29"/>
      <c r="J251" s="29"/>
      <c r="K251" s="29"/>
      <c r="L251" s="29"/>
      <c r="M251" s="29"/>
      <c r="N251" s="29"/>
      <c r="O251" s="29"/>
      <c r="P251" s="29"/>
      <c r="Q251" s="29"/>
      <c r="R251" s="29"/>
      <c r="S251" s="29"/>
      <c r="T251" s="29"/>
      <c r="U251" s="29"/>
      <c r="V251" s="29"/>
      <c r="W251" s="29"/>
      <c r="X251" s="29"/>
      <c r="Y251" s="29"/>
      <c r="Z251" s="29"/>
      <c r="AA251" s="29"/>
      <c r="AB251" s="29"/>
      <c r="AC251" s="29"/>
      <c r="AD251" s="29"/>
      <c r="AE251" s="29"/>
      <c r="AF251" s="29"/>
      <c r="AG251" s="29"/>
      <c r="AH251" s="29"/>
      <c r="AI251" s="29"/>
      <c r="AJ251" s="29"/>
      <c r="AK251" s="29"/>
      <c r="AL251" s="29"/>
      <c r="AM251" s="29"/>
      <c r="AN251" s="29"/>
      <c r="AO251" s="29"/>
      <c r="AP251" s="29"/>
      <c r="AQ251" s="29"/>
      <c r="AR251" s="29"/>
      <c r="AS251" s="29"/>
      <c r="AT251" s="29"/>
      <c r="AU251" s="29"/>
      <c r="AV251" s="29"/>
      <c r="AW251" s="29"/>
      <c r="AX251" s="29"/>
    </row>
    <row r="252" ht="15.75" customHeight="1">
      <c r="A252" s="29"/>
      <c r="B252" s="29"/>
      <c r="C252" s="31"/>
      <c r="D252" s="29"/>
      <c r="E252" s="29"/>
      <c r="F252" s="29"/>
      <c r="G252" s="29"/>
      <c r="H252" s="29"/>
      <c r="I252" s="29"/>
      <c r="J252" s="29"/>
      <c r="K252" s="29"/>
      <c r="L252" s="29"/>
      <c r="M252" s="29"/>
      <c r="N252" s="29"/>
      <c r="O252" s="29"/>
      <c r="P252" s="29"/>
      <c r="Q252" s="29"/>
      <c r="R252" s="29"/>
      <c r="S252" s="29"/>
      <c r="T252" s="29"/>
      <c r="U252" s="29"/>
      <c r="V252" s="29"/>
      <c r="W252" s="29"/>
      <c r="X252" s="29"/>
      <c r="Y252" s="29"/>
      <c r="Z252" s="29"/>
      <c r="AA252" s="29"/>
      <c r="AB252" s="29"/>
      <c r="AC252" s="29"/>
      <c r="AD252" s="29"/>
      <c r="AE252" s="29"/>
      <c r="AF252" s="29"/>
      <c r="AG252" s="29"/>
      <c r="AH252" s="29"/>
      <c r="AI252" s="29"/>
      <c r="AJ252" s="29"/>
      <c r="AK252" s="29"/>
      <c r="AL252" s="29"/>
      <c r="AM252" s="29"/>
      <c r="AN252" s="29"/>
      <c r="AO252" s="29"/>
      <c r="AP252" s="29"/>
      <c r="AQ252" s="29"/>
      <c r="AR252" s="29"/>
      <c r="AS252" s="29"/>
      <c r="AT252" s="29"/>
      <c r="AU252" s="29"/>
      <c r="AV252" s="29"/>
      <c r="AW252" s="29"/>
      <c r="AX252" s="29"/>
    </row>
    <row r="253" ht="15.75" customHeight="1">
      <c r="A253" s="29"/>
      <c r="B253" s="29"/>
      <c r="C253" s="31"/>
      <c r="D253" s="29"/>
      <c r="E253" s="29"/>
      <c r="F253" s="29"/>
      <c r="G253" s="29"/>
      <c r="H253" s="29"/>
      <c r="I253" s="29"/>
      <c r="J253" s="29"/>
      <c r="K253" s="29"/>
      <c r="L253" s="29"/>
      <c r="M253" s="29"/>
      <c r="N253" s="29"/>
      <c r="O253" s="29"/>
      <c r="P253" s="29"/>
      <c r="Q253" s="29"/>
      <c r="R253" s="29"/>
      <c r="S253" s="29"/>
      <c r="T253" s="29"/>
      <c r="U253" s="29"/>
      <c r="V253" s="29"/>
      <c r="W253" s="29"/>
      <c r="X253" s="29"/>
      <c r="Y253" s="29"/>
      <c r="Z253" s="29"/>
      <c r="AA253" s="29"/>
      <c r="AB253" s="29"/>
      <c r="AC253" s="29"/>
      <c r="AD253" s="29"/>
      <c r="AE253" s="29"/>
      <c r="AF253" s="29"/>
      <c r="AG253" s="29"/>
      <c r="AH253" s="29"/>
      <c r="AI253" s="29"/>
      <c r="AJ253" s="29"/>
      <c r="AK253" s="29"/>
      <c r="AL253" s="29"/>
      <c r="AM253" s="29"/>
      <c r="AN253" s="29"/>
      <c r="AO253" s="29"/>
      <c r="AP253" s="29"/>
      <c r="AQ253" s="29"/>
      <c r="AR253" s="29"/>
      <c r="AS253" s="29"/>
      <c r="AT253" s="29"/>
      <c r="AU253" s="29"/>
      <c r="AV253" s="29"/>
      <c r="AW253" s="29"/>
      <c r="AX253" s="29"/>
    </row>
    <row r="254" ht="15.75" customHeight="1">
      <c r="A254" s="29"/>
      <c r="B254" s="29"/>
      <c r="C254" s="31"/>
      <c r="D254" s="29"/>
      <c r="E254" s="29"/>
      <c r="F254" s="29"/>
      <c r="G254" s="29"/>
      <c r="H254" s="29"/>
      <c r="I254" s="29"/>
      <c r="J254" s="29"/>
      <c r="K254" s="29"/>
      <c r="L254" s="29"/>
      <c r="M254" s="29"/>
      <c r="N254" s="29"/>
      <c r="O254" s="29"/>
      <c r="P254" s="29"/>
      <c r="Q254" s="29"/>
      <c r="R254" s="29"/>
      <c r="S254" s="29"/>
      <c r="T254" s="29"/>
      <c r="U254" s="29"/>
      <c r="V254" s="29"/>
      <c r="W254" s="29"/>
      <c r="X254" s="29"/>
      <c r="Y254" s="29"/>
      <c r="Z254" s="29"/>
      <c r="AA254" s="29"/>
      <c r="AB254" s="29"/>
      <c r="AC254" s="29"/>
      <c r="AD254" s="29"/>
      <c r="AE254" s="29"/>
      <c r="AF254" s="29"/>
      <c r="AG254" s="29"/>
      <c r="AH254" s="29"/>
      <c r="AI254" s="29"/>
      <c r="AJ254" s="29"/>
      <c r="AK254" s="29"/>
      <c r="AL254" s="29"/>
      <c r="AM254" s="29"/>
      <c r="AN254" s="29"/>
      <c r="AO254" s="29"/>
      <c r="AP254" s="29"/>
      <c r="AQ254" s="29"/>
      <c r="AR254" s="29"/>
      <c r="AS254" s="29"/>
      <c r="AT254" s="29"/>
      <c r="AU254" s="29"/>
      <c r="AV254" s="29"/>
      <c r="AW254" s="29"/>
      <c r="AX254" s="29"/>
    </row>
    <row r="255" ht="15.75" customHeight="1">
      <c r="A255" s="29"/>
      <c r="B255" s="29"/>
      <c r="C255" s="31"/>
      <c r="D255" s="29"/>
      <c r="E255" s="29"/>
      <c r="F255" s="29"/>
      <c r="G255" s="29"/>
      <c r="H255" s="29"/>
      <c r="I255" s="29"/>
      <c r="J255" s="29"/>
      <c r="K255" s="29"/>
      <c r="L255" s="29"/>
      <c r="M255" s="29"/>
      <c r="N255" s="29"/>
      <c r="O255" s="29"/>
      <c r="P255" s="29"/>
      <c r="Q255" s="29"/>
      <c r="R255" s="29"/>
      <c r="S255" s="29"/>
      <c r="T255" s="29"/>
      <c r="U255" s="29"/>
      <c r="V255" s="29"/>
      <c r="W255" s="29"/>
      <c r="X255" s="29"/>
      <c r="Y255" s="29"/>
      <c r="Z255" s="29"/>
      <c r="AA255" s="29"/>
      <c r="AB255" s="29"/>
      <c r="AC255" s="29"/>
      <c r="AD255" s="29"/>
      <c r="AE255" s="29"/>
      <c r="AF255" s="29"/>
      <c r="AG255" s="29"/>
      <c r="AH255" s="29"/>
      <c r="AI255" s="29"/>
      <c r="AJ255" s="29"/>
      <c r="AK255" s="29"/>
      <c r="AL255" s="29"/>
      <c r="AM255" s="29"/>
      <c r="AN255" s="29"/>
      <c r="AO255" s="29"/>
      <c r="AP255" s="29"/>
      <c r="AQ255" s="29"/>
      <c r="AR255" s="29"/>
      <c r="AS255" s="29"/>
      <c r="AT255" s="29"/>
      <c r="AU255" s="29"/>
      <c r="AV255" s="29"/>
      <c r="AW255" s="29"/>
      <c r="AX255" s="29"/>
    </row>
    <row r="256" ht="15.75" customHeight="1">
      <c r="A256" s="29"/>
      <c r="B256" s="29"/>
      <c r="C256" s="31"/>
      <c r="D256" s="29"/>
      <c r="E256" s="29"/>
      <c r="F256" s="29"/>
      <c r="G256" s="29"/>
      <c r="H256" s="29"/>
      <c r="I256" s="29"/>
      <c r="J256" s="29"/>
      <c r="K256" s="29"/>
      <c r="L256" s="29"/>
      <c r="M256" s="29"/>
      <c r="N256" s="29"/>
      <c r="O256" s="29"/>
      <c r="P256" s="29"/>
      <c r="Q256" s="29"/>
      <c r="R256" s="29"/>
      <c r="S256" s="29"/>
      <c r="T256" s="29"/>
      <c r="U256" s="29"/>
      <c r="V256" s="29"/>
      <c r="W256" s="29"/>
      <c r="X256" s="29"/>
      <c r="Y256" s="29"/>
      <c r="Z256" s="29"/>
      <c r="AA256" s="29"/>
      <c r="AB256" s="29"/>
      <c r="AC256" s="29"/>
      <c r="AD256" s="29"/>
      <c r="AE256" s="29"/>
      <c r="AF256" s="29"/>
      <c r="AG256" s="29"/>
      <c r="AH256" s="29"/>
      <c r="AI256" s="29"/>
      <c r="AJ256" s="29"/>
      <c r="AK256" s="29"/>
      <c r="AL256" s="29"/>
      <c r="AM256" s="29"/>
      <c r="AN256" s="29"/>
      <c r="AO256" s="29"/>
      <c r="AP256" s="29"/>
      <c r="AQ256" s="29"/>
      <c r="AR256" s="29"/>
      <c r="AS256" s="29"/>
      <c r="AT256" s="29"/>
      <c r="AU256" s="29"/>
      <c r="AV256" s="29"/>
      <c r="AW256" s="29"/>
      <c r="AX256" s="29"/>
    </row>
    <row r="257" ht="15.75" customHeight="1">
      <c r="A257" s="29"/>
      <c r="B257" s="29"/>
      <c r="C257" s="31"/>
      <c r="D257" s="29"/>
      <c r="E257" s="29"/>
      <c r="F257" s="29"/>
      <c r="G257" s="29"/>
      <c r="H257" s="29"/>
      <c r="I257" s="29"/>
      <c r="J257" s="29"/>
      <c r="K257" s="29"/>
      <c r="L257" s="29"/>
      <c r="M257" s="29"/>
      <c r="N257" s="29"/>
      <c r="O257" s="29"/>
      <c r="P257" s="29"/>
      <c r="Q257" s="29"/>
      <c r="R257" s="29"/>
      <c r="S257" s="29"/>
      <c r="T257" s="29"/>
      <c r="U257" s="29"/>
      <c r="V257" s="29"/>
      <c r="W257" s="29"/>
      <c r="X257" s="29"/>
      <c r="Y257" s="29"/>
      <c r="Z257" s="29"/>
      <c r="AA257" s="29"/>
      <c r="AB257" s="29"/>
      <c r="AC257" s="29"/>
      <c r="AD257" s="29"/>
      <c r="AE257" s="29"/>
      <c r="AF257" s="29"/>
      <c r="AG257" s="29"/>
      <c r="AH257" s="29"/>
      <c r="AI257" s="29"/>
      <c r="AJ257" s="29"/>
      <c r="AK257" s="29"/>
      <c r="AL257" s="29"/>
      <c r="AM257" s="29"/>
      <c r="AN257" s="29"/>
      <c r="AO257" s="29"/>
      <c r="AP257" s="29"/>
      <c r="AQ257" s="29"/>
      <c r="AR257" s="29"/>
      <c r="AS257" s="29"/>
      <c r="AT257" s="29"/>
      <c r="AU257" s="29"/>
      <c r="AV257" s="29"/>
      <c r="AW257" s="29"/>
      <c r="AX257" s="29"/>
    </row>
    <row r="258" ht="15.75" customHeight="1">
      <c r="A258" s="29"/>
      <c r="B258" s="29"/>
      <c r="C258" s="31"/>
      <c r="D258" s="29"/>
      <c r="E258" s="29"/>
      <c r="F258" s="29"/>
      <c r="G258" s="29"/>
      <c r="H258" s="29"/>
      <c r="I258" s="29"/>
      <c r="J258" s="29"/>
      <c r="K258" s="29"/>
      <c r="L258" s="29"/>
      <c r="M258" s="29"/>
      <c r="N258" s="29"/>
      <c r="O258" s="29"/>
      <c r="P258" s="29"/>
      <c r="Q258" s="29"/>
      <c r="R258" s="29"/>
      <c r="S258" s="29"/>
      <c r="T258" s="29"/>
      <c r="U258" s="29"/>
      <c r="V258" s="29"/>
      <c r="W258" s="29"/>
      <c r="X258" s="29"/>
      <c r="Y258" s="29"/>
      <c r="Z258" s="29"/>
      <c r="AA258" s="29"/>
      <c r="AB258" s="29"/>
      <c r="AC258" s="29"/>
      <c r="AD258" s="29"/>
      <c r="AE258" s="29"/>
      <c r="AF258" s="29"/>
      <c r="AG258" s="29"/>
      <c r="AH258" s="29"/>
      <c r="AI258" s="29"/>
      <c r="AJ258" s="29"/>
      <c r="AK258" s="29"/>
      <c r="AL258" s="29"/>
      <c r="AM258" s="29"/>
      <c r="AN258" s="29"/>
      <c r="AO258" s="29"/>
      <c r="AP258" s="29"/>
      <c r="AQ258" s="29"/>
      <c r="AR258" s="29"/>
      <c r="AS258" s="29"/>
      <c r="AT258" s="29"/>
      <c r="AU258" s="29"/>
      <c r="AV258" s="29"/>
      <c r="AW258" s="29"/>
      <c r="AX258" s="29"/>
    </row>
    <row r="259" ht="15.75" customHeight="1">
      <c r="A259" s="29"/>
      <c r="B259" s="29"/>
      <c r="C259" s="31"/>
      <c r="D259" s="29"/>
      <c r="E259" s="29"/>
      <c r="F259" s="29"/>
      <c r="G259" s="29"/>
      <c r="H259" s="29"/>
      <c r="I259" s="29"/>
      <c r="J259" s="29"/>
      <c r="K259" s="29"/>
      <c r="L259" s="29"/>
      <c r="M259" s="29"/>
      <c r="N259" s="29"/>
      <c r="O259" s="29"/>
      <c r="P259" s="29"/>
      <c r="Q259" s="29"/>
      <c r="R259" s="29"/>
      <c r="S259" s="29"/>
      <c r="T259" s="29"/>
      <c r="U259" s="29"/>
      <c r="V259" s="29"/>
      <c r="W259" s="29"/>
      <c r="X259" s="29"/>
      <c r="Y259" s="29"/>
      <c r="Z259" s="29"/>
      <c r="AA259" s="29"/>
      <c r="AB259" s="29"/>
      <c r="AC259" s="29"/>
      <c r="AD259" s="29"/>
      <c r="AE259" s="29"/>
      <c r="AF259" s="29"/>
      <c r="AG259" s="29"/>
      <c r="AH259" s="29"/>
      <c r="AI259" s="29"/>
      <c r="AJ259" s="29"/>
      <c r="AK259" s="29"/>
      <c r="AL259" s="29"/>
      <c r="AM259" s="29"/>
      <c r="AN259" s="29"/>
      <c r="AO259" s="29"/>
      <c r="AP259" s="29"/>
      <c r="AQ259" s="29"/>
      <c r="AR259" s="29"/>
      <c r="AS259" s="29"/>
      <c r="AT259" s="29"/>
      <c r="AU259" s="29"/>
      <c r="AV259" s="29"/>
      <c r="AW259" s="29"/>
      <c r="AX259" s="29"/>
    </row>
    <row r="260" ht="15.75" customHeight="1">
      <c r="A260" s="29"/>
      <c r="B260" s="29"/>
      <c r="C260" s="31"/>
      <c r="D260" s="29"/>
      <c r="E260" s="29"/>
      <c r="F260" s="29"/>
      <c r="G260" s="29"/>
      <c r="H260" s="29"/>
      <c r="I260" s="29"/>
      <c r="J260" s="29"/>
      <c r="K260" s="29"/>
      <c r="L260" s="29"/>
      <c r="M260" s="29"/>
      <c r="N260" s="29"/>
      <c r="O260" s="29"/>
      <c r="P260" s="29"/>
      <c r="Q260" s="29"/>
      <c r="R260" s="29"/>
      <c r="S260" s="29"/>
      <c r="T260" s="29"/>
      <c r="U260" s="29"/>
      <c r="V260" s="29"/>
      <c r="W260" s="29"/>
      <c r="X260" s="29"/>
      <c r="Y260" s="29"/>
      <c r="Z260" s="29"/>
      <c r="AA260" s="29"/>
      <c r="AB260" s="29"/>
      <c r="AC260" s="29"/>
      <c r="AD260" s="29"/>
      <c r="AE260" s="29"/>
      <c r="AF260" s="29"/>
      <c r="AG260" s="29"/>
      <c r="AH260" s="29"/>
      <c r="AI260" s="29"/>
      <c r="AJ260" s="29"/>
      <c r="AK260" s="29"/>
      <c r="AL260" s="29"/>
      <c r="AM260" s="29"/>
      <c r="AN260" s="29"/>
      <c r="AO260" s="29"/>
      <c r="AP260" s="29"/>
      <c r="AQ260" s="29"/>
      <c r="AR260" s="29"/>
      <c r="AS260" s="29"/>
      <c r="AT260" s="29"/>
      <c r="AU260" s="29"/>
      <c r="AV260" s="29"/>
      <c r="AW260" s="29"/>
      <c r="AX260" s="29"/>
    </row>
    <row r="261" ht="15.75" customHeight="1">
      <c r="A261" s="29"/>
      <c r="B261" s="29"/>
      <c r="C261" s="31"/>
      <c r="D261" s="29"/>
      <c r="E261" s="29"/>
      <c r="F261" s="29"/>
      <c r="G261" s="29"/>
      <c r="H261" s="29"/>
      <c r="I261" s="29"/>
      <c r="J261" s="29"/>
      <c r="K261" s="29"/>
      <c r="L261" s="29"/>
      <c r="M261" s="29"/>
      <c r="N261" s="29"/>
      <c r="O261" s="29"/>
      <c r="P261" s="29"/>
      <c r="Q261" s="29"/>
      <c r="R261" s="29"/>
      <c r="S261" s="29"/>
      <c r="T261" s="29"/>
      <c r="U261" s="29"/>
      <c r="V261" s="29"/>
      <c r="W261" s="29"/>
      <c r="X261" s="29"/>
      <c r="Y261" s="29"/>
      <c r="Z261" s="29"/>
      <c r="AA261" s="29"/>
      <c r="AB261" s="29"/>
      <c r="AC261" s="29"/>
      <c r="AD261" s="29"/>
      <c r="AE261" s="29"/>
      <c r="AF261" s="29"/>
      <c r="AG261" s="29"/>
      <c r="AH261" s="29"/>
      <c r="AI261" s="29"/>
      <c r="AJ261" s="29"/>
      <c r="AK261" s="29"/>
      <c r="AL261" s="29"/>
      <c r="AM261" s="29"/>
      <c r="AN261" s="29"/>
      <c r="AO261" s="29"/>
      <c r="AP261" s="29"/>
      <c r="AQ261" s="29"/>
      <c r="AR261" s="29"/>
      <c r="AS261" s="29"/>
      <c r="AT261" s="29"/>
      <c r="AU261" s="29"/>
      <c r="AV261" s="29"/>
      <c r="AW261" s="29"/>
      <c r="AX261" s="29"/>
    </row>
    <row r="262" ht="15.75" customHeight="1">
      <c r="A262" s="29"/>
      <c r="B262" s="29"/>
      <c r="C262" s="31"/>
      <c r="D262" s="29"/>
      <c r="E262" s="29"/>
      <c r="F262" s="29"/>
      <c r="G262" s="29"/>
      <c r="H262" s="29"/>
      <c r="I262" s="29"/>
      <c r="J262" s="29"/>
      <c r="K262" s="29"/>
      <c r="L262" s="29"/>
      <c r="M262" s="29"/>
      <c r="N262" s="29"/>
      <c r="O262" s="29"/>
      <c r="P262" s="29"/>
      <c r="Q262" s="29"/>
      <c r="R262" s="29"/>
      <c r="S262" s="29"/>
      <c r="T262" s="29"/>
      <c r="U262" s="29"/>
      <c r="V262" s="29"/>
      <c r="W262" s="29"/>
      <c r="X262" s="29"/>
      <c r="Y262" s="29"/>
      <c r="Z262" s="29"/>
      <c r="AA262" s="29"/>
      <c r="AB262" s="29"/>
      <c r="AC262" s="29"/>
      <c r="AD262" s="29"/>
      <c r="AE262" s="29"/>
      <c r="AF262" s="29"/>
      <c r="AG262" s="29"/>
      <c r="AH262" s="29"/>
      <c r="AI262" s="29"/>
      <c r="AJ262" s="29"/>
      <c r="AK262" s="29"/>
      <c r="AL262" s="29"/>
      <c r="AM262" s="29"/>
      <c r="AN262" s="29"/>
      <c r="AO262" s="29"/>
      <c r="AP262" s="29"/>
      <c r="AQ262" s="29"/>
      <c r="AR262" s="29"/>
      <c r="AS262" s="29"/>
      <c r="AT262" s="29"/>
      <c r="AU262" s="29"/>
      <c r="AV262" s="29"/>
      <c r="AW262" s="29"/>
      <c r="AX262" s="29"/>
    </row>
    <row r="263" ht="15.75" customHeight="1">
      <c r="A263" s="29"/>
      <c r="B263" s="29"/>
      <c r="C263" s="31"/>
      <c r="D263" s="29"/>
      <c r="E263" s="29"/>
      <c r="F263" s="29"/>
      <c r="G263" s="29"/>
      <c r="H263" s="29"/>
      <c r="I263" s="29"/>
      <c r="J263" s="29"/>
      <c r="K263" s="29"/>
      <c r="L263" s="29"/>
      <c r="M263" s="29"/>
      <c r="N263" s="29"/>
      <c r="O263" s="29"/>
      <c r="P263" s="29"/>
      <c r="Q263" s="29"/>
      <c r="R263" s="29"/>
      <c r="S263" s="29"/>
      <c r="T263" s="29"/>
      <c r="U263" s="29"/>
      <c r="V263" s="29"/>
      <c r="W263" s="29"/>
      <c r="X263" s="29"/>
      <c r="Y263" s="29"/>
      <c r="Z263" s="29"/>
      <c r="AA263" s="29"/>
      <c r="AB263" s="29"/>
      <c r="AC263" s="29"/>
      <c r="AD263" s="29"/>
      <c r="AE263" s="29"/>
      <c r="AF263" s="29"/>
      <c r="AG263" s="29"/>
      <c r="AH263" s="29"/>
      <c r="AI263" s="29"/>
      <c r="AJ263" s="29"/>
      <c r="AK263" s="29"/>
      <c r="AL263" s="29"/>
      <c r="AM263" s="29"/>
      <c r="AN263" s="29"/>
      <c r="AO263" s="29"/>
      <c r="AP263" s="29"/>
      <c r="AQ263" s="29"/>
      <c r="AR263" s="29"/>
      <c r="AS263" s="29"/>
      <c r="AT263" s="29"/>
      <c r="AU263" s="29"/>
      <c r="AV263" s="29"/>
      <c r="AW263" s="29"/>
      <c r="AX263" s="29"/>
    </row>
    <row r="264" ht="15.75" customHeight="1">
      <c r="A264" s="29"/>
      <c r="B264" s="29"/>
      <c r="C264" s="31"/>
      <c r="D264" s="29"/>
      <c r="E264" s="29"/>
      <c r="F264" s="29"/>
      <c r="G264" s="29"/>
      <c r="H264" s="29"/>
      <c r="I264" s="29"/>
      <c r="J264" s="29"/>
      <c r="K264" s="29"/>
      <c r="L264" s="29"/>
      <c r="M264" s="29"/>
      <c r="N264" s="29"/>
      <c r="O264" s="29"/>
      <c r="P264" s="29"/>
      <c r="Q264" s="29"/>
      <c r="R264" s="29"/>
      <c r="S264" s="29"/>
      <c r="T264" s="29"/>
      <c r="U264" s="29"/>
      <c r="V264" s="29"/>
      <c r="W264" s="29"/>
      <c r="X264" s="29"/>
      <c r="Y264" s="29"/>
      <c r="Z264" s="29"/>
      <c r="AA264" s="29"/>
      <c r="AB264" s="29"/>
      <c r="AC264" s="29"/>
      <c r="AD264" s="29"/>
      <c r="AE264" s="29"/>
      <c r="AF264" s="29"/>
      <c r="AG264" s="29"/>
      <c r="AH264" s="29"/>
      <c r="AI264" s="29"/>
      <c r="AJ264" s="29"/>
      <c r="AK264" s="29"/>
      <c r="AL264" s="29"/>
      <c r="AM264" s="29"/>
      <c r="AN264" s="29"/>
      <c r="AO264" s="29"/>
      <c r="AP264" s="29"/>
      <c r="AQ264" s="29"/>
      <c r="AR264" s="29"/>
      <c r="AS264" s="29"/>
      <c r="AT264" s="29"/>
      <c r="AU264" s="29"/>
      <c r="AV264" s="29"/>
      <c r="AW264" s="29"/>
      <c r="AX264" s="29"/>
    </row>
    <row r="265" ht="15.75" customHeight="1">
      <c r="A265" s="29"/>
      <c r="B265" s="29"/>
      <c r="C265" s="31"/>
      <c r="D265" s="29"/>
      <c r="E265" s="29"/>
      <c r="F265" s="29"/>
      <c r="G265" s="29"/>
      <c r="H265" s="29"/>
      <c r="I265" s="29"/>
      <c r="J265" s="29"/>
      <c r="K265" s="29"/>
      <c r="L265" s="29"/>
      <c r="M265" s="29"/>
      <c r="N265" s="29"/>
      <c r="O265" s="29"/>
      <c r="P265" s="29"/>
      <c r="Q265" s="29"/>
      <c r="R265" s="29"/>
      <c r="S265" s="29"/>
      <c r="T265" s="29"/>
      <c r="U265" s="29"/>
      <c r="V265" s="29"/>
      <c r="W265" s="29"/>
      <c r="X265" s="29"/>
      <c r="Y265" s="29"/>
      <c r="Z265" s="29"/>
      <c r="AA265" s="29"/>
      <c r="AB265" s="29"/>
      <c r="AC265" s="29"/>
      <c r="AD265" s="29"/>
      <c r="AE265" s="29"/>
      <c r="AF265" s="29"/>
      <c r="AG265" s="29"/>
      <c r="AH265" s="29"/>
      <c r="AI265" s="29"/>
      <c r="AJ265" s="29"/>
      <c r="AK265" s="29"/>
      <c r="AL265" s="29"/>
      <c r="AM265" s="29"/>
      <c r="AN265" s="29"/>
      <c r="AO265" s="29"/>
      <c r="AP265" s="29"/>
      <c r="AQ265" s="29"/>
      <c r="AR265" s="29"/>
      <c r="AS265" s="29"/>
      <c r="AT265" s="29"/>
      <c r="AU265" s="29"/>
      <c r="AV265" s="29"/>
      <c r="AW265" s="29"/>
      <c r="AX265" s="29"/>
    </row>
    <row r="266" ht="15.75" customHeight="1">
      <c r="A266" s="29"/>
      <c r="B266" s="29"/>
      <c r="C266" s="31"/>
      <c r="D266" s="29"/>
      <c r="E266" s="29"/>
      <c r="F266" s="29"/>
      <c r="G266" s="29"/>
      <c r="H266" s="29"/>
      <c r="I266" s="29"/>
      <c r="J266" s="29"/>
      <c r="K266" s="29"/>
      <c r="L266" s="29"/>
      <c r="M266" s="29"/>
      <c r="N266" s="29"/>
      <c r="O266" s="29"/>
      <c r="P266" s="29"/>
      <c r="Q266" s="29"/>
      <c r="R266" s="29"/>
      <c r="S266" s="29"/>
      <c r="T266" s="29"/>
      <c r="U266" s="29"/>
      <c r="V266" s="29"/>
      <c r="W266" s="29"/>
      <c r="X266" s="29"/>
      <c r="Y266" s="29"/>
      <c r="Z266" s="29"/>
      <c r="AA266" s="29"/>
      <c r="AB266" s="29"/>
      <c r="AC266" s="29"/>
      <c r="AD266" s="29"/>
      <c r="AE266" s="29"/>
      <c r="AF266" s="29"/>
      <c r="AG266" s="29"/>
      <c r="AH266" s="29"/>
      <c r="AI266" s="29"/>
      <c r="AJ266" s="29"/>
      <c r="AK266" s="29"/>
      <c r="AL266" s="29"/>
      <c r="AM266" s="29"/>
      <c r="AN266" s="29"/>
      <c r="AO266" s="29"/>
      <c r="AP266" s="29"/>
      <c r="AQ266" s="29"/>
      <c r="AR266" s="29"/>
      <c r="AS266" s="29"/>
      <c r="AT266" s="29"/>
      <c r="AU266" s="29"/>
      <c r="AV266" s="29"/>
      <c r="AW266" s="29"/>
      <c r="AX266" s="29"/>
    </row>
    <row r="267" ht="15.75" customHeight="1">
      <c r="A267" s="29"/>
      <c r="B267" s="29"/>
      <c r="C267" s="31"/>
      <c r="D267" s="29"/>
      <c r="E267" s="29"/>
      <c r="F267" s="29"/>
      <c r="G267" s="29"/>
      <c r="H267" s="29"/>
      <c r="I267" s="29"/>
      <c r="J267" s="29"/>
      <c r="K267" s="29"/>
      <c r="L267" s="29"/>
      <c r="M267" s="29"/>
      <c r="N267" s="29"/>
      <c r="O267" s="29"/>
      <c r="P267" s="29"/>
      <c r="Q267" s="29"/>
      <c r="R267" s="29"/>
      <c r="S267" s="29"/>
      <c r="T267" s="29"/>
      <c r="U267" s="29"/>
      <c r="V267" s="29"/>
      <c r="W267" s="29"/>
      <c r="X267" s="29"/>
      <c r="Y267" s="29"/>
      <c r="Z267" s="29"/>
      <c r="AA267" s="29"/>
      <c r="AB267" s="29"/>
      <c r="AC267" s="29"/>
      <c r="AD267" s="29"/>
      <c r="AE267" s="29"/>
      <c r="AF267" s="29"/>
      <c r="AG267" s="29"/>
      <c r="AH267" s="29"/>
      <c r="AI267" s="29"/>
      <c r="AJ267" s="29"/>
      <c r="AK267" s="29"/>
      <c r="AL267" s="29"/>
      <c r="AM267" s="29"/>
      <c r="AN267" s="29"/>
      <c r="AO267" s="29"/>
      <c r="AP267" s="29"/>
      <c r="AQ267" s="29"/>
      <c r="AR267" s="29"/>
      <c r="AS267" s="29"/>
      <c r="AT267" s="29"/>
      <c r="AU267" s="29"/>
      <c r="AV267" s="29"/>
      <c r="AW267" s="29"/>
      <c r="AX267" s="29"/>
    </row>
    <row r="268" ht="15.75" customHeight="1">
      <c r="A268" s="29"/>
      <c r="B268" s="29"/>
      <c r="C268" s="31"/>
      <c r="D268" s="29"/>
      <c r="E268" s="29"/>
      <c r="F268" s="29"/>
      <c r="G268" s="29"/>
      <c r="H268" s="29"/>
      <c r="I268" s="29"/>
      <c r="J268" s="29"/>
      <c r="K268" s="29"/>
      <c r="L268" s="29"/>
      <c r="M268" s="29"/>
      <c r="N268" s="29"/>
      <c r="O268" s="29"/>
      <c r="P268" s="29"/>
      <c r="Q268" s="29"/>
      <c r="R268" s="29"/>
      <c r="S268" s="29"/>
      <c r="T268" s="29"/>
      <c r="U268" s="29"/>
      <c r="V268" s="29"/>
      <c r="W268" s="29"/>
      <c r="X268" s="29"/>
      <c r="Y268" s="29"/>
      <c r="Z268" s="29"/>
      <c r="AA268" s="29"/>
      <c r="AB268" s="29"/>
      <c r="AC268" s="29"/>
      <c r="AD268" s="29"/>
      <c r="AE268" s="29"/>
      <c r="AF268" s="29"/>
      <c r="AG268" s="29"/>
      <c r="AH268" s="29"/>
      <c r="AI268" s="29"/>
      <c r="AJ268" s="29"/>
      <c r="AK268" s="29"/>
      <c r="AL268" s="29"/>
      <c r="AM268" s="29"/>
      <c r="AN268" s="29"/>
      <c r="AO268" s="29"/>
      <c r="AP268" s="29"/>
      <c r="AQ268" s="29"/>
      <c r="AR268" s="29"/>
      <c r="AS268" s="29"/>
      <c r="AT268" s="29"/>
      <c r="AU268" s="29"/>
      <c r="AV268" s="29"/>
      <c r="AW268" s="29"/>
      <c r="AX268" s="29"/>
    </row>
    <row r="269" ht="15.75" customHeight="1">
      <c r="A269" s="29"/>
      <c r="B269" s="29"/>
      <c r="C269" s="31"/>
      <c r="D269" s="29"/>
      <c r="E269" s="29"/>
      <c r="F269" s="29"/>
      <c r="G269" s="29"/>
      <c r="H269" s="29"/>
      <c r="I269" s="29"/>
      <c r="J269" s="29"/>
      <c r="K269" s="29"/>
      <c r="L269" s="29"/>
      <c r="M269" s="29"/>
      <c r="N269" s="29"/>
      <c r="O269" s="29"/>
      <c r="P269" s="29"/>
      <c r="Q269" s="29"/>
      <c r="R269" s="29"/>
      <c r="S269" s="29"/>
      <c r="T269" s="29"/>
      <c r="U269" s="29"/>
      <c r="V269" s="29"/>
      <c r="W269" s="29"/>
      <c r="X269" s="29"/>
      <c r="Y269" s="29"/>
      <c r="Z269" s="29"/>
      <c r="AA269" s="29"/>
      <c r="AB269" s="29"/>
      <c r="AC269" s="29"/>
      <c r="AD269" s="29"/>
      <c r="AE269" s="29"/>
      <c r="AF269" s="29"/>
      <c r="AG269" s="29"/>
      <c r="AH269" s="29"/>
      <c r="AI269" s="29"/>
      <c r="AJ269" s="29"/>
      <c r="AK269" s="29"/>
      <c r="AL269" s="29"/>
      <c r="AM269" s="29"/>
      <c r="AN269" s="29"/>
      <c r="AO269" s="29"/>
      <c r="AP269" s="29"/>
      <c r="AQ269" s="29"/>
      <c r="AR269" s="29"/>
      <c r="AS269" s="29"/>
      <c r="AT269" s="29"/>
      <c r="AU269" s="29"/>
      <c r="AV269" s="29"/>
      <c r="AW269" s="29"/>
      <c r="AX269" s="29"/>
    </row>
    <row r="270" ht="15.75" customHeight="1">
      <c r="A270" s="29"/>
      <c r="B270" s="29"/>
      <c r="C270" s="31"/>
      <c r="D270" s="29"/>
      <c r="E270" s="29"/>
      <c r="F270" s="29"/>
      <c r="G270" s="29"/>
      <c r="H270" s="29"/>
      <c r="I270" s="29"/>
      <c r="J270" s="29"/>
      <c r="K270" s="29"/>
      <c r="L270" s="29"/>
      <c r="M270" s="29"/>
      <c r="N270" s="29"/>
      <c r="O270" s="29"/>
      <c r="P270" s="29"/>
      <c r="Q270" s="29"/>
      <c r="R270" s="29"/>
      <c r="S270" s="29"/>
      <c r="T270" s="29"/>
      <c r="U270" s="29"/>
      <c r="V270" s="29"/>
      <c r="W270" s="29"/>
      <c r="X270" s="29"/>
      <c r="Y270" s="29"/>
      <c r="Z270" s="29"/>
      <c r="AA270" s="29"/>
      <c r="AB270" s="29"/>
      <c r="AC270" s="29"/>
      <c r="AD270" s="29"/>
      <c r="AE270" s="29"/>
      <c r="AF270" s="29"/>
      <c r="AG270" s="29"/>
      <c r="AH270" s="29"/>
      <c r="AI270" s="29"/>
      <c r="AJ270" s="29"/>
      <c r="AK270" s="29"/>
      <c r="AL270" s="29"/>
      <c r="AM270" s="29"/>
      <c r="AN270" s="29"/>
      <c r="AO270" s="29"/>
      <c r="AP270" s="29"/>
      <c r="AQ270" s="29"/>
      <c r="AR270" s="29"/>
      <c r="AS270" s="29"/>
      <c r="AT270" s="29"/>
      <c r="AU270" s="29"/>
      <c r="AV270" s="29"/>
      <c r="AW270" s="29"/>
      <c r="AX270" s="29"/>
    </row>
    <row r="271" ht="15.75" customHeight="1">
      <c r="A271" s="29"/>
      <c r="B271" s="29"/>
      <c r="C271" s="31"/>
      <c r="D271" s="29"/>
      <c r="E271" s="29"/>
      <c r="F271" s="29"/>
      <c r="G271" s="29"/>
      <c r="H271" s="29"/>
      <c r="I271" s="29"/>
      <c r="J271" s="29"/>
      <c r="K271" s="29"/>
      <c r="L271" s="29"/>
      <c r="M271" s="29"/>
      <c r="N271" s="29"/>
      <c r="O271" s="29"/>
      <c r="P271" s="29"/>
      <c r="Q271" s="29"/>
      <c r="R271" s="29"/>
      <c r="S271" s="29"/>
      <c r="T271" s="29"/>
      <c r="U271" s="29"/>
      <c r="V271" s="29"/>
      <c r="W271" s="29"/>
      <c r="X271" s="29"/>
      <c r="Y271" s="29"/>
      <c r="Z271" s="29"/>
      <c r="AA271" s="29"/>
      <c r="AB271" s="29"/>
      <c r="AC271" s="29"/>
      <c r="AD271" s="29"/>
      <c r="AE271" s="29"/>
      <c r="AF271" s="29"/>
      <c r="AG271" s="29"/>
      <c r="AH271" s="29"/>
      <c r="AI271" s="29"/>
      <c r="AJ271" s="29"/>
      <c r="AK271" s="29"/>
      <c r="AL271" s="29"/>
      <c r="AM271" s="29"/>
      <c r="AN271" s="29"/>
      <c r="AO271" s="29"/>
      <c r="AP271" s="29"/>
      <c r="AQ271" s="29"/>
      <c r="AR271" s="29"/>
      <c r="AS271" s="29"/>
      <c r="AT271" s="29"/>
      <c r="AU271" s="29"/>
      <c r="AV271" s="29"/>
      <c r="AW271" s="29"/>
      <c r="AX271" s="29"/>
    </row>
    <row r="272" ht="15.75" customHeight="1">
      <c r="A272" s="29"/>
      <c r="B272" s="29"/>
      <c r="C272" s="31"/>
      <c r="D272" s="29"/>
      <c r="E272" s="29"/>
      <c r="F272" s="29"/>
      <c r="G272" s="29"/>
      <c r="H272" s="29"/>
      <c r="I272" s="29"/>
      <c r="J272" s="29"/>
      <c r="K272" s="29"/>
      <c r="L272" s="29"/>
      <c r="M272" s="29"/>
      <c r="N272" s="29"/>
      <c r="O272" s="29"/>
      <c r="P272" s="29"/>
      <c r="Q272" s="29"/>
      <c r="R272" s="29"/>
      <c r="S272" s="29"/>
      <c r="T272" s="29"/>
      <c r="U272" s="29"/>
      <c r="V272" s="29"/>
      <c r="W272" s="29"/>
      <c r="X272" s="29"/>
      <c r="Y272" s="29"/>
      <c r="Z272" s="29"/>
      <c r="AA272" s="29"/>
      <c r="AB272" s="29"/>
      <c r="AC272" s="29"/>
      <c r="AD272" s="29"/>
      <c r="AE272" s="29"/>
      <c r="AF272" s="29"/>
      <c r="AG272" s="29"/>
      <c r="AH272" s="29"/>
      <c r="AI272" s="29"/>
      <c r="AJ272" s="29"/>
      <c r="AK272" s="29"/>
      <c r="AL272" s="29"/>
      <c r="AM272" s="29"/>
      <c r="AN272" s="29"/>
      <c r="AO272" s="29"/>
      <c r="AP272" s="29"/>
      <c r="AQ272" s="29"/>
      <c r="AR272" s="29"/>
      <c r="AS272" s="29"/>
      <c r="AT272" s="29"/>
      <c r="AU272" s="29"/>
      <c r="AV272" s="29"/>
      <c r="AW272" s="29"/>
      <c r="AX272" s="29"/>
    </row>
    <row r="273" ht="15.75" customHeight="1">
      <c r="A273" s="29"/>
      <c r="B273" s="29"/>
      <c r="C273" s="31"/>
      <c r="D273" s="29"/>
      <c r="E273" s="29"/>
      <c r="F273" s="29"/>
      <c r="G273" s="29"/>
      <c r="H273" s="29"/>
      <c r="I273" s="29"/>
      <c r="J273" s="29"/>
      <c r="K273" s="29"/>
      <c r="L273" s="29"/>
      <c r="M273" s="29"/>
      <c r="N273" s="29"/>
      <c r="O273" s="29"/>
      <c r="P273" s="29"/>
      <c r="Q273" s="29"/>
      <c r="R273" s="29"/>
      <c r="S273" s="29"/>
      <c r="T273" s="29"/>
      <c r="U273" s="29"/>
      <c r="V273" s="29"/>
      <c r="W273" s="29"/>
      <c r="X273" s="29"/>
      <c r="Y273" s="29"/>
      <c r="Z273" s="29"/>
      <c r="AA273" s="29"/>
      <c r="AB273" s="29"/>
      <c r="AC273" s="29"/>
      <c r="AD273" s="29"/>
      <c r="AE273" s="29"/>
      <c r="AF273" s="29"/>
      <c r="AG273" s="29"/>
      <c r="AH273" s="29"/>
      <c r="AI273" s="29"/>
      <c r="AJ273" s="29"/>
      <c r="AK273" s="29"/>
      <c r="AL273" s="29"/>
      <c r="AM273" s="29"/>
      <c r="AN273" s="29"/>
      <c r="AO273" s="29"/>
      <c r="AP273" s="29"/>
      <c r="AQ273" s="29"/>
      <c r="AR273" s="29"/>
      <c r="AS273" s="29"/>
      <c r="AT273" s="29"/>
      <c r="AU273" s="29"/>
      <c r="AV273" s="29"/>
      <c r="AW273" s="29"/>
      <c r="AX273" s="29"/>
    </row>
    <row r="274" ht="15.75" customHeight="1">
      <c r="A274" s="29"/>
      <c r="B274" s="29"/>
      <c r="C274" s="31"/>
      <c r="D274" s="29"/>
      <c r="E274" s="29"/>
      <c r="F274" s="29"/>
      <c r="G274" s="29"/>
      <c r="H274" s="29"/>
      <c r="I274" s="29"/>
      <c r="J274" s="29"/>
      <c r="K274" s="29"/>
      <c r="L274" s="29"/>
      <c r="M274" s="29"/>
      <c r="N274" s="29"/>
      <c r="O274" s="29"/>
      <c r="P274" s="29"/>
      <c r="Q274" s="29"/>
      <c r="R274" s="29"/>
      <c r="S274" s="29"/>
      <c r="T274" s="29"/>
      <c r="U274" s="29"/>
      <c r="V274" s="29"/>
      <c r="W274" s="29"/>
      <c r="X274" s="29"/>
      <c r="Y274" s="29"/>
      <c r="Z274" s="29"/>
      <c r="AA274" s="29"/>
      <c r="AB274" s="29"/>
      <c r="AC274" s="29"/>
      <c r="AD274" s="29"/>
      <c r="AE274" s="29"/>
      <c r="AF274" s="29"/>
      <c r="AG274" s="29"/>
      <c r="AH274" s="29"/>
      <c r="AI274" s="29"/>
      <c r="AJ274" s="29"/>
      <c r="AK274" s="29"/>
      <c r="AL274" s="29"/>
      <c r="AM274" s="29"/>
      <c r="AN274" s="29"/>
      <c r="AO274" s="29"/>
      <c r="AP274" s="29"/>
      <c r="AQ274" s="29"/>
      <c r="AR274" s="29"/>
      <c r="AS274" s="29"/>
      <c r="AT274" s="29"/>
      <c r="AU274" s="29"/>
      <c r="AV274" s="29"/>
      <c r="AW274" s="29"/>
      <c r="AX274" s="29"/>
    </row>
    <row r="275" ht="15.75" customHeight="1">
      <c r="A275" s="29"/>
      <c r="B275" s="29"/>
      <c r="C275" s="31"/>
      <c r="D275" s="29"/>
      <c r="E275" s="29"/>
      <c r="F275" s="29"/>
      <c r="G275" s="29"/>
      <c r="H275" s="29"/>
      <c r="I275" s="29"/>
      <c r="J275" s="29"/>
      <c r="K275" s="29"/>
      <c r="L275" s="29"/>
      <c r="M275" s="29"/>
      <c r="N275" s="29"/>
      <c r="O275" s="29"/>
      <c r="P275" s="29"/>
      <c r="Q275" s="29"/>
      <c r="R275" s="29"/>
      <c r="S275" s="29"/>
      <c r="T275" s="29"/>
      <c r="U275" s="29"/>
      <c r="V275" s="29"/>
      <c r="W275" s="29"/>
      <c r="X275" s="29"/>
      <c r="Y275" s="29"/>
      <c r="Z275" s="29"/>
      <c r="AA275" s="29"/>
      <c r="AB275" s="29"/>
      <c r="AC275" s="29"/>
      <c r="AD275" s="29"/>
      <c r="AE275" s="29"/>
      <c r="AF275" s="29"/>
      <c r="AG275" s="29"/>
      <c r="AH275" s="29"/>
      <c r="AI275" s="29"/>
      <c r="AJ275" s="29"/>
      <c r="AK275" s="29"/>
      <c r="AL275" s="29"/>
      <c r="AM275" s="29"/>
      <c r="AN275" s="29"/>
      <c r="AO275" s="29"/>
      <c r="AP275" s="29"/>
      <c r="AQ275" s="29"/>
      <c r="AR275" s="29"/>
      <c r="AS275" s="29"/>
      <c r="AT275" s="29"/>
      <c r="AU275" s="29"/>
      <c r="AV275" s="29"/>
      <c r="AW275" s="29"/>
      <c r="AX275" s="29"/>
    </row>
    <row r="276" ht="15.75" customHeight="1">
      <c r="A276" s="29"/>
      <c r="B276" s="29"/>
      <c r="C276" s="31"/>
      <c r="D276" s="29"/>
      <c r="E276" s="29"/>
      <c r="F276" s="29"/>
      <c r="G276" s="29"/>
      <c r="H276" s="29"/>
      <c r="I276" s="29"/>
      <c r="J276" s="29"/>
      <c r="K276" s="29"/>
      <c r="L276" s="29"/>
      <c r="M276" s="29"/>
      <c r="N276" s="29"/>
      <c r="O276" s="29"/>
      <c r="P276" s="29"/>
      <c r="Q276" s="29"/>
      <c r="R276" s="29"/>
      <c r="S276" s="29"/>
      <c r="T276" s="29"/>
      <c r="U276" s="29"/>
      <c r="V276" s="29"/>
      <c r="W276" s="29"/>
      <c r="X276" s="29"/>
      <c r="Y276" s="29"/>
      <c r="Z276" s="29"/>
      <c r="AA276" s="29"/>
      <c r="AB276" s="29"/>
      <c r="AC276" s="29"/>
      <c r="AD276" s="29"/>
      <c r="AE276" s="29"/>
      <c r="AF276" s="29"/>
      <c r="AG276" s="29"/>
      <c r="AH276" s="29"/>
      <c r="AI276" s="29"/>
      <c r="AJ276" s="29"/>
      <c r="AK276" s="29"/>
      <c r="AL276" s="29"/>
      <c r="AM276" s="29"/>
      <c r="AN276" s="29"/>
      <c r="AO276" s="29"/>
      <c r="AP276" s="29"/>
      <c r="AQ276" s="29"/>
      <c r="AR276" s="29"/>
      <c r="AS276" s="29"/>
      <c r="AT276" s="29"/>
      <c r="AU276" s="29"/>
      <c r="AV276" s="29"/>
      <c r="AW276" s="29"/>
      <c r="AX276" s="29"/>
    </row>
    <row r="277" ht="15.75" customHeight="1">
      <c r="A277" s="29"/>
      <c r="B277" s="29"/>
      <c r="C277" s="31"/>
      <c r="D277" s="29"/>
      <c r="E277" s="29"/>
      <c r="F277" s="29"/>
      <c r="G277" s="29"/>
      <c r="H277" s="29"/>
      <c r="I277" s="29"/>
      <c r="J277" s="29"/>
      <c r="K277" s="29"/>
      <c r="L277" s="29"/>
      <c r="M277" s="29"/>
      <c r="N277" s="29"/>
      <c r="O277" s="29"/>
      <c r="P277" s="29"/>
      <c r="Q277" s="29"/>
      <c r="R277" s="29"/>
      <c r="S277" s="29"/>
      <c r="T277" s="29"/>
      <c r="U277" s="29"/>
      <c r="V277" s="29"/>
      <c r="W277" s="29"/>
      <c r="X277" s="29"/>
      <c r="Y277" s="29"/>
      <c r="Z277" s="29"/>
      <c r="AA277" s="29"/>
      <c r="AB277" s="29"/>
      <c r="AC277" s="29"/>
      <c r="AD277" s="29"/>
      <c r="AE277" s="29"/>
      <c r="AF277" s="29"/>
      <c r="AG277" s="29"/>
      <c r="AH277" s="29"/>
      <c r="AI277" s="29"/>
      <c r="AJ277" s="29"/>
      <c r="AK277" s="29"/>
      <c r="AL277" s="29"/>
      <c r="AM277" s="29"/>
      <c r="AN277" s="29"/>
      <c r="AO277" s="29"/>
      <c r="AP277" s="29"/>
      <c r="AQ277" s="29"/>
      <c r="AR277" s="29"/>
      <c r="AS277" s="29"/>
      <c r="AT277" s="29"/>
      <c r="AU277" s="29"/>
      <c r="AV277" s="29"/>
      <c r="AW277" s="29"/>
      <c r="AX277" s="29"/>
    </row>
    <row r="278" ht="15.75" customHeight="1">
      <c r="A278" s="29"/>
      <c r="B278" s="29"/>
      <c r="C278" s="31"/>
      <c r="D278" s="29"/>
      <c r="E278" s="29"/>
      <c r="F278" s="29"/>
      <c r="G278" s="29"/>
      <c r="H278" s="29"/>
      <c r="I278" s="29"/>
      <c r="J278" s="29"/>
      <c r="K278" s="29"/>
      <c r="L278" s="29"/>
      <c r="M278" s="29"/>
      <c r="N278" s="29"/>
      <c r="O278" s="29"/>
      <c r="P278" s="29"/>
      <c r="Q278" s="29"/>
      <c r="R278" s="29"/>
      <c r="S278" s="29"/>
      <c r="T278" s="29"/>
      <c r="U278" s="29"/>
      <c r="V278" s="29"/>
      <c r="W278" s="29"/>
      <c r="X278" s="29"/>
      <c r="Y278" s="29"/>
      <c r="Z278" s="29"/>
      <c r="AA278" s="29"/>
      <c r="AB278" s="29"/>
      <c r="AC278" s="29"/>
      <c r="AD278" s="29"/>
      <c r="AE278" s="29"/>
      <c r="AF278" s="29"/>
      <c r="AG278" s="29"/>
      <c r="AH278" s="29"/>
      <c r="AI278" s="29"/>
      <c r="AJ278" s="29"/>
      <c r="AK278" s="29"/>
      <c r="AL278" s="29"/>
      <c r="AM278" s="29"/>
      <c r="AN278" s="29"/>
      <c r="AO278" s="29"/>
      <c r="AP278" s="29"/>
      <c r="AQ278" s="29"/>
      <c r="AR278" s="29"/>
      <c r="AS278" s="29"/>
      <c r="AT278" s="29"/>
      <c r="AU278" s="29"/>
      <c r="AV278" s="29"/>
      <c r="AW278" s="29"/>
      <c r="AX278" s="29"/>
    </row>
    <row r="279" ht="15.75" customHeight="1">
      <c r="A279" s="29"/>
      <c r="B279" s="29"/>
      <c r="C279" s="31"/>
      <c r="D279" s="29"/>
      <c r="E279" s="29"/>
      <c r="F279" s="29"/>
      <c r="G279" s="29"/>
      <c r="H279" s="29"/>
      <c r="I279" s="29"/>
      <c r="J279" s="29"/>
      <c r="K279" s="29"/>
      <c r="L279" s="29"/>
      <c r="M279" s="29"/>
      <c r="N279" s="29"/>
      <c r="O279" s="29"/>
      <c r="P279" s="29"/>
      <c r="Q279" s="29"/>
      <c r="R279" s="29"/>
      <c r="S279" s="29"/>
      <c r="T279" s="29"/>
      <c r="U279" s="29"/>
      <c r="V279" s="29"/>
      <c r="W279" s="29"/>
      <c r="X279" s="29"/>
      <c r="Y279" s="29"/>
      <c r="Z279" s="29"/>
      <c r="AA279" s="29"/>
      <c r="AB279" s="29"/>
      <c r="AC279" s="29"/>
      <c r="AD279" s="29"/>
      <c r="AE279" s="29"/>
      <c r="AF279" s="29"/>
      <c r="AG279" s="29"/>
      <c r="AH279" s="29"/>
      <c r="AI279" s="29"/>
      <c r="AJ279" s="29"/>
      <c r="AK279" s="29"/>
      <c r="AL279" s="29"/>
      <c r="AM279" s="29"/>
      <c r="AN279" s="29"/>
      <c r="AO279" s="29"/>
      <c r="AP279" s="29"/>
      <c r="AQ279" s="29"/>
      <c r="AR279" s="29"/>
      <c r="AS279" s="29"/>
      <c r="AT279" s="29"/>
      <c r="AU279" s="29"/>
      <c r="AV279" s="29"/>
      <c r="AW279" s="29"/>
      <c r="AX279" s="29"/>
    </row>
    <row r="280" ht="15.75" customHeight="1">
      <c r="A280" s="29"/>
      <c r="B280" s="29"/>
      <c r="C280" s="31"/>
      <c r="D280" s="29"/>
      <c r="E280" s="29"/>
      <c r="F280" s="29"/>
      <c r="G280" s="29"/>
      <c r="H280" s="29"/>
      <c r="I280" s="29"/>
      <c r="J280" s="29"/>
      <c r="K280" s="29"/>
      <c r="L280" s="29"/>
      <c r="M280" s="29"/>
      <c r="N280" s="29"/>
      <c r="O280" s="29"/>
      <c r="P280" s="29"/>
      <c r="Q280" s="29"/>
      <c r="R280" s="29"/>
      <c r="S280" s="29"/>
      <c r="T280" s="29"/>
      <c r="U280" s="29"/>
      <c r="V280" s="29"/>
      <c r="W280" s="29"/>
      <c r="X280" s="29"/>
      <c r="Y280" s="29"/>
      <c r="Z280" s="29"/>
      <c r="AA280" s="29"/>
      <c r="AB280" s="29"/>
      <c r="AC280" s="29"/>
      <c r="AD280" s="29"/>
      <c r="AE280" s="29"/>
      <c r="AF280" s="29"/>
      <c r="AG280" s="29"/>
      <c r="AH280" s="29"/>
      <c r="AI280" s="29"/>
      <c r="AJ280" s="29"/>
      <c r="AK280" s="29"/>
      <c r="AL280" s="29"/>
      <c r="AM280" s="29"/>
      <c r="AN280" s="29"/>
      <c r="AO280" s="29"/>
      <c r="AP280" s="29"/>
      <c r="AQ280" s="29"/>
      <c r="AR280" s="29"/>
      <c r="AS280" s="29"/>
      <c r="AT280" s="29"/>
      <c r="AU280" s="29"/>
      <c r="AV280" s="29"/>
      <c r="AW280" s="29"/>
      <c r="AX280" s="29"/>
    </row>
    <row r="281" ht="15.75" customHeight="1">
      <c r="A281" s="29"/>
      <c r="B281" s="29"/>
      <c r="C281" s="31"/>
      <c r="D281" s="29"/>
      <c r="E281" s="29"/>
      <c r="F281" s="29"/>
      <c r="G281" s="29"/>
      <c r="H281" s="29"/>
      <c r="I281" s="29"/>
      <c r="J281" s="29"/>
      <c r="K281" s="29"/>
      <c r="L281" s="29"/>
      <c r="M281" s="29"/>
      <c r="N281" s="29"/>
      <c r="O281" s="29"/>
      <c r="P281" s="29"/>
      <c r="Q281" s="29"/>
      <c r="R281" s="29"/>
      <c r="S281" s="29"/>
      <c r="T281" s="29"/>
      <c r="U281" s="29"/>
      <c r="V281" s="29"/>
      <c r="W281" s="29"/>
      <c r="X281" s="29"/>
      <c r="Y281" s="29"/>
      <c r="Z281" s="29"/>
      <c r="AA281" s="29"/>
      <c r="AB281" s="29"/>
      <c r="AC281" s="29"/>
      <c r="AD281" s="29"/>
      <c r="AE281" s="29"/>
      <c r="AF281" s="29"/>
      <c r="AG281" s="29"/>
      <c r="AH281" s="29"/>
      <c r="AI281" s="29"/>
      <c r="AJ281" s="29"/>
      <c r="AK281" s="29"/>
      <c r="AL281" s="29"/>
      <c r="AM281" s="29"/>
      <c r="AN281" s="29"/>
      <c r="AO281" s="29"/>
      <c r="AP281" s="29"/>
      <c r="AQ281" s="29"/>
      <c r="AR281" s="29"/>
      <c r="AS281" s="29"/>
      <c r="AT281" s="29"/>
      <c r="AU281" s="29"/>
      <c r="AV281" s="29"/>
      <c r="AW281" s="29"/>
      <c r="AX281" s="29"/>
    </row>
    <row r="282" ht="15.75" customHeight="1">
      <c r="A282" s="29"/>
      <c r="B282" s="29"/>
      <c r="C282" s="31"/>
      <c r="D282" s="29"/>
      <c r="E282" s="29"/>
      <c r="F282" s="29"/>
      <c r="G282" s="29"/>
      <c r="H282" s="29"/>
      <c r="I282" s="29"/>
      <c r="J282" s="29"/>
      <c r="K282" s="29"/>
      <c r="L282" s="29"/>
      <c r="M282" s="29"/>
      <c r="N282" s="29"/>
      <c r="O282" s="29"/>
      <c r="P282" s="29"/>
      <c r="Q282" s="29"/>
      <c r="R282" s="29"/>
      <c r="S282" s="29"/>
      <c r="T282" s="29"/>
      <c r="U282" s="29"/>
      <c r="V282" s="29"/>
      <c r="W282" s="29"/>
      <c r="X282" s="29"/>
      <c r="Y282" s="29"/>
      <c r="Z282" s="29"/>
      <c r="AA282" s="29"/>
      <c r="AB282" s="29"/>
      <c r="AC282" s="29"/>
      <c r="AD282" s="29"/>
      <c r="AE282" s="29"/>
      <c r="AF282" s="29"/>
      <c r="AG282" s="29"/>
      <c r="AH282" s="29"/>
      <c r="AI282" s="29"/>
      <c r="AJ282" s="29"/>
      <c r="AK282" s="29"/>
      <c r="AL282" s="29"/>
      <c r="AM282" s="29"/>
      <c r="AN282" s="29"/>
      <c r="AO282" s="29"/>
      <c r="AP282" s="29"/>
      <c r="AQ282" s="29"/>
      <c r="AR282" s="29"/>
      <c r="AS282" s="29"/>
      <c r="AT282" s="29"/>
      <c r="AU282" s="29"/>
      <c r="AV282" s="29"/>
      <c r="AW282" s="29"/>
      <c r="AX282" s="29"/>
    </row>
    <row r="283" ht="15.75" customHeight="1">
      <c r="A283" s="29"/>
      <c r="B283" s="29"/>
      <c r="C283" s="31"/>
      <c r="D283" s="29"/>
      <c r="E283" s="29"/>
      <c r="F283" s="29"/>
      <c r="G283" s="29"/>
      <c r="H283" s="29"/>
      <c r="I283" s="29"/>
      <c r="J283" s="29"/>
      <c r="K283" s="29"/>
      <c r="L283" s="29"/>
      <c r="M283" s="29"/>
      <c r="N283" s="29"/>
      <c r="O283" s="29"/>
      <c r="P283" s="29"/>
      <c r="Q283" s="29"/>
      <c r="R283" s="29"/>
      <c r="S283" s="29"/>
      <c r="T283" s="29"/>
      <c r="U283" s="29"/>
      <c r="V283" s="29"/>
      <c r="W283" s="29"/>
      <c r="X283" s="29"/>
      <c r="Y283" s="29"/>
      <c r="Z283" s="29"/>
      <c r="AA283" s="29"/>
      <c r="AB283" s="29"/>
      <c r="AC283" s="29"/>
      <c r="AD283" s="29"/>
      <c r="AE283" s="29"/>
      <c r="AF283" s="29"/>
      <c r="AG283" s="29"/>
      <c r="AH283" s="29"/>
      <c r="AI283" s="29"/>
      <c r="AJ283" s="29"/>
      <c r="AK283" s="29"/>
      <c r="AL283" s="29"/>
      <c r="AM283" s="29"/>
      <c r="AN283" s="29"/>
      <c r="AO283" s="29"/>
      <c r="AP283" s="29"/>
      <c r="AQ283" s="29"/>
      <c r="AR283" s="29"/>
      <c r="AS283" s="29"/>
      <c r="AT283" s="29"/>
      <c r="AU283" s="29"/>
      <c r="AV283" s="29"/>
      <c r="AW283" s="29"/>
      <c r="AX283" s="29"/>
    </row>
    <row r="284" ht="15.75" customHeight="1">
      <c r="A284" s="29"/>
      <c r="B284" s="29"/>
      <c r="C284" s="31"/>
      <c r="D284" s="29"/>
      <c r="E284" s="29"/>
      <c r="F284" s="29"/>
      <c r="G284" s="29"/>
      <c r="H284" s="29"/>
      <c r="I284" s="29"/>
      <c r="J284" s="29"/>
      <c r="K284" s="29"/>
      <c r="L284" s="29"/>
      <c r="M284" s="29"/>
      <c r="N284" s="29"/>
      <c r="O284" s="29"/>
      <c r="P284" s="29"/>
      <c r="Q284" s="29"/>
      <c r="R284" s="29"/>
      <c r="S284" s="29"/>
      <c r="T284" s="29"/>
      <c r="U284" s="29"/>
      <c r="V284" s="29"/>
      <c r="W284" s="29"/>
      <c r="X284" s="29"/>
      <c r="Y284" s="29"/>
      <c r="Z284" s="29"/>
      <c r="AA284" s="29"/>
      <c r="AB284" s="29"/>
      <c r="AC284" s="29"/>
      <c r="AD284" s="29"/>
      <c r="AE284" s="29"/>
      <c r="AF284" s="29"/>
      <c r="AG284" s="29"/>
      <c r="AH284" s="29"/>
      <c r="AI284" s="29"/>
      <c r="AJ284" s="29"/>
      <c r="AK284" s="29"/>
      <c r="AL284" s="29"/>
      <c r="AM284" s="29"/>
      <c r="AN284" s="29"/>
      <c r="AO284" s="29"/>
      <c r="AP284" s="29"/>
      <c r="AQ284" s="29"/>
      <c r="AR284" s="29"/>
      <c r="AS284" s="29"/>
      <c r="AT284" s="29"/>
      <c r="AU284" s="29"/>
      <c r="AV284" s="29"/>
      <c r="AW284" s="29"/>
      <c r="AX284" s="29"/>
    </row>
    <row r="285" ht="15.75" customHeight="1">
      <c r="A285" s="29"/>
      <c r="B285" s="29"/>
      <c r="C285" s="31"/>
      <c r="D285" s="29"/>
      <c r="E285" s="29"/>
      <c r="F285" s="29"/>
      <c r="G285" s="29"/>
      <c r="H285" s="29"/>
      <c r="I285" s="29"/>
      <c r="J285" s="29"/>
      <c r="K285" s="29"/>
      <c r="L285" s="29"/>
      <c r="M285" s="29"/>
      <c r="N285" s="29"/>
      <c r="O285" s="29"/>
      <c r="P285" s="29"/>
      <c r="Q285" s="29"/>
      <c r="R285" s="29"/>
      <c r="S285" s="29"/>
      <c r="T285" s="29"/>
      <c r="U285" s="29"/>
      <c r="V285" s="29"/>
      <c r="W285" s="29"/>
      <c r="X285" s="29"/>
      <c r="Y285" s="29"/>
      <c r="Z285" s="29"/>
      <c r="AA285" s="29"/>
      <c r="AB285" s="29"/>
      <c r="AC285" s="29"/>
      <c r="AD285" s="29"/>
      <c r="AE285" s="29"/>
      <c r="AF285" s="29"/>
      <c r="AG285" s="29"/>
      <c r="AH285" s="29"/>
      <c r="AI285" s="29"/>
      <c r="AJ285" s="29"/>
      <c r="AK285" s="29"/>
      <c r="AL285" s="29"/>
      <c r="AM285" s="29"/>
      <c r="AN285" s="29"/>
      <c r="AO285" s="29"/>
      <c r="AP285" s="29"/>
      <c r="AQ285" s="29"/>
      <c r="AR285" s="29"/>
      <c r="AS285" s="29"/>
      <c r="AT285" s="29"/>
      <c r="AU285" s="29"/>
      <c r="AV285" s="29"/>
      <c r="AW285" s="29"/>
      <c r="AX285" s="29"/>
    </row>
    <row r="286" ht="15.75" customHeight="1">
      <c r="A286" s="29"/>
      <c r="B286" s="29"/>
      <c r="C286" s="31"/>
      <c r="D286" s="29"/>
      <c r="E286" s="29"/>
      <c r="F286" s="29"/>
      <c r="G286" s="29"/>
      <c r="H286" s="29"/>
      <c r="I286" s="29"/>
      <c r="J286" s="29"/>
      <c r="K286" s="29"/>
      <c r="L286" s="29"/>
      <c r="M286" s="29"/>
      <c r="N286" s="29"/>
      <c r="O286" s="29"/>
      <c r="P286" s="29"/>
      <c r="Q286" s="29"/>
      <c r="R286" s="29"/>
      <c r="S286" s="29"/>
      <c r="T286" s="29"/>
      <c r="U286" s="29"/>
      <c r="V286" s="29"/>
      <c r="W286" s="29"/>
      <c r="X286" s="29"/>
      <c r="Y286" s="29"/>
      <c r="Z286" s="29"/>
      <c r="AA286" s="29"/>
      <c r="AB286" s="29"/>
      <c r="AC286" s="29"/>
      <c r="AD286" s="29"/>
      <c r="AE286" s="29"/>
      <c r="AF286" s="29"/>
      <c r="AG286" s="29"/>
      <c r="AH286" s="29"/>
      <c r="AI286" s="29"/>
      <c r="AJ286" s="29"/>
      <c r="AK286" s="29"/>
      <c r="AL286" s="29"/>
      <c r="AM286" s="29"/>
      <c r="AN286" s="29"/>
      <c r="AO286" s="29"/>
      <c r="AP286" s="29"/>
      <c r="AQ286" s="29"/>
      <c r="AR286" s="29"/>
      <c r="AS286" s="29"/>
      <c r="AT286" s="29"/>
      <c r="AU286" s="29"/>
      <c r="AV286" s="29"/>
      <c r="AW286" s="29"/>
      <c r="AX286" s="29"/>
    </row>
    <row r="287" ht="15.75" customHeight="1">
      <c r="A287" s="29"/>
      <c r="B287" s="29"/>
      <c r="C287" s="31"/>
      <c r="D287" s="29"/>
      <c r="E287" s="29"/>
      <c r="F287" s="29"/>
      <c r="G287" s="29"/>
      <c r="H287" s="29"/>
      <c r="I287" s="29"/>
      <c r="J287" s="29"/>
      <c r="K287" s="29"/>
      <c r="L287" s="29"/>
      <c r="M287" s="29"/>
      <c r="N287" s="29"/>
      <c r="O287" s="29"/>
      <c r="P287" s="29"/>
      <c r="Q287" s="29"/>
      <c r="R287" s="29"/>
      <c r="S287" s="29"/>
      <c r="T287" s="29"/>
      <c r="U287" s="29"/>
      <c r="V287" s="29"/>
      <c r="W287" s="29"/>
      <c r="X287" s="29"/>
      <c r="Y287" s="29"/>
      <c r="Z287" s="29"/>
      <c r="AA287" s="29"/>
      <c r="AB287" s="29"/>
      <c r="AC287" s="29"/>
      <c r="AD287" s="29"/>
      <c r="AE287" s="29"/>
      <c r="AF287" s="29"/>
      <c r="AG287" s="29"/>
      <c r="AH287" s="29"/>
      <c r="AI287" s="29"/>
      <c r="AJ287" s="29"/>
      <c r="AK287" s="29"/>
      <c r="AL287" s="29"/>
      <c r="AM287" s="29"/>
      <c r="AN287" s="29"/>
      <c r="AO287" s="29"/>
      <c r="AP287" s="29"/>
      <c r="AQ287" s="29"/>
      <c r="AR287" s="29"/>
      <c r="AS287" s="29"/>
      <c r="AT287" s="29"/>
      <c r="AU287" s="29"/>
      <c r="AV287" s="29"/>
      <c r="AW287" s="29"/>
      <c r="AX287" s="29"/>
    </row>
    <row r="288" ht="15.75" customHeight="1">
      <c r="A288" s="29"/>
      <c r="B288" s="29"/>
      <c r="C288" s="31"/>
      <c r="D288" s="29"/>
      <c r="E288" s="29"/>
      <c r="F288" s="29"/>
      <c r="G288" s="29"/>
      <c r="H288" s="29"/>
      <c r="I288" s="29"/>
      <c r="J288" s="29"/>
      <c r="K288" s="29"/>
      <c r="L288" s="29"/>
      <c r="M288" s="29"/>
      <c r="N288" s="29"/>
      <c r="O288" s="29"/>
      <c r="P288" s="29"/>
      <c r="Q288" s="29"/>
      <c r="R288" s="29"/>
      <c r="S288" s="29"/>
      <c r="T288" s="29"/>
      <c r="U288" s="29"/>
      <c r="V288" s="29"/>
      <c r="W288" s="29"/>
      <c r="X288" s="29"/>
      <c r="Y288" s="29"/>
      <c r="Z288" s="29"/>
      <c r="AA288" s="29"/>
      <c r="AB288" s="29"/>
      <c r="AC288" s="29"/>
      <c r="AD288" s="29"/>
      <c r="AE288" s="29"/>
      <c r="AF288" s="29"/>
      <c r="AG288" s="29"/>
      <c r="AH288" s="29"/>
      <c r="AI288" s="29"/>
      <c r="AJ288" s="29"/>
      <c r="AK288" s="29"/>
      <c r="AL288" s="29"/>
      <c r="AM288" s="29"/>
      <c r="AN288" s="29"/>
      <c r="AO288" s="29"/>
      <c r="AP288" s="29"/>
      <c r="AQ288" s="29"/>
      <c r="AR288" s="29"/>
      <c r="AS288" s="29"/>
      <c r="AT288" s="29"/>
      <c r="AU288" s="29"/>
      <c r="AV288" s="29"/>
      <c r="AW288" s="29"/>
      <c r="AX288" s="29"/>
    </row>
    <row r="289" ht="15.75" customHeight="1">
      <c r="A289" s="29"/>
      <c r="B289" s="29"/>
      <c r="C289" s="31"/>
      <c r="D289" s="29"/>
      <c r="E289" s="29"/>
      <c r="F289" s="29"/>
      <c r="G289" s="29"/>
      <c r="H289" s="29"/>
      <c r="I289" s="29"/>
      <c r="J289" s="29"/>
      <c r="K289" s="29"/>
      <c r="L289" s="29"/>
      <c r="M289" s="29"/>
      <c r="N289" s="29"/>
      <c r="O289" s="29"/>
      <c r="P289" s="29"/>
      <c r="Q289" s="29"/>
      <c r="R289" s="29"/>
      <c r="S289" s="29"/>
      <c r="T289" s="29"/>
      <c r="U289" s="29"/>
      <c r="V289" s="29"/>
      <c r="W289" s="29"/>
      <c r="X289" s="29"/>
      <c r="Y289" s="29"/>
      <c r="Z289" s="29"/>
      <c r="AA289" s="29"/>
      <c r="AB289" s="29"/>
      <c r="AC289" s="29"/>
      <c r="AD289" s="29"/>
      <c r="AE289" s="29"/>
      <c r="AF289" s="29"/>
      <c r="AG289" s="29"/>
      <c r="AH289" s="29"/>
      <c r="AI289" s="29"/>
      <c r="AJ289" s="29"/>
      <c r="AK289" s="29"/>
      <c r="AL289" s="29"/>
      <c r="AM289" s="29"/>
      <c r="AN289" s="29"/>
      <c r="AO289" s="29"/>
      <c r="AP289" s="29"/>
      <c r="AQ289" s="29"/>
      <c r="AR289" s="29"/>
      <c r="AS289" s="29"/>
      <c r="AT289" s="29"/>
      <c r="AU289" s="29"/>
      <c r="AV289" s="29"/>
      <c r="AW289" s="29"/>
      <c r="AX289" s="29"/>
    </row>
    <row r="290" ht="15.75" customHeight="1">
      <c r="A290" s="29"/>
      <c r="B290" s="29"/>
      <c r="C290" s="31"/>
      <c r="D290" s="29"/>
      <c r="E290" s="29"/>
      <c r="F290" s="29"/>
      <c r="G290" s="29"/>
      <c r="H290" s="29"/>
      <c r="I290" s="29"/>
      <c r="J290" s="29"/>
      <c r="K290" s="29"/>
      <c r="L290" s="29"/>
      <c r="M290" s="29"/>
      <c r="N290" s="29"/>
      <c r="O290" s="29"/>
      <c r="P290" s="29"/>
      <c r="Q290" s="29"/>
      <c r="R290" s="29"/>
      <c r="S290" s="29"/>
      <c r="T290" s="29"/>
      <c r="U290" s="29"/>
      <c r="V290" s="29"/>
      <c r="W290" s="29"/>
      <c r="X290" s="29"/>
      <c r="Y290" s="29"/>
      <c r="Z290" s="29"/>
      <c r="AA290" s="29"/>
      <c r="AB290" s="29"/>
      <c r="AC290" s="29"/>
      <c r="AD290" s="29"/>
      <c r="AE290" s="29"/>
      <c r="AF290" s="29"/>
      <c r="AG290" s="29"/>
      <c r="AH290" s="29"/>
      <c r="AI290" s="29"/>
      <c r="AJ290" s="29"/>
      <c r="AK290" s="29"/>
      <c r="AL290" s="29"/>
      <c r="AM290" s="29"/>
      <c r="AN290" s="29"/>
      <c r="AO290" s="29"/>
      <c r="AP290" s="29"/>
      <c r="AQ290" s="29"/>
      <c r="AR290" s="29"/>
      <c r="AS290" s="29"/>
      <c r="AT290" s="29"/>
      <c r="AU290" s="29"/>
      <c r="AV290" s="29"/>
      <c r="AW290" s="29"/>
      <c r="AX290" s="29"/>
    </row>
    <row r="291" ht="15.75" customHeight="1">
      <c r="A291" s="29"/>
      <c r="B291" s="29"/>
      <c r="C291" s="31"/>
      <c r="D291" s="29"/>
      <c r="E291" s="29"/>
      <c r="F291" s="29"/>
      <c r="G291" s="29"/>
      <c r="H291" s="29"/>
      <c r="I291" s="29"/>
      <c r="J291" s="29"/>
      <c r="K291" s="29"/>
      <c r="L291" s="29"/>
      <c r="M291" s="29"/>
      <c r="N291" s="29"/>
      <c r="O291" s="29"/>
      <c r="P291" s="29"/>
      <c r="Q291" s="29"/>
      <c r="R291" s="29"/>
      <c r="S291" s="29"/>
      <c r="T291" s="29"/>
      <c r="U291" s="29"/>
      <c r="V291" s="29"/>
      <c r="W291" s="29"/>
      <c r="X291" s="29"/>
      <c r="Y291" s="29"/>
      <c r="Z291" s="29"/>
      <c r="AA291" s="29"/>
      <c r="AB291" s="29"/>
      <c r="AC291" s="29"/>
      <c r="AD291" s="29"/>
      <c r="AE291" s="29"/>
      <c r="AF291" s="29"/>
      <c r="AG291" s="29"/>
      <c r="AH291" s="29"/>
      <c r="AI291" s="29"/>
      <c r="AJ291" s="29"/>
      <c r="AK291" s="29"/>
      <c r="AL291" s="29"/>
      <c r="AM291" s="29"/>
      <c r="AN291" s="29"/>
      <c r="AO291" s="29"/>
      <c r="AP291" s="29"/>
      <c r="AQ291" s="29"/>
      <c r="AR291" s="29"/>
      <c r="AS291" s="29"/>
      <c r="AT291" s="29"/>
      <c r="AU291" s="29"/>
      <c r="AV291" s="29"/>
      <c r="AW291" s="29"/>
      <c r="AX291" s="29"/>
    </row>
    <row r="292" ht="15.75" customHeight="1">
      <c r="A292" s="29"/>
      <c r="B292" s="29"/>
      <c r="C292" s="31"/>
      <c r="D292" s="29"/>
      <c r="E292" s="29"/>
      <c r="F292" s="29"/>
      <c r="G292" s="29"/>
      <c r="H292" s="29"/>
      <c r="I292" s="29"/>
      <c r="J292" s="29"/>
      <c r="K292" s="29"/>
      <c r="L292" s="29"/>
      <c r="M292" s="29"/>
      <c r="N292" s="29"/>
      <c r="O292" s="29"/>
      <c r="P292" s="29"/>
      <c r="Q292" s="29"/>
      <c r="R292" s="29"/>
      <c r="S292" s="29"/>
      <c r="T292" s="29"/>
      <c r="U292" s="29"/>
      <c r="V292" s="29"/>
      <c r="W292" s="29"/>
      <c r="X292" s="29"/>
      <c r="Y292" s="29"/>
      <c r="Z292" s="29"/>
      <c r="AA292" s="29"/>
      <c r="AB292" s="29"/>
      <c r="AC292" s="29"/>
      <c r="AD292" s="29"/>
      <c r="AE292" s="29"/>
      <c r="AF292" s="29"/>
      <c r="AG292" s="29"/>
      <c r="AH292" s="29"/>
      <c r="AI292" s="29"/>
      <c r="AJ292" s="29"/>
      <c r="AK292" s="29"/>
      <c r="AL292" s="29"/>
      <c r="AM292" s="29"/>
      <c r="AN292" s="29"/>
      <c r="AO292" s="29"/>
      <c r="AP292" s="29"/>
      <c r="AQ292" s="29"/>
      <c r="AR292" s="29"/>
      <c r="AS292" s="29"/>
      <c r="AT292" s="29"/>
      <c r="AU292" s="29"/>
      <c r="AV292" s="29"/>
      <c r="AW292" s="29"/>
      <c r="AX292" s="29"/>
    </row>
    <row r="293" ht="15.75" customHeight="1">
      <c r="A293" s="29"/>
      <c r="B293" s="29"/>
      <c r="C293" s="31"/>
      <c r="D293" s="29"/>
      <c r="E293" s="29"/>
      <c r="F293" s="29"/>
      <c r="G293" s="29"/>
      <c r="H293" s="29"/>
      <c r="I293" s="29"/>
      <c r="J293" s="29"/>
      <c r="K293" s="29"/>
      <c r="L293" s="29"/>
      <c r="M293" s="29"/>
      <c r="N293" s="29"/>
      <c r="O293" s="29"/>
      <c r="P293" s="29"/>
      <c r="Q293" s="29"/>
      <c r="R293" s="29"/>
      <c r="S293" s="29"/>
      <c r="T293" s="29"/>
      <c r="U293" s="29"/>
      <c r="V293" s="29"/>
      <c r="W293" s="29"/>
      <c r="X293" s="29"/>
      <c r="Y293" s="29"/>
      <c r="Z293" s="29"/>
      <c r="AA293" s="29"/>
      <c r="AB293" s="29"/>
      <c r="AC293" s="29"/>
      <c r="AD293" s="29"/>
      <c r="AE293" s="29"/>
      <c r="AF293" s="29"/>
      <c r="AG293" s="29"/>
      <c r="AH293" s="29"/>
      <c r="AI293" s="29"/>
      <c r="AJ293" s="29"/>
      <c r="AK293" s="29"/>
      <c r="AL293" s="29"/>
      <c r="AM293" s="29"/>
      <c r="AN293" s="29"/>
      <c r="AO293" s="29"/>
      <c r="AP293" s="29"/>
      <c r="AQ293" s="29"/>
      <c r="AR293" s="29"/>
      <c r="AS293" s="29"/>
      <c r="AT293" s="29"/>
      <c r="AU293" s="29"/>
      <c r="AV293" s="29"/>
      <c r="AW293" s="29"/>
      <c r="AX293" s="29"/>
    </row>
    <row r="294" ht="15.75" customHeight="1">
      <c r="A294" s="29"/>
      <c r="B294" s="29"/>
      <c r="C294" s="31"/>
      <c r="D294" s="29"/>
      <c r="E294" s="29"/>
      <c r="F294" s="29"/>
      <c r="G294" s="29"/>
      <c r="H294" s="29"/>
      <c r="I294" s="29"/>
      <c r="J294" s="29"/>
      <c r="K294" s="29"/>
      <c r="L294" s="29"/>
      <c r="M294" s="29"/>
      <c r="N294" s="29"/>
      <c r="O294" s="29"/>
      <c r="P294" s="29"/>
      <c r="Q294" s="29"/>
      <c r="R294" s="29"/>
      <c r="S294" s="29"/>
      <c r="T294" s="29"/>
      <c r="U294" s="29"/>
      <c r="V294" s="29"/>
      <c r="W294" s="29"/>
      <c r="X294" s="29"/>
      <c r="Y294" s="29"/>
      <c r="Z294" s="29"/>
      <c r="AA294" s="29"/>
      <c r="AB294" s="29"/>
      <c r="AC294" s="29"/>
      <c r="AD294" s="29"/>
      <c r="AE294" s="29"/>
      <c r="AF294" s="29"/>
      <c r="AG294" s="29"/>
      <c r="AH294" s="29"/>
      <c r="AI294" s="29"/>
      <c r="AJ294" s="29"/>
      <c r="AK294" s="29"/>
      <c r="AL294" s="29"/>
      <c r="AM294" s="29"/>
      <c r="AN294" s="29"/>
      <c r="AO294" s="29"/>
      <c r="AP294" s="29"/>
      <c r="AQ294" s="29"/>
      <c r="AR294" s="29"/>
      <c r="AS294" s="29"/>
      <c r="AT294" s="29"/>
      <c r="AU294" s="29"/>
      <c r="AV294" s="29"/>
      <c r="AW294" s="29"/>
      <c r="AX294" s="29"/>
    </row>
    <row r="295" ht="15.75" customHeight="1">
      <c r="A295" s="29"/>
      <c r="B295" s="29"/>
      <c r="C295" s="31"/>
      <c r="D295" s="29"/>
      <c r="E295" s="29"/>
      <c r="F295" s="29"/>
      <c r="G295" s="29"/>
      <c r="H295" s="29"/>
      <c r="I295" s="29"/>
      <c r="J295" s="29"/>
      <c r="K295" s="29"/>
      <c r="L295" s="29"/>
      <c r="M295" s="29"/>
      <c r="N295" s="29"/>
      <c r="O295" s="29"/>
      <c r="P295" s="29"/>
      <c r="Q295" s="29"/>
      <c r="R295" s="29"/>
      <c r="S295" s="29"/>
      <c r="T295" s="29"/>
      <c r="U295" s="29"/>
      <c r="V295" s="29"/>
      <c r="W295" s="29"/>
      <c r="X295" s="29"/>
      <c r="Y295" s="29"/>
      <c r="Z295" s="29"/>
      <c r="AA295" s="29"/>
      <c r="AB295" s="29"/>
      <c r="AC295" s="29"/>
      <c r="AD295" s="29"/>
      <c r="AE295" s="29"/>
      <c r="AF295" s="29"/>
      <c r="AG295" s="29"/>
      <c r="AH295" s="29"/>
      <c r="AI295" s="29"/>
      <c r="AJ295" s="29"/>
      <c r="AK295" s="29"/>
      <c r="AL295" s="29"/>
      <c r="AM295" s="29"/>
      <c r="AN295" s="29"/>
      <c r="AO295" s="29"/>
      <c r="AP295" s="29"/>
      <c r="AQ295" s="29"/>
      <c r="AR295" s="29"/>
      <c r="AS295" s="29"/>
      <c r="AT295" s="29"/>
      <c r="AU295" s="29"/>
      <c r="AV295" s="29"/>
      <c r="AW295" s="29"/>
      <c r="AX295" s="29"/>
    </row>
    <row r="296" ht="15.75" customHeight="1">
      <c r="A296" s="29"/>
      <c r="B296" s="29"/>
      <c r="C296" s="31"/>
      <c r="D296" s="29"/>
      <c r="E296" s="29"/>
      <c r="F296" s="29"/>
      <c r="G296" s="29"/>
      <c r="H296" s="29"/>
      <c r="I296" s="29"/>
      <c r="J296" s="29"/>
      <c r="K296" s="29"/>
      <c r="L296" s="29"/>
      <c r="M296" s="29"/>
      <c r="N296" s="29"/>
      <c r="O296" s="29"/>
      <c r="P296" s="29"/>
      <c r="Q296" s="29"/>
      <c r="R296" s="29"/>
      <c r="S296" s="29"/>
      <c r="T296" s="29"/>
      <c r="U296" s="29"/>
      <c r="V296" s="29"/>
      <c r="W296" s="29"/>
      <c r="X296" s="29"/>
      <c r="Y296" s="29"/>
      <c r="Z296" s="29"/>
      <c r="AA296" s="29"/>
      <c r="AB296" s="29"/>
      <c r="AC296" s="29"/>
      <c r="AD296" s="29"/>
      <c r="AE296" s="29"/>
      <c r="AF296" s="29"/>
      <c r="AG296" s="29"/>
      <c r="AH296" s="29"/>
      <c r="AI296" s="29"/>
      <c r="AJ296" s="29"/>
      <c r="AK296" s="29"/>
      <c r="AL296" s="29"/>
      <c r="AM296" s="29"/>
      <c r="AN296" s="29"/>
      <c r="AO296" s="29"/>
      <c r="AP296" s="29"/>
      <c r="AQ296" s="29"/>
      <c r="AR296" s="29"/>
      <c r="AS296" s="29"/>
      <c r="AT296" s="29"/>
      <c r="AU296" s="29"/>
      <c r="AV296" s="29"/>
      <c r="AW296" s="29"/>
      <c r="AX296" s="29"/>
    </row>
    <row r="297" ht="15.75" customHeight="1">
      <c r="A297" s="29"/>
      <c r="B297" s="29"/>
      <c r="C297" s="31"/>
      <c r="D297" s="29"/>
      <c r="E297" s="29"/>
      <c r="F297" s="29"/>
      <c r="G297" s="29"/>
      <c r="H297" s="29"/>
      <c r="I297" s="29"/>
      <c r="J297" s="29"/>
      <c r="K297" s="29"/>
      <c r="L297" s="29"/>
      <c r="M297" s="29"/>
      <c r="N297" s="29"/>
      <c r="O297" s="29"/>
      <c r="P297" s="29"/>
      <c r="Q297" s="29"/>
      <c r="R297" s="29"/>
      <c r="S297" s="29"/>
      <c r="T297" s="29"/>
      <c r="U297" s="29"/>
      <c r="V297" s="29"/>
      <c r="W297" s="29"/>
      <c r="X297" s="29"/>
      <c r="Y297" s="29"/>
      <c r="Z297" s="29"/>
      <c r="AA297" s="29"/>
      <c r="AB297" s="29"/>
      <c r="AC297" s="29"/>
      <c r="AD297" s="29"/>
      <c r="AE297" s="29"/>
      <c r="AF297" s="29"/>
      <c r="AG297" s="29"/>
      <c r="AH297" s="29"/>
      <c r="AI297" s="29"/>
      <c r="AJ297" s="29"/>
      <c r="AK297" s="29"/>
      <c r="AL297" s="29"/>
      <c r="AM297" s="29"/>
      <c r="AN297" s="29"/>
      <c r="AO297" s="29"/>
      <c r="AP297" s="29"/>
      <c r="AQ297" s="29"/>
      <c r="AR297" s="29"/>
      <c r="AS297" s="29"/>
      <c r="AT297" s="29"/>
      <c r="AU297" s="29"/>
      <c r="AV297" s="29"/>
      <c r="AW297" s="29"/>
      <c r="AX297" s="29"/>
    </row>
    <row r="298" ht="15.75" customHeight="1">
      <c r="A298" s="29"/>
      <c r="B298" s="29"/>
      <c r="C298" s="31"/>
      <c r="D298" s="29"/>
      <c r="E298" s="29"/>
      <c r="F298" s="29"/>
      <c r="G298" s="29"/>
      <c r="H298" s="29"/>
      <c r="I298" s="29"/>
      <c r="J298" s="29"/>
      <c r="K298" s="29"/>
      <c r="L298" s="29"/>
      <c r="M298" s="29"/>
      <c r="N298" s="29"/>
      <c r="O298" s="29"/>
      <c r="P298" s="29"/>
      <c r="Q298" s="29"/>
      <c r="R298" s="29"/>
      <c r="S298" s="29"/>
      <c r="T298" s="29"/>
      <c r="U298" s="29"/>
      <c r="V298" s="29"/>
      <c r="W298" s="29"/>
      <c r="X298" s="29"/>
      <c r="Y298" s="29"/>
      <c r="Z298" s="29"/>
      <c r="AA298" s="29"/>
      <c r="AB298" s="29"/>
      <c r="AC298" s="29"/>
      <c r="AD298" s="29"/>
      <c r="AE298" s="29"/>
      <c r="AF298" s="29"/>
      <c r="AG298" s="29"/>
      <c r="AH298" s="29"/>
      <c r="AI298" s="29"/>
      <c r="AJ298" s="29"/>
      <c r="AK298" s="29"/>
      <c r="AL298" s="29"/>
      <c r="AM298" s="29"/>
      <c r="AN298" s="29"/>
      <c r="AO298" s="29"/>
      <c r="AP298" s="29"/>
      <c r="AQ298" s="29"/>
      <c r="AR298" s="29"/>
      <c r="AS298" s="29"/>
      <c r="AT298" s="29"/>
      <c r="AU298" s="29"/>
      <c r="AV298" s="29"/>
      <c r="AW298" s="29"/>
      <c r="AX298" s="29"/>
    </row>
    <row r="299" ht="15.75" customHeight="1">
      <c r="A299" s="29"/>
      <c r="B299" s="29"/>
      <c r="C299" s="31"/>
      <c r="D299" s="29"/>
      <c r="E299" s="29"/>
      <c r="F299" s="29"/>
      <c r="G299" s="29"/>
      <c r="H299" s="29"/>
      <c r="I299" s="29"/>
      <c r="J299" s="29"/>
      <c r="K299" s="29"/>
      <c r="L299" s="29"/>
      <c r="M299" s="29"/>
      <c r="N299" s="29"/>
      <c r="O299" s="29"/>
      <c r="P299" s="29"/>
      <c r="Q299" s="29"/>
      <c r="R299" s="29"/>
      <c r="S299" s="29"/>
      <c r="T299" s="29"/>
      <c r="U299" s="29"/>
      <c r="V299" s="29"/>
      <c r="W299" s="29"/>
      <c r="X299" s="29"/>
      <c r="Y299" s="29"/>
      <c r="Z299" s="29"/>
      <c r="AA299" s="29"/>
      <c r="AB299" s="29"/>
      <c r="AC299" s="29"/>
      <c r="AD299" s="29"/>
      <c r="AE299" s="29"/>
      <c r="AF299" s="29"/>
      <c r="AG299" s="29"/>
      <c r="AH299" s="29"/>
      <c r="AI299" s="29"/>
      <c r="AJ299" s="29"/>
      <c r="AK299" s="29"/>
      <c r="AL299" s="29"/>
      <c r="AM299" s="29"/>
      <c r="AN299" s="29"/>
      <c r="AO299" s="29"/>
      <c r="AP299" s="29"/>
      <c r="AQ299" s="29"/>
      <c r="AR299" s="29"/>
      <c r="AS299" s="29"/>
      <c r="AT299" s="29"/>
      <c r="AU299" s="29"/>
      <c r="AV299" s="29"/>
      <c r="AW299" s="29"/>
      <c r="AX299" s="29"/>
    </row>
    <row r="300" ht="15.75" customHeight="1">
      <c r="A300" s="29"/>
      <c r="B300" s="29"/>
      <c r="C300" s="31"/>
      <c r="D300" s="29"/>
      <c r="E300" s="29"/>
      <c r="F300" s="29"/>
      <c r="G300" s="29"/>
      <c r="H300" s="29"/>
      <c r="I300" s="29"/>
      <c r="J300" s="29"/>
      <c r="K300" s="29"/>
      <c r="L300" s="29"/>
      <c r="M300" s="29"/>
      <c r="N300" s="29"/>
      <c r="O300" s="29"/>
      <c r="P300" s="29"/>
      <c r="Q300" s="29"/>
      <c r="R300" s="29"/>
      <c r="S300" s="29"/>
      <c r="T300" s="29"/>
      <c r="U300" s="29"/>
      <c r="V300" s="29"/>
      <c r="W300" s="29"/>
      <c r="X300" s="29"/>
      <c r="Y300" s="29"/>
      <c r="Z300" s="29"/>
      <c r="AA300" s="29"/>
      <c r="AB300" s="29"/>
      <c r="AC300" s="29"/>
      <c r="AD300" s="29"/>
      <c r="AE300" s="29"/>
      <c r="AF300" s="29"/>
      <c r="AG300" s="29"/>
      <c r="AH300" s="29"/>
      <c r="AI300" s="29"/>
      <c r="AJ300" s="29"/>
      <c r="AK300" s="29"/>
      <c r="AL300" s="29"/>
      <c r="AM300" s="29"/>
      <c r="AN300" s="29"/>
      <c r="AO300" s="29"/>
      <c r="AP300" s="29"/>
      <c r="AQ300" s="29"/>
      <c r="AR300" s="29"/>
      <c r="AS300" s="29"/>
      <c r="AT300" s="29"/>
      <c r="AU300" s="29"/>
      <c r="AV300" s="29"/>
      <c r="AW300" s="29"/>
      <c r="AX300" s="29"/>
    </row>
    <row r="301" ht="15.75" customHeight="1">
      <c r="A301" s="29"/>
      <c r="B301" s="29"/>
      <c r="C301" s="31"/>
      <c r="D301" s="29"/>
      <c r="E301" s="29"/>
      <c r="F301" s="29"/>
      <c r="G301" s="29"/>
      <c r="H301" s="29"/>
      <c r="I301" s="29"/>
      <c r="J301" s="29"/>
      <c r="K301" s="29"/>
      <c r="L301" s="29"/>
      <c r="M301" s="29"/>
      <c r="N301" s="29"/>
      <c r="O301" s="29"/>
      <c r="P301" s="29"/>
      <c r="Q301" s="29"/>
      <c r="R301" s="29"/>
      <c r="S301" s="29"/>
      <c r="T301" s="29"/>
      <c r="U301" s="29"/>
      <c r="V301" s="29"/>
      <c r="W301" s="29"/>
      <c r="X301" s="29"/>
      <c r="Y301" s="29"/>
      <c r="Z301" s="29"/>
      <c r="AA301" s="29"/>
      <c r="AB301" s="29"/>
      <c r="AC301" s="29"/>
      <c r="AD301" s="29"/>
      <c r="AE301" s="29"/>
      <c r="AF301" s="29"/>
      <c r="AG301" s="29"/>
      <c r="AH301" s="29"/>
      <c r="AI301" s="29"/>
      <c r="AJ301" s="29"/>
      <c r="AK301" s="29"/>
      <c r="AL301" s="29"/>
      <c r="AM301" s="29"/>
      <c r="AN301" s="29"/>
      <c r="AO301" s="29"/>
      <c r="AP301" s="29"/>
      <c r="AQ301" s="29"/>
      <c r="AR301" s="29"/>
      <c r="AS301" s="29"/>
      <c r="AT301" s="29"/>
      <c r="AU301" s="29"/>
      <c r="AV301" s="29"/>
      <c r="AW301" s="29"/>
      <c r="AX301" s="29"/>
    </row>
    <row r="302" ht="15.75" customHeight="1">
      <c r="A302" s="29"/>
      <c r="B302" s="29"/>
      <c r="C302" s="31"/>
      <c r="D302" s="29"/>
      <c r="E302" s="29"/>
      <c r="F302" s="29"/>
      <c r="G302" s="29"/>
      <c r="H302" s="29"/>
      <c r="I302" s="29"/>
      <c r="J302" s="29"/>
      <c r="K302" s="29"/>
      <c r="L302" s="29"/>
      <c r="M302" s="29"/>
      <c r="N302" s="29"/>
      <c r="O302" s="29"/>
      <c r="P302" s="29"/>
      <c r="Q302" s="29"/>
      <c r="R302" s="29"/>
      <c r="S302" s="29"/>
      <c r="T302" s="29"/>
      <c r="U302" s="29"/>
      <c r="V302" s="29"/>
      <c r="W302" s="29"/>
      <c r="X302" s="29"/>
      <c r="Y302" s="29"/>
      <c r="Z302" s="29"/>
      <c r="AA302" s="29"/>
      <c r="AB302" s="29"/>
      <c r="AC302" s="29"/>
      <c r="AD302" s="29"/>
      <c r="AE302" s="29"/>
      <c r="AF302" s="29"/>
      <c r="AG302" s="29"/>
      <c r="AH302" s="29"/>
      <c r="AI302" s="29"/>
      <c r="AJ302" s="29"/>
      <c r="AK302" s="29"/>
      <c r="AL302" s="29"/>
      <c r="AM302" s="29"/>
      <c r="AN302" s="29"/>
      <c r="AO302" s="29"/>
      <c r="AP302" s="29"/>
      <c r="AQ302" s="29"/>
      <c r="AR302" s="29"/>
      <c r="AS302" s="29"/>
      <c r="AT302" s="29"/>
      <c r="AU302" s="29"/>
      <c r="AV302" s="29"/>
      <c r="AW302" s="29"/>
      <c r="AX302" s="29"/>
    </row>
    <row r="303" ht="15.75" customHeight="1">
      <c r="A303" s="29"/>
      <c r="B303" s="29"/>
      <c r="C303" s="31"/>
      <c r="D303" s="29"/>
      <c r="E303" s="29"/>
      <c r="F303" s="29"/>
      <c r="G303" s="29"/>
      <c r="H303" s="29"/>
      <c r="I303" s="29"/>
      <c r="J303" s="29"/>
      <c r="K303" s="29"/>
      <c r="L303" s="29"/>
      <c r="M303" s="29"/>
      <c r="N303" s="29"/>
      <c r="O303" s="29"/>
      <c r="P303" s="29"/>
      <c r="Q303" s="29"/>
      <c r="R303" s="29"/>
      <c r="S303" s="29"/>
      <c r="T303" s="29"/>
      <c r="U303" s="29"/>
      <c r="V303" s="29"/>
      <c r="W303" s="29"/>
      <c r="X303" s="29"/>
      <c r="Y303" s="29"/>
      <c r="Z303" s="29"/>
      <c r="AA303" s="29"/>
      <c r="AB303" s="29"/>
      <c r="AC303" s="29"/>
      <c r="AD303" s="29"/>
      <c r="AE303" s="29"/>
      <c r="AF303" s="29"/>
      <c r="AG303" s="29"/>
      <c r="AH303" s="29"/>
      <c r="AI303" s="29"/>
      <c r="AJ303" s="29"/>
      <c r="AK303" s="29"/>
      <c r="AL303" s="29"/>
      <c r="AM303" s="29"/>
      <c r="AN303" s="29"/>
      <c r="AO303" s="29"/>
      <c r="AP303" s="29"/>
      <c r="AQ303" s="29"/>
      <c r="AR303" s="29"/>
      <c r="AS303" s="29"/>
      <c r="AT303" s="29"/>
      <c r="AU303" s="29"/>
      <c r="AV303" s="29"/>
      <c r="AW303" s="29"/>
      <c r="AX303" s="29"/>
    </row>
    <row r="304" ht="15.75" customHeight="1">
      <c r="A304" s="29"/>
      <c r="B304" s="29"/>
      <c r="C304" s="31"/>
      <c r="D304" s="29"/>
      <c r="E304" s="29"/>
      <c r="F304" s="29"/>
      <c r="G304" s="29"/>
      <c r="H304" s="29"/>
      <c r="I304" s="29"/>
      <c r="J304" s="29"/>
      <c r="K304" s="29"/>
      <c r="L304" s="29"/>
      <c r="M304" s="29"/>
      <c r="N304" s="29"/>
      <c r="O304" s="29"/>
      <c r="P304" s="29"/>
      <c r="Q304" s="29"/>
      <c r="R304" s="29"/>
      <c r="S304" s="29"/>
      <c r="T304" s="29"/>
      <c r="U304" s="29"/>
      <c r="V304" s="29"/>
      <c r="W304" s="29"/>
      <c r="X304" s="29"/>
      <c r="Y304" s="29"/>
      <c r="Z304" s="29"/>
      <c r="AA304" s="29"/>
      <c r="AB304" s="29"/>
      <c r="AC304" s="29"/>
      <c r="AD304" s="29"/>
      <c r="AE304" s="29"/>
      <c r="AF304" s="29"/>
      <c r="AG304" s="29"/>
      <c r="AH304" s="29"/>
      <c r="AI304" s="29"/>
      <c r="AJ304" s="29"/>
      <c r="AK304" s="29"/>
      <c r="AL304" s="29"/>
      <c r="AM304" s="29"/>
      <c r="AN304" s="29"/>
      <c r="AO304" s="29"/>
      <c r="AP304" s="29"/>
      <c r="AQ304" s="29"/>
      <c r="AR304" s="29"/>
      <c r="AS304" s="29"/>
      <c r="AT304" s="29"/>
      <c r="AU304" s="29"/>
      <c r="AV304" s="29"/>
      <c r="AW304" s="29"/>
      <c r="AX304" s="29"/>
    </row>
    <row r="305" ht="15.75" customHeight="1">
      <c r="A305" s="29"/>
      <c r="B305" s="29"/>
      <c r="C305" s="31"/>
      <c r="D305" s="29"/>
      <c r="E305" s="29"/>
      <c r="F305" s="29"/>
      <c r="G305" s="29"/>
      <c r="H305" s="29"/>
      <c r="I305" s="29"/>
      <c r="J305" s="29"/>
      <c r="K305" s="29"/>
      <c r="L305" s="29"/>
      <c r="M305" s="29"/>
      <c r="N305" s="29"/>
      <c r="O305" s="29"/>
      <c r="P305" s="29"/>
      <c r="Q305" s="29"/>
      <c r="R305" s="29"/>
      <c r="S305" s="29"/>
      <c r="T305" s="29"/>
      <c r="U305" s="29"/>
      <c r="V305" s="29"/>
      <c r="W305" s="29"/>
      <c r="X305" s="29"/>
      <c r="Y305" s="29"/>
      <c r="Z305" s="29"/>
      <c r="AA305" s="29"/>
      <c r="AB305" s="29"/>
      <c r="AC305" s="29"/>
      <c r="AD305" s="29"/>
      <c r="AE305" s="29"/>
      <c r="AF305" s="29"/>
      <c r="AG305" s="29"/>
      <c r="AH305" s="29"/>
      <c r="AI305" s="29"/>
      <c r="AJ305" s="29"/>
      <c r="AK305" s="29"/>
      <c r="AL305" s="29"/>
      <c r="AM305" s="29"/>
      <c r="AN305" s="29"/>
      <c r="AO305" s="29"/>
      <c r="AP305" s="29"/>
      <c r="AQ305" s="29"/>
      <c r="AR305" s="29"/>
      <c r="AS305" s="29"/>
      <c r="AT305" s="29"/>
      <c r="AU305" s="29"/>
      <c r="AV305" s="29"/>
      <c r="AW305" s="29"/>
      <c r="AX305" s="29"/>
    </row>
    <row r="306" ht="15.75" customHeight="1">
      <c r="A306" s="29"/>
      <c r="B306" s="29"/>
      <c r="C306" s="31"/>
      <c r="D306" s="29"/>
      <c r="E306" s="29"/>
      <c r="F306" s="29"/>
      <c r="G306" s="29"/>
      <c r="H306" s="29"/>
      <c r="I306" s="29"/>
      <c r="J306" s="29"/>
      <c r="K306" s="29"/>
      <c r="L306" s="29"/>
      <c r="M306" s="29"/>
      <c r="N306" s="29"/>
      <c r="O306" s="29"/>
      <c r="P306" s="29"/>
      <c r="Q306" s="29"/>
      <c r="R306" s="29"/>
      <c r="S306" s="29"/>
      <c r="T306" s="29"/>
      <c r="U306" s="29"/>
      <c r="V306" s="29"/>
      <c r="W306" s="29"/>
      <c r="X306" s="29"/>
      <c r="Y306" s="29"/>
      <c r="Z306" s="29"/>
      <c r="AA306" s="29"/>
      <c r="AB306" s="29"/>
      <c r="AC306" s="29"/>
      <c r="AD306" s="29"/>
      <c r="AE306" s="29"/>
      <c r="AF306" s="29"/>
      <c r="AG306" s="29"/>
      <c r="AH306" s="29"/>
      <c r="AI306" s="29"/>
      <c r="AJ306" s="29"/>
      <c r="AK306" s="29"/>
      <c r="AL306" s="29"/>
      <c r="AM306" s="29"/>
      <c r="AN306" s="29"/>
      <c r="AO306" s="29"/>
      <c r="AP306" s="29"/>
      <c r="AQ306" s="29"/>
      <c r="AR306" s="29"/>
      <c r="AS306" s="29"/>
      <c r="AT306" s="29"/>
      <c r="AU306" s="29"/>
      <c r="AV306" s="29"/>
      <c r="AW306" s="29"/>
      <c r="AX306" s="29"/>
    </row>
    <row r="307" ht="15.75" customHeight="1">
      <c r="A307" s="29"/>
      <c r="B307" s="29"/>
      <c r="C307" s="31"/>
      <c r="D307" s="29"/>
      <c r="E307" s="29"/>
      <c r="F307" s="29"/>
      <c r="G307" s="29"/>
      <c r="H307" s="29"/>
      <c r="I307" s="29"/>
      <c r="J307" s="29"/>
      <c r="K307" s="29"/>
      <c r="L307" s="29"/>
      <c r="M307" s="29"/>
      <c r="N307" s="29"/>
      <c r="O307" s="29"/>
      <c r="P307" s="29"/>
      <c r="Q307" s="29"/>
      <c r="R307" s="29"/>
      <c r="S307" s="29"/>
      <c r="T307" s="29"/>
      <c r="U307" s="29"/>
      <c r="V307" s="29"/>
      <c r="W307" s="29"/>
      <c r="X307" s="29"/>
      <c r="Y307" s="29"/>
      <c r="Z307" s="29"/>
      <c r="AA307" s="29"/>
      <c r="AB307" s="29"/>
      <c r="AC307" s="29"/>
      <c r="AD307" s="29"/>
      <c r="AE307" s="29"/>
      <c r="AF307" s="29"/>
      <c r="AG307" s="29"/>
      <c r="AH307" s="29"/>
      <c r="AI307" s="29"/>
      <c r="AJ307" s="29"/>
      <c r="AK307" s="29"/>
      <c r="AL307" s="29"/>
      <c r="AM307" s="29"/>
      <c r="AN307" s="29"/>
      <c r="AO307" s="29"/>
      <c r="AP307" s="29"/>
      <c r="AQ307" s="29"/>
      <c r="AR307" s="29"/>
      <c r="AS307" s="29"/>
      <c r="AT307" s="29"/>
      <c r="AU307" s="29"/>
      <c r="AV307" s="29"/>
      <c r="AW307" s="29"/>
      <c r="AX307" s="29"/>
    </row>
    <row r="308" ht="15.75" customHeight="1">
      <c r="A308" s="29"/>
      <c r="B308" s="29"/>
      <c r="C308" s="31"/>
      <c r="D308" s="29"/>
      <c r="E308" s="29"/>
      <c r="F308" s="29"/>
      <c r="G308" s="29"/>
      <c r="H308" s="29"/>
      <c r="I308" s="29"/>
      <c r="J308" s="29"/>
      <c r="K308" s="29"/>
      <c r="L308" s="29"/>
      <c r="M308" s="29"/>
      <c r="N308" s="29"/>
      <c r="O308" s="29"/>
      <c r="P308" s="29"/>
      <c r="Q308" s="29"/>
      <c r="R308" s="29"/>
      <c r="S308" s="29"/>
      <c r="T308" s="29"/>
      <c r="U308" s="29"/>
      <c r="V308" s="29"/>
      <c r="W308" s="29"/>
      <c r="X308" s="29"/>
      <c r="Y308" s="29"/>
      <c r="Z308" s="29"/>
      <c r="AA308" s="29"/>
      <c r="AB308" s="29"/>
      <c r="AC308" s="29"/>
      <c r="AD308" s="29"/>
      <c r="AE308" s="29"/>
      <c r="AF308" s="29"/>
      <c r="AG308" s="29"/>
      <c r="AH308" s="29"/>
      <c r="AI308" s="29"/>
      <c r="AJ308" s="29"/>
      <c r="AK308" s="29"/>
      <c r="AL308" s="29"/>
      <c r="AM308" s="29"/>
      <c r="AN308" s="29"/>
      <c r="AO308" s="29"/>
      <c r="AP308" s="29"/>
      <c r="AQ308" s="29"/>
      <c r="AR308" s="29"/>
      <c r="AS308" s="29"/>
      <c r="AT308" s="29"/>
      <c r="AU308" s="29"/>
      <c r="AV308" s="29"/>
      <c r="AW308" s="29"/>
      <c r="AX308" s="29"/>
    </row>
    <row r="309" ht="15.75" customHeight="1">
      <c r="A309" s="29"/>
      <c r="B309" s="29"/>
      <c r="C309" s="31"/>
      <c r="D309" s="29"/>
      <c r="E309" s="29"/>
      <c r="F309" s="29"/>
      <c r="G309" s="29"/>
      <c r="H309" s="29"/>
      <c r="I309" s="29"/>
      <c r="J309" s="29"/>
      <c r="K309" s="29"/>
      <c r="L309" s="29"/>
      <c r="M309" s="29"/>
      <c r="N309" s="29"/>
      <c r="O309" s="29"/>
      <c r="P309" s="29"/>
      <c r="Q309" s="29"/>
      <c r="R309" s="29"/>
      <c r="S309" s="29"/>
      <c r="T309" s="29"/>
      <c r="U309" s="29"/>
      <c r="V309" s="29"/>
      <c r="W309" s="29"/>
      <c r="X309" s="29"/>
      <c r="Y309" s="29"/>
      <c r="Z309" s="29"/>
      <c r="AA309" s="29"/>
      <c r="AB309" s="29"/>
      <c r="AC309" s="29"/>
      <c r="AD309" s="29"/>
      <c r="AE309" s="29"/>
      <c r="AF309" s="29"/>
      <c r="AG309" s="29"/>
      <c r="AH309" s="29"/>
      <c r="AI309" s="29"/>
      <c r="AJ309" s="29"/>
      <c r="AK309" s="29"/>
      <c r="AL309" s="29"/>
      <c r="AM309" s="29"/>
      <c r="AN309" s="29"/>
      <c r="AO309" s="29"/>
      <c r="AP309" s="29"/>
      <c r="AQ309" s="29"/>
      <c r="AR309" s="29"/>
      <c r="AS309" s="29"/>
      <c r="AT309" s="29"/>
      <c r="AU309" s="29"/>
      <c r="AV309" s="29"/>
      <c r="AW309" s="29"/>
      <c r="AX309" s="29"/>
    </row>
    <row r="310" ht="15.75" customHeight="1">
      <c r="A310" s="29"/>
      <c r="B310" s="29"/>
      <c r="C310" s="31"/>
      <c r="D310" s="29"/>
      <c r="E310" s="29"/>
      <c r="F310" s="29"/>
      <c r="G310" s="29"/>
      <c r="H310" s="29"/>
      <c r="I310" s="29"/>
      <c r="J310" s="29"/>
      <c r="K310" s="29"/>
      <c r="L310" s="29"/>
      <c r="M310" s="29"/>
      <c r="N310" s="29"/>
      <c r="O310" s="29"/>
      <c r="P310" s="29"/>
      <c r="Q310" s="29"/>
      <c r="R310" s="29"/>
      <c r="S310" s="29"/>
      <c r="T310" s="29"/>
      <c r="U310" s="29"/>
      <c r="V310" s="29"/>
      <c r="W310" s="29"/>
      <c r="X310" s="29"/>
      <c r="Y310" s="29"/>
      <c r="Z310" s="29"/>
      <c r="AA310" s="29"/>
      <c r="AB310" s="29"/>
      <c r="AC310" s="29"/>
      <c r="AD310" s="29"/>
      <c r="AE310" s="29"/>
      <c r="AF310" s="29"/>
      <c r="AG310" s="29"/>
      <c r="AH310" s="29"/>
      <c r="AI310" s="29"/>
      <c r="AJ310" s="29"/>
      <c r="AK310" s="29"/>
      <c r="AL310" s="29"/>
      <c r="AM310" s="29"/>
      <c r="AN310" s="29"/>
      <c r="AO310" s="29"/>
      <c r="AP310" s="29"/>
      <c r="AQ310" s="29"/>
      <c r="AR310" s="29"/>
      <c r="AS310" s="29"/>
      <c r="AT310" s="29"/>
      <c r="AU310" s="29"/>
      <c r="AV310" s="29"/>
      <c r="AW310" s="29"/>
      <c r="AX310" s="29"/>
    </row>
    <row r="311" ht="15.75" customHeight="1">
      <c r="A311" s="29"/>
      <c r="B311" s="29"/>
      <c r="C311" s="31"/>
      <c r="D311" s="29"/>
      <c r="E311" s="29"/>
      <c r="F311" s="29"/>
      <c r="G311" s="29"/>
      <c r="H311" s="29"/>
      <c r="I311" s="29"/>
      <c r="J311" s="29"/>
      <c r="K311" s="29"/>
      <c r="L311" s="29"/>
      <c r="M311" s="29"/>
      <c r="N311" s="29"/>
      <c r="O311" s="29"/>
      <c r="P311" s="29"/>
      <c r="Q311" s="29"/>
      <c r="R311" s="29"/>
      <c r="S311" s="29"/>
      <c r="T311" s="29"/>
      <c r="U311" s="29"/>
      <c r="V311" s="29"/>
      <c r="W311" s="29"/>
      <c r="X311" s="29"/>
      <c r="Y311" s="29"/>
      <c r="Z311" s="29"/>
      <c r="AA311" s="29"/>
      <c r="AB311" s="29"/>
      <c r="AC311" s="29"/>
      <c r="AD311" s="29"/>
      <c r="AE311" s="29"/>
      <c r="AF311" s="29"/>
      <c r="AG311" s="29"/>
      <c r="AH311" s="29"/>
      <c r="AI311" s="29"/>
      <c r="AJ311" s="29"/>
      <c r="AK311" s="29"/>
      <c r="AL311" s="29"/>
      <c r="AM311" s="29"/>
      <c r="AN311" s="29"/>
      <c r="AO311" s="29"/>
      <c r="AP311" s="29"/>
      <c r="AQ311" s="29"/>
      <c r="AR311" s="29"/>
      <c r="AS311" s="29"/>
      <c r="AT311" s="29"/>
      <c r="AU311" s="29"/>
      <c r="AV311" s="29"/>
      <c r="AW311" s="29"/>
      <c r="AX311" s="29"/>
    </row>
    <row r="312" ht="15.75" customHeight="1">
      <c r="A312" s="29"/>
      <c r="B312" s="29"/>
      <c r="C312" s="31"/>
      <c r="D312" s="29"/>
      <c r="E312" s="29"/>
      <c r="F312" s="29"/>
      <c r="G312" s="29"/>
      <c r="H312" s="29"/>
      <c r="I312" s="29"/>
      <c r="J312" s="29"/>
      <c r="K312" s="29"/>
      <c r="L312" s="29"/>
      <c r="M312" s="29"/>
      <c r="N312" s="29"/>
      <c r="O312" s="29"/>
      <c r="P312" s="29"/>
      <c r="Q312" s="29"/>
      <c r="R312" s="29"/>
      <c r="S312" s="29"/>
      <c r="T312" s="29"/>
      <c r="U312" s="29"/>
      <c r="V312" s="29"/>
      <c r="W312" s="29"/>
      <c r="X312" s="29"/>
      <c r="Y312" s="29"/>
      <c r="Z312" s="29"/>
      <c r="AA312" s="29"/>
      <c r="AB312" s="29"/>
      <c r="AC312" s="29"/>
      <c r="AD312" s="29"/>
      <c r="AE312" s="29"/>
      <c r="AF312" s="29"/>
      <c r="AG312" s="29"/>
      <c r="AH312" s="29"/>
      <c r="AI312" s="29"/>
      <c r="AJ312" s="29"/>
      <c r="AK312" s="29"/>
      <c r="AL312" s="29"/>
      <c r="AM312" s="29"/>
      <c r="AN312" s="29"/>
      <c r="AO312" s="29"/>
      <c r="AP312" s="29"/>
      <c r="AQ312" s="29"/>
      <c r="AR312" s="29"/>
      <c r="AS312" s="29"/>
      <c r="AT312" s="29"/>
      <c r="AU312" s="29"/>
      <c r="AV312" s="29"/>
      <c r="AW312" s="29"/>
      <c r="AX312" s="29"/>
    </row>
    <row r="313" ht="15.75" customHeight="1">
      <c r="A313" s="29"/>
      <c r="B313" s="29"/>
      <c r="C313" s="31"/>
      <c r="D313" s="29"/>
      <c r="E313" s="29"/>
      <c r="F313" s="29"/>
      <c r="G313" s="29"/>
      <c r="H313" s="29"/>
      <c r="I313" s="29"/>
      <c r="J313" s="29"/>
      <c r="K313" s="29"/>
      <c r="L313" s="29"/>
      <c r="M313" s="29"/>
      <c r="N313" s="29"/>
      <c r="O313" s="29"/>
      <c r="P313" s="29"/>
      <c r="Q313" s="29"/>
      <c r="R313" s="29"/>
      <c r="S313" s="29"/>
      <c r="T313" s="29"/>
      <c r="U313" s="29"/>
      <c r="V313" s="29"/>
      <c r="W313" s="29"/>
      <c r="X313" s="29"/>
      <c r="Y313" s="29"/>
      <c r="Z313" s="29"/>
      <c r="AA313" s="29"/>
      <c r="AB313" s="29"/>
      <c r="AC313" s="29"/>
      <c r="AD313" s="29"/>
      <c r="AE313" s="29"/>
      <c r="AF313" s="29"/>
      <c r="AG313" s="29"/>
      <c r="AH313" s="29"/>
      <c r="AI313" s="29"/>
      <c r="AJ313" s="29"/>
      <c r="AK313" s="29"/>
      <c r="AL313" s="29"/>
      <c r="AM313" s="29"/>
      <c r="AN313" s="29"/>
      <c r="AO313" s="29"/>
      <c r="AP313" s="29"/>
      <c r="AQ313" s="29"/>
      <c r="AR313" s="29"/>
      <c r="AS313" s="29"/>
      <c r="AT313" s="29"/>
      <c r="AU313" s="29"/>
      <c r="AV313" s="29"/>
      <c r="AW313" s="29"/>
      <c r="AX313" s="29"/>
    </row>
    <row r="314" ht="15.75" customHeight="1">
      <c r="A314" s="29"/>
      <c r="B314" s="29"/>
      <c r="C314" s="31"/>
      <c r="D314" s="29"/>
      <c r="E314" s="29"/>
      <c r="F314" s="29"/>
      <c r="G314" s="29"/>
      <c r="H314" s="29"/>
      <c r="I314" s="29"/>
      <c r="J314" s="29"/>
      <c r="K314" s="29"/>
      <c r="L314" s="29"/>
      <c r="M314" s="29"/>
      <c r="N314" s="29"/>
      <c r="O314" s="29"/>
      <c r="P314" s="29"/>
      <c r="Q314" s="29"/>
      <c r="R314" s="29"/>
      <c r="S314" s="29"/>
      <c r="T314" s="29"/>
      <c r="U314" s="29"/>
      <c r="V314" s="29"/>
      <c r="W314" s="29"/>
      <c r="X314" s="29"/>
      <c r="Y314" s="29"/>
      <c r="Z314" s="29"/>
      <c r="AA314" s="29"/>
      <c r="AB314" s="29"/>
      <c r="AC314" s="29"/>
      <c r="AD314" s="29"/>
      <c r="AE314" s="29"/>
      <c r="AF314" s="29"/>
      <c r="AG314" s="29"/>
      <c r="AH314" s="29"/>
      <c r="AI314" s="29"/>
      <c r="AJ314" s="29"/>
      <c r="AK314" s="29"/>
      <c r="AL314" s="29"/>
      <c r="AM314" s="29"/>
      <c r="AN314" s="29"/>
      <c r="AO314" s="29"/>
      <c r="AP314" s="29"/>
      <c r="AQ314" s="29"/>
      <c r="AR314" s="29"/>
      <c r="AS314" s="29"/>
      <c r="AT314" s="29"/>
      <c r="AU314" s="29"/>
      <c r="AV314" s="29"/>
      <c r="AW314" s="29"/>
      <c r="AX314" s="29"/>
    </row>
    <row r="315" ht="15.75" customHeight="1">
      <c r="A315" s="29"/>
      <c r="B315" s="29"/>
      <c r="C315" s="31"/>
      <c r="D315" s="29"/>
      <c r="E315" s="29"/>
      <c r="F315" s="29"/>
      <c r="G315" s="29"/>
      <c r="H315" s="29"/>
      <c r="I315" s="29"/>
      <c r="J315" s="29"/>
      <c r="K315" s="29"/>
      <c r="L315" s="29"/>
      <c r="M315" s="29"/>
      <c r="N315" s="29"/>
      <c r="O315" s="29"/>
      <c r="P315" s="29"/>
      <c r="Q315" s="29"/>
      <c r="R315" s="29"/>
      <c r="S315" s="29"/>
      <c r="T315" s="29"/>
      <c r="U315" s="29"/>
      <c r="V315" s="29"/>
      <c r="W315" s="29"/>
      <c r="X315" s="29"/>
      <c r="Y315" s="29"/>
      <c r="Z315" s="29"/>
      <c r="AA315" s="29"/>
      <c r="AB315" s="29"/>
      <c r="AC315" s="29"/>
      <c r="AD315" s="29"/>
      <c r="AE315" s="29"/>
      <c r="AF315" s="29"/>
      <c r="AG315" s="29"/>
      <c r="AH315" s="29"/>
      <c r="AI315" s="29"/>
      <c r="AJ315" s="29"/>
      <c r="AK315" s="29"/>
      <c r="AL315" s="29"/>
      <c r="AM315" s="29"/>
      <c r="AN315" s="29"/>
      <c r="AO315" s="29"/>
      <c r="AP315" s="29"/>
      <c r="AQ315" s="29"/>
      <c r="AR315" s="29"/>
      <c r="AS315" s="29"/>
      <c r="AT315" s="29"/>
      <c r="AU315" s="29"/>
      <c r="AV315" s="29"/>
      <c r="AW315" s="29"/>
      <c r="AX315" s="29"/>
    </row>
    <row r="316" ht="15.75" customHeight="1">
      <c r="A316" s="29"/>
      <c r="B316" s="29"/>
      <c r="C316" s="31"/>
      <c r="D316" s="29"/>
      <c r="E316" s="29"/>
      <c r="F316" s="29"/>
      <c r="G316" s="29"/>
      <c r="H316" s="29"/>
      <c r="I316" s="29"/>
      <c r="J316" s="29"/>
      <c r="K316" s="29"/>
      <c r="L316" s="29"/>
      <c r="M316" s="29"/>
      <c r="N316" s="29"/>
      <c r="O316" s="29"/>
      <c r="P316" s="29"/>
      <c r="Q316" s="29"/>
      <c r="R316" s="29"/>
      <c r="S316" s="29"/>
      <c r="T316" s="29"/>
      <c r="U316" s="29"/>
      <c r="V316" s="29"/>
      <c r="W316" s="29"/>
      <c r="X316" s="29"/>
      <c r="Y316" s="29"/>
      <c r="Z316" s="29"/>
      <c r="AA316" s="29"/>
      <c r="AB316" s="29"/>
      <c r="AC316" s="29"/>
      <c r="AD316" s="29"/>
      <c r="AE316" s="29"/>
      <c r="AF316" s="29"/>
      <c r="AG316" s="29"/>
      <c r="AH316" s="29"/>
      <c r="AI316" s="29"/>
      <c r="AJ316" s="29"/>
      <c r="AK316" s="29"/>
      <c r="AL316" s="29"/>
      <c r="AM316" s="29"/>
      <c r="AN316" s="29"/>
      <c r="AO316" s="29"/>
      <c r="AP316" s="29"/>
      <c r="AQ316" s="29"/>
      <c r="AR316" s="29"/>
      <c r="AS316" s="29"/>
      <c r="AT316" s="29"/>
      <c r="AU316" s="29"/>
      <c r="AV316" s="29"/>
      <c r="AW316" s="29"/>
      <c r="AX316" s="29"/>
    </row>
    <row r="317" ht="15.75" customHeight="1">
      <c r="A317" s="29"/>
      <c r="B317" s="29"/>
      <c r="C317" s="31"/>
      <c r="D317" s="29"/>
      <c r="E317" s="29"/>
      <c r="F317" s="29"/>
      <c r="G317" s="29"/>
      <c r="H317" s="29"/>
      <c r="I317" s="29"/>
      <c r="J317" s="29"/>
      <c r="K317" s="29"/>
      <c r="L317" s="29"/>
      <c r="M317" s="29"/>
      <c r="N317" s="29"/>
      <c r="O317" s="29"/>
      <c r="P317" s="29"/>
      <c r="Q317" s="29"/>
      <c r="R317" s="29"/>
      <c r="S317" s="29"/>
      <c r="T317" s="29"/>
      <c r="U317" s="29"/>
      <c r="V317" s="29"/>
      <c r="W317" s="29"/>
      <c r="X317" s="29"/>
      <c r="Y317" s="29"/>
      <c r="Z317" s="29"/>
      <c r="AA317" s="29"/>
      <c r="AB317" s="29"/>
      <c r="AC317" s="29"/>
      <c r="AD317" s="29"/>
      <c r="AE317" s="29"/>
      <c r="AF317" s="29"/>
      <c r="AG317" s="29"/>
      <c r="AH317" s="29"/>
      <c r="AI317" s="29"/>
      <c r="AJ317" s="29"/>
      <c r="AK317" s="29"/>
      <c r="AL317" s="29"/>
      <c r="AM317" s="29"/>
      <c r="AN317" s="29"/>
      <c r="AO317" s="29"/>
      <c r="AP317" s="29"/>
      <c r="AQ317" s="29"/>
      <c r="AR317" s="29"/>
      <c r="AS317" s="29"/>
      <c r="AT317" s="29"/>
      <c r="AU317" s="29"/>
      <c r="AV317" s="29"/>
      <c r="AW317" s="29"/>
      <c r="AX317" s="29"/>
    </row>
    <row r="318" ht="15.75" customHeight="1">
      <c r="A318" s="29"/>
      <c r="B318" s="29"/>
      <c r="C318" s="31"/>
      <c r="D318" s="29"/>
      <c r="E318" s="29"/>
      <c r="F318" s="29"/>
      <c r="G318" s="29"/>
      <c r="H318" s="29"/>
      <c r="I318" s="29"/>
      <c r="J318" s="29"/>
      <c r="K318" s="29"/>
      <c r="L318" s="29"/>
      <c r="M318" s="29"/>
      <c r="N318" s="29"/>
      <c r="O318" s="29"/>
      <c r="P318" s="29"/>
      <c r="Q318" s="29"/>
      <c r="R318" s="29"/>
      <c r="S318" s="29"/>
      <c r="T318" s="29"/>
      <c r="U318" s="29"/>
      <c r="V318" s="29"/>
      <c r="W318" s="29"/>
      <c r="X318" s="29"/>
      <c r="Y318" s="29"/>
      <c r="Z318" s="29"/>
      <c r="AA318" s="29"/>
      <c r="AB318" s="29"/>
      <c r="AC318" s="29"/>
      <c r="AD318" s="29"/>
      <c r="AE318" s="29"/>
      <c r="AF318" s="29"/>
      <c r="AG318" s="29"/>
      <c r="AH318" s="29"/>
      <c r="AI318" s="29"/>
      <c r="AJ318" s="29"/>
      <c r="AK318" s="29"/>
      <c r="AL318" s="29"/>
      <c r="AM318" s="29"/>
      <c r="AN318" s="29"/>
      <c r="AO318" s="29"/>
      <c r="AP318" s="29"/>
      <c r="AQ318" s="29"/>
      <c r="AR318" s="29"/>
      <c r="AS318" s="29"/>
      <c r="AT318" s="29"/>
      <c r="AU318" s="29"/>
      <c r="AV318" s="29"/>
      <c r="AW318" s="29"/>
      <c r="AX318" s="29"/>
    </row>
    <row r="319" ht="15.75" customHeight="1">
      <c r="A319" s="29"/>
      <c r="B319" s="29"/>
      <c r="C319" s="31"/>
      <c r="D319" s="29"/>
      <c r="E319" s="29"/>
      <c r="F319" s="29"/>
      <c r="G319" s="29"/>
      <c r="H319" s="29"/>
      <c r="I319" s="29"/>
      <c r="J319" s="29"/>
      <c r="K319" s="29"/>
      <c r="L319" s="29"/>
      <c r="M319" s="29"/>
      <c r="N319" s="29"/>
      <c r="O319" s="29"/>
      <c r="P319" s="29"/>
      <c r="Q319" s="29"/>
      <c r="R319" s="29"/>
      <c r="S319" s="29"/>
      <c r="T319" s="29"/>
      <c r="U319" s="29"/>
      <c r="V319" s="29"/>
      <c r="W319" s="29"/>
      <c r="X319" s="29"/>
      <c r="Y319" s="29"/>
      <c r="Z319" s="29"/>
      <c r="AA319" s="29"/>
      <c r="AB319" s="29"/>
      <c r="AC319" s="29"/>
      <c r="AD319" s="29"/>
      <c r="AE319" s="29"/>
      <c r="AF319" s="29"/>
      <c r="AG319" s="29"/>
      <c r="AH319" s="29"/>
      <c r="AI319" s="29"/>
      <c r="AJ319" s="29"/>
      <c r="AK319" s="29"/>
      <c r="AL319" s="29"/>
      <c r="AM319" s="29"/>
      <c r="AN319" s="29"/>
      <c r="AO319" s="29"/>
      <c r="AP319" s="29"/>
      <c r="AQ319" s="29"/>
      <c r="AR319" s="29"/>
      <c r="AS319" s="29"/>
      <c r="AT319" s="29"/>
      <c r="AU319" s="29"/>
      <c r="AV319" s="29"/>
      <c r="AW319" s="29"/>
      <c r="AX319" s="29"/>
    </row>
    <row r="320" ht="15.75" customHeight="1">
      <c r="A320" s="29"/>
      <c r="B320" s="29"/>
      <c r="C320" s="31"/>
      <c r="D320" s="29"/>
      <c r="E320" s="29"/>
      <c r="F320" s="29"/>
      <c r="G320" s="29"/>
      <c r="H320" s="29"/>
      <c r="I320" s="29"/>
      <c r="J320" s="29"/>
      <c r="K320" s="29"/>
      <c r="L320" s="29"/>
      <c r="M320" s="29"/>
      <c r="N320" s="29"/>
      <c r="O320" s="29"/>
      <c r="P320" s="29"/>
      <c r="Q320" s="29"/>
      <c r="R320" s="29"/>
      <c r="S320" s="29"/>
      <c r="T320" s="29"/>
      <c r="U320" s="29"/>
      <c r="V320" s="29"/>
      <c r="W320" s="29"/>
      <c r="X320" s="29"/>
      <c r="Y320" s="29"/>
      <c r="Z320" s="29"/>
      <c r="AA320" s="29"/>
      <c r="AB320" s="29"/>
      <c r="AC320" s="29"/>
      <c r="AD320" s="29"/>
      <c r="AE320" s="29"/>
      <c r="AF320" s="29"/>
      <c r="AG320" s="29"/>
      <c r="AH320" s="29"/>
      <c r="AI320" s="29"/>
      <c r="AJ320" s="29"/>
      <c r="AK320" s="29"/>
      <c r="AL320" s="29"/>
      <c r="AM320" s="29"/>
      <c r="AN320" s="29"/>
      <c r="AO320" s="29"/>
      <c r="AP320" s="29"/>
      <c r="AQ320" s="29"/>
      <c r="AR320" s="29"/>
      <c r="AS320" s="29"/>
      <c r="AT320" s="29"/>
      <c r="AU320" s="29"/>
      <c r="AV320" s="29"/>
      <c r="AW320" s="29"/>
      <c r="AX320" s="29"/>
    </row>
    <row r="321" ht="15.75" customHeight="1">
      <c r="A321" s="29"/>
      <c r="B321" s="29"/>
      <c r="C321" s="31"/>
      <c r="D321" s="29"/>
      <c r="E321" s="29"/>
      <c r="F321" s="29"/>
      <c r="G321" s="29"/>
      <c r="H321" s="29"/>
      <c r="I321" s="29"/>
      <c r="J321" s="29"/>
      <c r="K321" s="29"/>
      <c r="L321" s="29"/>
      <c r="M321" s="29"/>
      <c r="N321" s="29"/>
      <c r="O321" s="29"/>
      <c r="P321" s="29"/>
      <c r="Q321" s="29"/>
      <c r="R321" s="29"/>
      <c r="S321" s="29"/>
      <c r="T321" s="29"/>
      <c r="U321" s="29"/>
      <c r="V321" s="29"/>
      <c r="W321" s="29"/>
      <c r="X321" s="29"/>
      <c r="Y321" s="29"/>
      <c r="Z321" s="29"/>
      <c r="AA321" s="29"/>
      <c r="AB321" s="29"/>
      <c r="AC321" s="29"/>
      <c r="AD321" s="29"/>
      <c r="AE321" s="29"/>
      <c r="AF321" s="29"/>
      <c r="AG321" s="29"/>
      <c r="AH321" s="29"/>
      <c r="AI321" s="29"/>
      <c r="AJ321" s="29"/>
      <c r="AK321" s="29"/>
      <c r="AL321" s="29"/>
      <c r="AM321" s="29"/>
      <c r="AN321" s="29"/>
      <c r="AO321" s="29"/>
      <c r="AP321" s="29"/>
      <c r="AQ321" s="29"/>
      <c r="AR321" s="29"/>
      <c r="AS321" s="29"/>
      <c r="AT321" s="29"/>
      <c r="AU321" s="29"/>
      <c r="AV321" s="29"/>
      <c r="AW321" s="29"/>
      <c r="AX321" s="29"/>
    </row>
    <row r="322" ht="15.75" customHeight="1">
      <c r="A322" s="29"/>
      <c r="B322" s="29"/>
      <c r="C322" s="31"/>
      <c r="D322" s="29"/>
      <c r="E322" s="29"/>
      <c r="F322" s="29"/>
      <c r="G322" s="29"/>
      <c r="H322" s="29"/>
      <c r="I322" s="29"/>
      <c r="J322" s="29"/>
      <c r="K322" s="29"/>
      <c r="L322" s="29"/>
      <c r="M322" s="29"/>
      <c r="N322" s="29"/>
      <c r="O322" s="29"/>
      <c r="P322" s="29"/>
      <c r="Q322" s="29"/>
      <c r="R322" s="29"/>
      <c r="S322" s="29"/>
      <c r="T322" s="29"/>
      <c r="U322" s="29"/>
      <c r="V322" s="29"/>
      <c r="W322" s="29"/>
      <c r="X322" s="29"/>
      <c r="Y322" s="29"/>
      <c r="Z322" s="29"/>
      <c r="AA322" s="29"/>
      <c r="AB322" s="29"/>
      <c r="AC322" s="29"/>
      <c r="AD322" s="29"/>
      <c r="AE322" s="29"/>
      <c r="AF322" s="29"/>
      <c r="AG322" s="29"/>
      <c r="AH322" s="29"/>
      <c r="AI322" s="29"/>
      <c r="AJ322" s="29"/>
      <c r="AK322" s="29"/>
      <c r="AL322" s="29"/>
      <c r="AM322" s="29"/>
      <c r="AN322" s="29"/>
      <c r="AO322" s="29"/>
      <c r="AP322" s="29"/>
      <c r="AQ322" s="29"/>
      <c r="AR322" s="29"/>
      <c r="AS322" s="29"/>
      <c r="AT322" s="29"/>
      <c r="AU322" s="29"/>
      <c r="AV322" s="29"/>
      <c r="AW322" s="29"/>
      <c r="AX322" s="29"/>
    </row>
    <row r="323" ht="15.75" customHeight="1">
      <c r="A323" s="29"/>
      <c r="B323" s="29"/>
      <c r="C323" s="31"/>
      <c r="D323" s="29"/>
      <c r="E323" s="29"/>
      <c r="F323" s="29"/>
      <c r="G323" s="29"/>
      <c r="H323" s="29"/>
      <c r="I323" s="29"/>
      <c r="J323" s="29"/>
      <c r="K323" s="29"/>
      <c r="L323" s="29"/>
      <c r="M323" s="29"/>
      <c r="N323" s="29"/>
      <c r="O323" s="29"/>
      <c r="P323" s="29"/>
      <c r="Q323" s="29"/>
      <c r="R323" s="29"/>
      <c r="S323" s="29"/>
      <c r="T323" s="29"/>
      <c r="U323" s="29"/>
      <c r="V323" s="29"/>
      <c r="W323" s="29"/>
      <c r="X323" s="29"/>
      <c r="Y323" s="29"/>
      <c r="Z323" s="29"/>
      <c r="AA323" s="29"/>
      <c r="AB323" s="29"/>
      <c r="AC323" s="29"/>
      <c r="AD323" s="29"/>
      <c r="AE323" s="29"/>
      <c r="AF323" s="29"/>
      <c r="AG323" s="29"/>
      <c r="AH323" s="29"/>
      <c r="AI323" s="29"/>
      <c r="AJ323" s="29"/>
      <c r="AK323" s="29"/>
      <c r="AL323" s="29"/>
      <c r="AM323" s="29"/>
      <c r="AN323" s="29"/>
      <c r="AO323" s="29"/>
      <c r="AP323" s="29"/>
      <c r="AQ323" s="29"/>
      <c r="AR323" s="29"/>
      <c r="AS323" s="29"/>
      <c r="AT323" s="29"/>
      <c r="AU323" s="29"/>
      <c r="AV323" s="29"/>
      <c r="AW323" s="29"/>
      <c r="AX323" s="29"/>
    </row>
    <row r="324" ht="15.75" customHeight="1">
      <c r="A324" s="29"/>
      <c r="B324" s="29"/>
      <c r="C324" s="31"/>
      <c r="D324" s="29"/>
      <c r="E324" s="29"/>
      <c r="F324" s="29"/>
      <c r="G324" s="29"/>
      <c r="H324" s="29"/>
      <c r="I324" s="29"/>
      <c r="J324" s="29"/>
      <c r="K324" s="29"/>
      <c r="L324" s="29"/>
      <c r="M324" s="29"/>
      <c r="N324" s="29"/>
      <c r="O324" s="29"/>
      <c r="P324" s="29"/>
      <c r="Q324" s="29"/>
      <c r="R324" s="29"/>
      <c r="S324" s="29"/>
      <c r="T324" s="29"/>
      <c r="U324" s="29"/>
      <c r="V324" s="29"/>
      <c r="W324" s="29"/>
      <c r="X324" s="29"/>
      <c r="Y324" s="29"/>
      <c r="Z324" s="29"/>
      <c r="AA324" s="29"/>
      <c r="AB324" s="29"/>
      <c r="AC324" s="29"/>
      <c r="AD324" s="29"/>
      <c r="AE324" s="29"/>
      <c r="AF324" s="29"/>
      <c r="AG324" s="29"/>
      <c r="AH324" s="29"/>
      <c r="AI324" s="29"/>
      <c r="AJ324" s="29"/>
      <c r="AK324" s="29"/>
      <c r="AL324" s="29"/>
      <c r="AM324" s="29"/>
      <c r="AN324" s="29"/>
      <c r="AO324" s="29"/>
      <c r="AP324" s="29"/>
      <c r="AQ324" s="29"/>
      <c r="AR324" s="29"/>
      <c r="AS324" s="29"/>
      <c r="AT324" s="29"/>
      <c r="AU324" s="29"/>
      <c r="AV324" s="29"/>
      <c r="AW324" s="29"/>
      <c r="AX324" s="29"/>
    </row>
    <row r="325" ht="15.75" customHeight="1">
      <c r="A325" s="29"/>
      <c r="B325" s="29"/>
      <c r="C325" s="31"/>
      <c r="D325" s="29"/>
      <c r="E325" s="29"/>
      <c r="F325" s="29"/>
      <c r="G325" s="29"/>
      <c r="H325" s="29"/>
      <c r="I325" s="29"/>
      <c r="J325" s="29"/>
      <c r="K325" s="29"/>
      <c r="L325" s="29"/>
      <c r="M325" s="29"/>
      <c r="N325" s="29"/>
      <c r="O325" s="29"/>
      <c r="P325" s="29"/>
      <c r="Q325" s="29"/>
      <c r="R325" s="29"/>
      <c r="S325" s="29"/>
      <c r="T325" s="29"/>
      <c r="U325" s="29"/>
      <c r="V325" s="29"/>
      <c r="W325" s="29"/>
      <c r="X325" s="29"/>
      <c r="Y325" s="29"/>
      <c r="Z325" s="29"/>
      <c r="AA325" s="29"/>
      <c r="AB325" s="29"/>
      <c r="AC325" s="29"/>
      <c r="AD325" s="29"/>
      <c r="AE325" s="29"/>
      <c r="AF325" s="29"/>
      <c r="AG325" s="29"/>
      <c r="AH325" s="29"/>
      <c r="AI325" s="29"/>
      <c r="AJ325" s="29"/>
      <c r="AK325" s="29"/>
      <c r="AL325" s="29"/>
      <c r="AM325" s="29"/>
      <c r="AN325" s="29"/>
      <c r="AO325" s="29"/>
      <c r="AP325" s="29"/>
      <c r="AQ325" s="29"/>
      <c r="AR325" s="29"/>
      <c r="AS325" s="29"/>
      <c r="AT325" s="29"/>
      <c r="AU325" s="29"/>
      <c r="AV325" s="29"/>
      <c r="AW325" s="29"/>
      <c r="AX325" s="29"/>
    </row>
    <row r="326" ht="15.75" customHeight="1">
      <c r="A326" s="29"/>
      <c r="B326" s="29"/>
      <c r="C326" s="31"/>
      <c r="D326" s="29"/>
      <c r="E326" s="29"/>
      <c r="F326" s="29"/>
      <c r="G326" s="29"/>
      <c r="H326" s="29"/>
      <c r="I326" s="29"/>
      <c r="J326" s="29"/>
      <c r="K326" s="29"/>
      <c r="L326" s="29"/>
      <c r="M326" s="29"/>
      <c r="N326" s="29"/>
      <c r="O326" s="29"/>
      <c r="P326" s="29"/>
      <c r="Q326" s="29"/>
      <c r="R326" s="29"/>
      <c r="S326" s="29"/>
      <c r="T326" s="29"/>
      <c r="U326" s="29"/>
      <c r="V326" s="29"/>
      <c r="W326" s="29"/>
      <c r="X326" s="29"/>
      <c r="Y326" s="29"/>
      <c r="Z326" s="29"/>
      <c r="AA326" s="29"/>
      <c r="AB326" s="29"/>
      <c r="AC326" s="29"/>
      <c r="AD326" s="29"/>
      <c r="AE326" s="29"/>
      <c r="AF326" s="29"/>
      <c r="AG326" s="29"/>
      <c r="AH326" s="29"/>
      <c r="AI326" s="29"/>
      <c r="AJ326" s="29"/>
      <c r="AK326" s="29"/>
      <c r="AL326" s="29"/>
      <c r="AM326" s="29"/>
      <c r="AN326" s="29"/>
      <c r="AO326" s="29"/>
      <c r="AP326" s="29"/>
      <c r="AQ326" s="29"/>
      <c r="AR326" s="29"/>
      <c r="AS326" s="29"/>
      <c r="AT326" s="29"/>
      <c r="AU326" s="29"/>
      <c r="AV326" s="29"/>
      <c r="AW326" s="29"/>
      <c r="AX326" s="29"/>
    </row>
    <row r="327" ht="15.75" customHeight="1">
      <c r="A327" s="29"/>
      <c r="B327" s="29"/>
      <c r="C327" s="31"/>
      <c r="D327" s="29"/>
      <c r="E327" s="29"/>
      <c r="F327" s="29"/>
      <c r="G327" s="29"/>
      <c r="H327" s="29"/>
      <c r="I327" s="29"/>
      <c r="J327" s="29"/>
      <c r="K327" s="29"/>
      <c r="L327" s="29"/>
      <c r="M327" s="29"/>
      <c r="N327" s="29"/>
      <c r="O327" s="29"/>
      <c r="P327" s="29"/>
      <c r="Q327" s="29"/>
      <c r="R327" s="29"/>
      <c r="S327" s="29"/>
      <c r="T327" s="29"/>
      <c r="U327" s="29"/>
      <c r="V327" s="29"/>
      <c r="W327" s="29"/>
      <c r="X327" s="29"/>
      <c r="Y327" s="29"/>
      <c r="Z327" s="29"/>
      <c r="AA327" s="29"/>
      <c r="AB327" s="29"/>
      <c r="AC327" s="29"/>
      <c r="AD327" s="29"/>
      <c r="AE327" s="29"/>
      <c r="AF327" s="29"/>
      <c r="AG327" s="29"/>
      <c r="AH327" s="29"/>
      <c r="AI327" s="29"/>
      <c r="AJ327" s="29"/>
      <c r="AK327" s="29"/>
      <c r="AL327" s="29"/>
      <c r="AM327" s="29"/>
      <c r="AN327" s="29"/>
      <c r="AO327" s="29"/>
      <c r="AP327" s="29"/>
      <c r="AQ327" s="29"/>
      <c r="AR327" s="29"/>
      <c r="AS327" s="29"/>
      <c r="AT327" s="29"/>
      <c r="AU327" s="29"/>
      <c r="AV327" s="29"/>
      <c r="AW327" s="29"/>
      <c r="AX327" s="29"/>
    </row>
    <row r="328" ht="15.75" customHeight="1">
      <c r="A328" s="29"/>
      <c r="B328" s="29"/>
      <c r="C328" s="31"/>
      <c r="D328" s="29"/>
      <c r="E328" s="29"/>
      <c r="F328" s="29"/>
      <c r="G328" s="29"/>
      <c r="H328" s="29"/>
      <c r="I328" s="29"/>
      <c r="J328" s="29"/>
      <c r="K328" s="29"/>
      <c r="L328" s="29"/>
      <c r="M328" s="29"/>
      <c r="N328" s="29"/>
      <c r="O328" s="29"/>
      <c r="P328" s="29"/>
      <c r="Q328" s="29"/>
      <c r="R328" s="29"/>
      <c r="S328" s="29"/>
      <c r="T328" s="29"/>
      <c r="U328" s="29"/>
      <c r="V328" s="29"/>
      <c r="W328" s="29"/>
      <c r="X328" s="29"/>
      <c r="Y328" s="29"/>
      <c r="Z328" s="29"/>
      <c r="AA328" s="29"/>
      <c r="AB328" s="29"/>
      <c r="AC328" s="29"/>
      <c r="AD328" s="29"/>
      <c r="AE328" s="29"/>
      <c r="AF328" s="29"/>
      <c r="AG328" s="29"/>
      <c r="AH328" s="29"/>
      <c r="AI328" s="29"/>
      <c r="AJ328" s="29"/>
      <c r="AK328" s="29"/>
      <c r="AL328" s="29"/>
      <c r="AM328" s="29"/>
      <c r="AN328" s="29"/>
      <c r="AO328" s="29"/>
      <c r="AP328" s="29"/>
      <c r="AQ328" s="29"/>
      <c r="AR328" s="29"/>
      <c r="AS328" s="29"/>
      <c r="AT328" s="29"/>
      <c r="AU328" s="29"/>
      <c r="AV328" s="29"/>
      <c r="AW328" s="29"/>
      <c r="AX328" s="29"/>
    </row>
    <row r="329" ht="15.75" customHeight="1">
      <c r="A329" s="29"/>
      <c r="B329" s="29"/>
      <c r="C329" s="31"/>
      <c r="D329" s="29"/>
      <c r="E329" s="29"/>
      <c r="F329" s="29"/>
      <c r="G329" s="29"/>
      <c r="H329" s="29"/>
      <c r="I329" s="29"/>
      <c r="J329" s="29"/>
      <c r="K329" s="29"/>
      <c r="L329" s="29"/>
      <c r="M329" s="29"/>
      <c r="N329" s="29"/>
      <c r="O329" s="29"/>
      <c r="P329" s="29"/>
      <c r="Q329" s="29"/>
      <c r="R329" s="29"/>
      <c r="S329" s="29"/>
      <c r="T329" s="29"/>
      <c r="U329" s="29"/>
      <c r="V329" s="29"/>
      <c r="W329" s="29"/>
      <c r="X329" s="29"/>
      <c r="Y329" s="29"/>
      <c r="Z329" s="29"/>
      <c r="AA329" s="29"/>
      <c r="AB329" s="29"/>
      <c r="AC329" s="29"/>
      <c r="AD329" s="29"/>
      <c r="AE329" s="29"/>
      <c r="AF329" s="29"/>
      <c r="AG329" s="29"/>
      <c r="AH329" s="29"/>
      <c r="AI329" s="29"/>
      <c r="AJ329" s="29"/>
      <c r="AK329" s="29"/>
      <c r="AL329" s="29"/>
      <c r="AM329" s="29"/>
      <c r="AN329" s="29"/>
      <c r="AO329" s="29"/>
      <c r="AP329" s="29"/>
      <c r="AQ329" s="29"/>
      <c r="AR329" s="29"/>
      <c r="AS329" s="29"/>
      <c r="AT329" s="29"/>
      <c r="AU329" s="29"/>
      <c r="AV329" s="29"/>
      <c r="AW329" s="29"/>
      <c r="AX329" s="29"/>
    </row>
    <row r="330" ht="15.75" customHeight="1">
      <c r="A330" s="29"/>
      <c r="B330" s="29"/>
      <c r="C330" s="31"/>
      <c r="D330" s="29"/>
      <c r="E330" s="29"/>
      <c r="F330" s="29"/>
      <c r="G330" s="29"/>
      <c r="H330" s="29"/>
      <c r="I330" s="29"/>
      <c r="J330" s="29"/>
      <c r="K330" s="29"/>
      <c r="L330" s="29"/>
      <c r="M330" s="29"/>
      <c r="N330" s="29"/>
      <c r="O330" s="29"/>
      <c r="P330" s="29"/>
      <c r="Q330" s="29"/>
      <c r="R330" s="29"/>
      <c r="S330" s="29"/>
      <c r="T330" s="29"/>
      <c r="U330" s="29"/>
      <c r="V330" s="29"/>
      <c r="W330" s="29"/>
      <c r="X330" s="29"/>
      <c r="Y330" s="29"/>
      <c r="Z330" s="29"/>
      <c r="AA330" s="29"/>
      <c r="AB330" s="29"/>
      <c r="AC330" s="29"/>
      <c r="AD330" s="29"/>
      <c r="AE330" s="29"/>
      <c r="AF330" s="29"/>
      <c r="AG330" s="29"/>
      <c r="AH330" s="29"/>
      <c r="AI330" s="29"/>
      <c r="AJ330" s="29"/>
      <c r="AK330" s="29"/>
      <c r="AL330" s="29"/>
      <c r="AM330" s="29"/>
      <c r="AN330" s="29"/>
      <c r="AO330" s="29"/>
      <c r="AP330" s="29"/>
      <c r="AQ330" s="29"/>
      <c r="AR330" s="29"/>
      <c r="AS330" s="29"/>
      <c r="AT330" s="29"/>
      <c r="AU330" s="29"/>
      <c r="AV330" s="29"/>
      <c r="AW330" s="29"/>
      <c r="AX330" s="29"/>
    </row>
    <row r="331" ht="15.75" customHeight="1">
      <c r="A331" s="29"/>
      <c r="B331" s="29"/>
      <c r="C331" s="31"/>
      <c r="D331" s="29"/>
      <c r="E331" s="29"/>
      <c r="F331" s="29"/>
      <c r="G331" s="29"/>
      <c r="H331" s="29"/>
      <c r="I331" s="29"/>
      <c r="J331" s="29"/>
      <c r="K331" s="29"/>
      <c r="L331" s="29"/>
      <c r="M331" s="29"/>
      <c r="N331" s="29"/>
      <c r="O331" s="29"/>
      <c r="P331" s="29"/>
      <c r="Q331" s="29"/>
      <c r="R331" s="29"/>
      <c r="S331" s="29"/>
      <c r="T331" s="29"/>
      <c r="U331" s="29"/>
      <c r="V331" s="29"/>
      <c r="W331" s="29"/>
      <c r="X331" s="29"/>
      <c r="Y331" s="29"/>
      <c r="Z331" s="29"/>
      <c r="AA331" s="29"/>
      <c r="AB331" s="29"/>
      <c r="AC331" s="29"/>
      <c r="AD331" s="29"/>
      <c r="AE331" s="29"/>
      <c r="AF331" s="29"/>
      <c r="AG331" s="29"/>
      <c r="AH331" s="29"/>
      <c r="AI331" s="29"/>
      <c r="AJ331" s="29"/>
      <c r="AK331" s="29"/>
      <c r="AL331" s="29"/>
      <c r="AM331" s="29"/>
      <c r="AN331" s="29"/>
      <c r="AO331" s="29"/>
      <c r="AP331" s="29"/>
      <c r="AQ331" s="29"/>
      <c r="AR331" s="29"/>
      <c r="AS331" s="29"/>
      <c r="AT331" s="29"/>
      <c r="AU331" s="29"/>
      <c r="AV331" s="29"/>
      <c r="AW331" s="29"/>
      <c r="AX331" s="29"/>
    </row>
    <row r="332" ht="15.75" customHeight="1">
      <c r="A332" s="29"/>
      <c r="B332" s="29"/>
      <c r="C332" s="31"/>
      <c r="D332" s="29"/>
      <c r="E332" s="29"/>
      <c r="F332" s="29"/>
      <c r="G332" s="29"/>
      <c r="H332" s="29"/>
      <c r="I332" s="29"/>
      <c r="J332" s="29"/>
      <c r="K332" s="29"/>
      <c r="L332" s="29"/>
      <c r="M332" s="29"/>
      <c r="N332" s="29"/>
      <c r="O332" s="29"/>
      <c r="P332" s="29"/>
      <c r="Q332" s="29"/>
      <c r="R332" s="29"/>
      <c r="S332" s="29"/>
      <c r="T332" s="29"/>
      <c r="U332" s="29"/>
      <c r="V332" s="29"/>
      <c r="W332" s="29"/>
      <c r="X332" s="29"/>
      <c r="Y332" s="29"/>
      <c r="Z332" s="29"/>
      <c r="AA332" s="29"/>
      <c r="AB332" s="29"/>
      <c r="AC332" s="29"/>
      <c r="AD332" s="29"/>
      <c r="AE332" s="29"/>
      <c r="AF332" s="29"/>
      <c r="AG332" s="29"/>
      <c r="AH332" s="29"/>
      <c r="AI332" s="29"/>
      <c r="AJ332" s="29"/>
      <c r="AK332" s="29"/>
      <c r="AL332" s="29"/>
      <c r="AM332" s="29"/>
      <c r="AN332" s="29"/>
      <c r="AO332" s="29"/>
      <c r="AP332" s="29"/>
      <c r="AQ332" s="29"/>
      <c r="AR332" s="29"/>
      <c r="AS332" s="29"/>
      <c r="AT332" s="29"/>
      <c r="AU332" s="29"/>
      <c r="AV332" s="29"/>
      <c r="AW332" s="29"/>
      <c r="AX332" s="29"/>
    </row>
    <row r="333" ht="15.75" customHeight="1">
      <c r="A333" s="29"/>
      <c r="B333" s="29"/>
      <c r="C333" s="31"/>
      <c r="D333" s="29"/>
      <c r="E333" s="29"/>
      <c r="F333" s="29"/>
      <c r="G333" s="29"/>
      <c r="H333" s="29"/>
      <c r="I333" s="29"/>
      <c r="J333" s="29"/>
      <c r="K333" s="29"/>
      <c r="L333" s="29"/>
      <c r="M333" s="29"/>
      <c r="N333" s="29"/>
      <c r="O333" s="29"/>
      <c r="P333" s="29"/>
      <c r="Q333" s="29"/>
      <c r="R333" s="29"/>
      <c r="S333" s="29"/>
      <c r="T333" s="29"/>
      <c r="U333" s="29"/>
      <c r="V333" s="29"/>
      <c r="W333" s="29"/>
      <c r="X333" s="29"/>
      <c r="Y333" s="29"/>
      <c r="Z333" s="29"/>
      <c r="AA333" s="29"/>
      <c r="AB333" s="29"/>
      <c r="AC333" s="29"/>
      <c r="AD333" s="29"/>
      <c r="AE333" s="29"/>
      <c r="AF333" s="29"/>
      <c r="AG333" s="29"/>
      <c r="AH333" s="29"/>
      <c r="AI333" s="29"/>
      <c r="AJ333" s="29"/>
      <c r="AK333" s="29"/>
      <c r="AL333" s="29"/>
      <c r="AM333" s="29"/>
      <c r="AN333" s="29"/>
      <c r="AO333" s="29"/>
      <c r="AP333" s="29"/>
      <c r="AQ333" s="29"/>
      <c r="AR333" s="29"/>
      <c r="AS333" s="29"/>
      <c r="AT333" s="29"/>
      <c r="AU333" s="29"/>
      <c r="AV333" s="29"/>
      <c r="AW333" s="29"/>
      <c r="AX333" s="29"/>
    </row>
    <row r="334" ht="15.75" customHeight="1">
      <c r="A334" s="29"/>
      <c r="B334" s="29"/>
      <c r="C334" s="31"/>
      <c r="D334" s="29"/>
      <c r="E334" s="29"/>
      <c r="F334" s="29"/>
      <c r="G334" s="29"/>
      <c r="H334" s="29"/>
      <c r="I334" s="29"/>
      <c r="J334" s="29"/>
      <c r="K334" s="29"/>
      <c r="L334" s="29"/>
      <c r="M334" s="29"/>
      <c r="N334" s="29"/>
      <c r="O334" s="29"/>
      <c r="P334" s="29"/>
      <c r="Q334" s="29"/>
      <c r="R334" s="29"/>
      <c r="S334" s="29"/>
      <c r="T334" s="29"/>
      <c r="U334" s="29"/>
      <c r="V334" s="29"/>
      <c r="W334" s="29"/>
      <c r="X334" s="29"/>
      <c r="Y334" s="29"/>
      <c r="Z334" s="29"/>
      <c r="AA334" s="29"/>
      <c r="AB334" s="29"/>
      <c r="AC334" s="29"/>
      <c r="AD334" s="29"/>
      <c r="AE334" s="29"/>
      <c r="AF334" s="29"/>
      <c r="AG334" s="29"/>
      <c r="AH334" s="29"/>
      <c r="AI334" s="29"/>
      <c r="AJ334" s="29"/>
      <c r="AK334" s="29"/>
      <c r="AL334" s="29"/>
      <c r="AM334" s="29"/>
      <c r="AN334" s="29"/>
      <c r="AO334" s="29"/>
      <c r="AP334" s="29"/>
      <c r="AQ334" s="29"/>
      <c r="AR334" s="29"/>
      <c r="AS334" s="29"/>
      <c r="AT334" s="29"/>
      <c r="AU334" s="29"/>
      <c r="AV334" s="29"/>
      <c r="AW334" s="29"/>
      <c r="AX334" s="29"/>
    </row>
    <row r="335" ht="15.75" customHeight="1">
      <c r="A335" s="29"/>
      <c r="B335" s="29"/>
      <c r="C335" s="31"/>
      <c r="D335" s="29"/>
      <c r="E335" s="29"/>
      <c r="F335" s="29"/>
      <c r="G335" s="29"/>
      <c r="H335" s="29"/>
      <c r="I335" s="29"/>
      <c r="J335" s="29"/>
      <c r="K335" s="29"/>
      <c r="L335" s="29"/>
      <c r="M335" s="29"/>
      <c r="N335" s="29"/>
      <c r="O335" s="29"/>
      <c r="P335" s="29"/>
      <c r="Q335" s="29"/>
      <c r="R335" s="29"/>
      <c r="S335" s="29"/>
      <c r="T335" s="29"/>
      <c r="U335" s="29"/>
      <c r="V335" s="29"/>
      <c r="W335" s="29"/>
      <c r="X335" s="29"/>
      <c r="Y335" s="29"/>
      <c r="Z335" s="29"/>
      <c r="AA335" s="29"/>
      <c r="AB335" s="29"/>
      <c r="AC335" s="29"/>
      <c r="AD335" s="29"/>
      <c r="AE335" s="29"/>
      <c r="AF335" s="29"/>
      <c r="AG335" s="29"/>
      <c r="AH335" s="29"/>
      <c r="AI335" s="29"/>
      <c r="AJ335" s="29"/>
      <c r="AK335" s="29"/>
      <c r="AL335" s="29"/>
      <c r="AM335" s="29"/>
      <c r="AN335" s="29"/>
      <c r="AO335" s="29"/>
      <c r="AP335" s="29"/>
      <c r="AQ335" s="29"/>
      <c r="AR335" s="29"/>
      <c r="AS335" s="29"/>
      <c r="AT335" s="29"/>
      <c r="AU335" s="29"/>
      <c r="AV335" s="29"/>
      <c r="AW335" s="29"/>
      <c r="AX335" s="29"/>
    </row>
    <row r="336" ht="15.75" customHeight="1">
      <c r="A336" s="29"/>
      <c r="B336" s="29"/>
      <c r="C336" s="31"/>
      <c r="D336" s="29"/>
      <c r="E336" s="29"/>
      <c r="F336" s="29"/>
      <c r="G336" s="29"/>
      <c r="H336" s="29"/>
      <c r="I336" s="29"/>
      <c r="J336" s="29"/>
      <c r="K336" s="29"/>
      <c r="L336" s="29"/>
      <c r="M336" s="29"/>
      <c r="N336" s="29"/>
      <c r="O336" s="29"/>
      <c r="P336" s="29"/>
      <c r="Q336" s="29"/>
      <c r="R336" s="29"/>
      <c r="S336" s="29"/>
      <c r="T336" s="29"/>
      <c r="U336" s="29"/>
      <c r="V336" s="29"/>
      <c r="W336" s="29"/>
      <c r="X336" s="29"/>
      <c r="Y336" s="29"/>
      <c r="Z336" s="29"/>
      <c r="AA336" s="29"/>
      <c r="AB336" s="29"/>
      <c r="AC336" s="29"/>
      <c r="AD336" s="29"/>
      <c r="AE336" s="29"/>
      <c r="AF336" s="29"/>
      <c r="AG336" s="29"/>
      <c r="AH336" s="29"/>
      <c r="AI336" s="29"/>
      <c r="AJ336" s="29"/>
      <c r="AK336" s="29"/>
      <c r="AL336" s="29"/>
      <c r="AM336" s="29"/>
      <c r="AN336" s="29"/>
      <c r="AO336" s="29"/>
      <c r="AP336" s="29"/>
      <c r="AQ336" s="29"/>
      <c r="AR336" s="29"/>
      <c r="AS336" s="29"/>
      <c r="AT336" s="29"/>
      <c r="AU336" s="29"/>
      <c r="AV336" s="29"/>
      <c r="AW336" s="29"/>
      <c r="AX336" s="29"/>
    </row>
    <row r="337" ht="15.75" customHeight="1">
      <c r="A337" s="29"/>
      <c r="B337" s="29"/>
      <c r="C337" s="31"/>
      <c r="D337" s="29"/>
      <c r="E337" s="29"/>
      <c r="F337" s="29"/>
      <c r="G337" s="29"/>
      <c r="H337" s="29"/>
      <c r="I337" s="29"/>
      <c r="J337" s="29"/>
      <c r="K337" s="29"/>
      <c r="L337" s="29"/>
      <c r="M337" s="29"/>
      <c r="N337" s="29"/>
      <c r="O337" s="29"/>
      <c r="P337" s="29"/>
      <c r="Q337" s="29"/>
      <c r="R337" s="29"/>
      <c r="S337" s="29"/>
      <c r="T337" s="29"/>
      <c r="U337" s="29"/>
      <c r="V337" s="29"/>
      <c r="W337" s="29"/>
      <c r="X337" s="29"/>
      <c r="Y337" s="29"/>
      <c r="Z337" s="29"/>
      <c r="AA337" s="29"/>
      <c r="AB337" s="29"/>
      <c r="AC337" s="29"/>
      <c r="AD337" s="29"/>
      <c r="AE337" s="29"/>
      <c r="AF337" s="29"/>
      <c r="AG337" s="29"/>
      <c r="AH337" s="29"/>
      <c r="AI337" s="29"/>
      <c r="AJ337" s="29"/>
      <c r="AK337" s="29"/>
      <c r="AL337" s="29"/>
      <c r="AM337" s="29"/>
      <c r="AN337" s="29"/>
      <c r="AO337" s="29"/>
      <c r="AP337" s="29"/>
      <c r="AQ337" s="29"/>
      <c r="AR337" s="29"/>
      <c r="AS337" s="29"/>
      <c r="AT337" s="29"/>
      <c r="AU337" s="29"/>
      <c r="AV337" s="29"/>
      <c r="AW337" s="29"/>
      <c r="AX337" s="29"/>
    </row>
    <row r="338" ht="15.75" customHeight="1">
      <c r="A338" s="29"/>
      <c r="B338" s="29"/>
      <c r="C338" s="31"/>
      <c r="D338" s="29"/>
      <c r="E338" s="29"/>
      <c r="F338" s="29"/>
      <c r="G338" s="29"/>
      <c r="H338" s="29"/>
      <c r="I338" s="29"/>
      <c r="J338" s="29"/>
      <c r="K338" s="29"/>
      <c r="L338" s="29"/>
      <c r="M338" s="29"/>
      <c r="N338" s="29"/>
      <c r="O338" s="29"/>
      <c r="P338" s="29"/>
      <c r="Q338" s="29"/>
      <c r="R338" s="29"/>
      <c r="S338" s="29"/>
      <c r="T338" s="29"/>
      <c r="U338" s="29"/>
      <c r="V338" s="29"/>
      <c r="W338" s="29"/>
      <c r="X338" s="29"/>
      <c r="Y338" s="29"/>
      <c r="Z338" s="29"/>
      <c r="AA338" s="29"/>
      <c r="AB338" s="29"/>
      <c r="AC338" s="29"/>
      <c r="AD338" s="29"/>
      <c r="AE338" s="29"/>
      <c r="AF338" s="29"/>
      <c r="AG338" s="29"/>
      <c r="AH338" s="29"/>
      <c r="AI338" s="29"/>
      <c r="AJ338" s="29"/>
      <c r="AK338" s="29"/>
      <c r="AL338" s="29"/>
      <c r="AM338" s="29"/>
      <c r="AN338" s="29"/>
      <c r="AO338" s="29"/>
      <c r="AP338" s="29"/>
      <c r="AQ338" s="29"/>
      <c r="AR338" s="29"/>
      <c r="AS338" s="29"/>
      <c r="AT338" s="29"/>
      <c r="AU338" s="29"/>
      <c r="AV338" s="29"/>
      <c r="AW338" s="29"/>
      <c r="AX338" s="29"/>
    </row>
    <row r="339" ht="15.75" customHeight="1">
      <c r="A339" s="29"/>
      <c r="B339" s="29"/>
      <c r="C339" s="31"/>
      <c r="D339" s="29"/>
      <c r="E339" s="29"/>
      <c r="F339" s="29"/>
      <c r="G339" s="29"/>
      <c r="H339" s="29"/>
      <c r="I339" s="29"/>
      <c r="J339" s="29"/>
      <c r="K339" s="29"/>
      <c r="L339" s="29"/>
      <c r="M339" s="29"/>
      <c r="N339" s="29"/>
      <c r="O339" s="29"/>
      <c r="P339" s="29"/>
      <c r="Q339" s="29"/>
      <c r="R339" s="29"/>
      <c r="S339" s="29"/>
      <c r="T339" s="29"/>
      <c r="U339" s="29"/>
      <c r="V339" s="29"/>
      <c r="W339" s="29"/>
      <c r="X339" s="29"/>
      <c r="Y339" s="29"/>
      <c r="Z339" s="29"/>
      <c r="AA339" s="29"/>
      <c r="AB339" s="29"/>
      <c r="AC339" s="29"/>
      <c r="AD339" s="29"/>
      <c r="AE339" s="29"/>
      <c r="AF339" s="29"/>
      <c r="AG339" s="29"/>
      <c r="AH339" s="29"/>
      <c r="AI339" s="29"/>
      <c r="AJ339" s="29"/>
      <c r="AK339" s="29"/>
      <c r="AL339" s="29"/>
      <c r="AM339" s="29"/>
      <c r="AN339" s="29"/>
      <c r="AO339" s="29"/>
      <c r="AP339" s="29"/>
      <c r="AQ339" s="29"/>
      <c r="AR339" s="29"/>
      <c r="AS339" s="29"/>
      <c r="AT339" s="29"/>
      <c r="AU339" s="29"/>
      <c r="AV339" s="29"/>
      <c r="AW339" s="29"/>
      <c r="AX339" s="29"/>
    </row>
    <row r="340" ht="15.75" customHeight="1">
      <c r="A340" s="29"/>
      <c r="B340" s="29"/>
      <c r="C340" s="31"/>
      <c r="D340" s="29"/>
      <c r="E340" s="29"/>
      <c r="F340" s="29"/>
      <c r="G340" s="29"/>
      <c r="H340" s="29"/>
      <c r="I340" s="29"/>
      <c r="J340" s="29"/>
      <c r="K340" s="29"/>
      <c r="L340" s="29"/>
      <c r="M340" s="29"/>
      <c r="N340" s="29"/>
      <c r="O340" s="29"/>
      <c r="P340" s="29"/>
      <c r="Q340" s="29"/>
      <c r="R340" s="29"/>
      <c r="S340" s="29"/>
      <c r="T340" s="29"/>
      <c r="U340" s="29"/>
      <c r="V340" s="29"/>
      <c r="W340" s="29"/>
      <c r="X340" s="29"/>
      <c r="Y340" s="29"/>
      <c r="Z340" s="29"/>
      <c r="AA340" s="29"/>
      <c r="AB340" s="29"/>
      <c r="AC340" s="29"/>
      <c r="AD340" s="29"/>
      <c r="AE340" s="29"/>
      <c r="AF340" s="29"/>
      <c r="AG340" s="29"/>
      <c r="AH340" s="29"/>
      <c r="AI340" s="29"/>
      <c r="AJ340" s="29"/>
      <c r="AK340" s="29"/>
      <c r="AL340" s="29"/>
      <c r="AM340" s="29"/>
      <c r="AN340" s="29"/>
      <c r="AO340" s="29"/>
      <c r="AP340" s="29"/>
      <c r="AQ340" s="29"/>
      <c r="AR340" s="29"/>
      <c r="AS340" s="29"/>
      <c r="AT340" s="29"/>
      <c r="AU340" s="29"/>
      <c r="AV340" s="29"/>
      <c r="AW340" s="29"/>
      <c r="AX340" s="29"/>
    </row>
    <row r="341" ht="15.75" customHeight="1">
      <c r="A341" s="29"/>
      <c r="B341" s="29"/>
      <c r="C341" s="31"/>
      <c r="D341" s="29"/>
      <c r="E341" s="29"/>
      <c r="F341" s="29"/>
      <c r="G341" s="29"/>
      <c r="H341" s="29"/>
      <c r="I341" s="29"/>
      <c r="J341" s="29"/>
      <c r="K341" s="29"/>
      <c r="L341" s="29"/>
      <c r="M341" s="29"/>
      <c r="N341" s="29"/>
      <c r="O341" s="29"/>
      <c r="P341" s="29"/>
      <c r="Q341" s="29"/>
      <c r="R341" s="29"/>
      <c r="S341" s="29"/>
      <c r="T341" s="29"/>
      <c r="U341" s="29"/>
      <c r="V341" s="29"/>
      <c r="W341" s="29"/>
      <c r="X341" s="29"/>
      <c r="Y341" s="29"/>
      <c r="Z341" s="29"/>
      <c r="AA341" s="29"/>
      <c r="AB341" s="29"/>
      <c r="AC341" s="29"/>
      <c r="AD341" s="29"/>
      <c r="AE341" s="29"/>
      <c r="AF341" s="29"/>
      <c r="AG341" s="29"/>
      <c r="AH341" s="29"/>
      <c r="AI341" s="29"/>
      <c r="AJ341" s="29"/>
      <c r="AK341" s="29"/>
      <c r="AL341" s="29"/>
      <c r="AM341" s="29"/>
      <c r="AN341" s="29"/>
      <c r="AO341" s="29"/>
      <c r="AP341" s="29"/>
      <c r="AQ341" s="29"/>
      <c r="AR341" s="29"/>
      <c r="AS341" s="29"/>
      <c r="AT341" s="29"/>
      <c r="AU341" s="29"/>
      <c r="AV341" s="29"/>
      <c r="AW341" s="29"/>
      <c r="AX341" s="29"/>
    </row>
    <row r="342" ht="15.75" customHeight="1">
      <c r="A342" s="29"/>
      <c r="B342" s="29"/>
      <c r="C342" s="31"/>
      <c r="D342" s="29"/>
      <c r="E342" s="29"/>
      <c r="F342" s="29"/>
      <c r="G342" s="29"/>
      <c r="H342" s="29"/>
      <c r="I342" s="29"/>
      <c r="J342" s="29"/>
      <c r="K342" s="29"/>
      <c r="L342" s="29"/>
      <c r="M342" s="29"/>
      <c r="N342" s="29"/>
      <c r="O342" s="29"/>
      <c r="P342" s="29"/>
      <c r="Q342" s="29"/>
      <c r="R342" s="29"/>
      <c r="S342" s="29"/>
      <c r="T342" s="29"/>
      <c r="U342" s="29"/>
      <c r="V342" s="29"/>
      <c r="W342" s="29"/>
      <c r="X342" s="29"/>
      <c r="Y342" s="29"/>
      <c r="Z342" s="29"/>
      <c r="AA342" s="29"/>
      <c r="AB342" s="29"/>
      <c r="AC342" s="29"/>
      <c r="AD342" s="29"/>
      <c r="AE342" s="29"/>
      <c r="AF342" s="29"/>
      <c r="AG342" s="29"/>
      <c r="AH342" s="29"/>
      <c r="AI342" s="29"/>
      <c r="AJ342" s="29"/>
      <c r="AK342" s="29"/>
      <c r="AL342" s="29"/>
      <c r="AM342" s="29"/>
      <c r="AN342" s="29"/>
      <c r="AO342" s="29"/>
      <c r="AP342" s="29"/>
      <c r="AQ342" s="29"/>
      <c r="AR342" s="29"/>
      <c r="AS342" s="29"/>
      <c r="AT342" s="29"/>
      <c r="AU342" s="29"/>
      <c r="AV342" s="29"/>
      <c r="AW342" s="29"/>
      <c r="AX342" s="29"/>
    </row>
    <row r="343" ht="15.75" customHeight="1">
      <c r="A343" s="29"/>
      <c r="B343" s="29"/>
      <c r="C343" s="31"/>
      <c r="D343" s="29"/>
      <c r="E343" s="29"/>
      <c r="F343" s="29"/>
      <c r="G343" s="29"/>
      <c r="H343" s="29"/>
      <c r="I343" s="29"/>
      <c r="J343" s="29"/>
      <c r="K343" s="29"/>
      <c r="L343" s="29"/>
      <c r="M343" s="29"/>
      <c r="N343" s="29"/>
      <c r="O343" s="29"/>
      <c r="P343" s="29"/>
      <c r="Q343" s="29"/>
      <c r="R343" s="29"/>
      <c r="S343" s="29"/>
      <c r="T343" s="29"/>
      <c r="U343" s="29"/>
      <c r="V343" s="29"/>
      <c r="W343" s="29"/>
      <c r="X343" s="29"/>
      <c r="Y343" s="29"/>
      <c r="Z343" s="29"/>
      <c r="AA343" s="29"/>
      <c r="AB343" s="29"/>
      <c r="AC343" s="29"/>
      <c r="AD343" s="29"/>
      <c r="AE343" s="29"/>
      <c r="AF343" s="29"/>
      <c r="AG343" s="29"/>
      <c r="AH343" s="29"/>
      <c r="AI343" s="29"/>
      <c r="AJ343" s="29"/>
      <c r="AK343" s="29"/>
      <c r="AL343" s="29"/>
      <c r="AM343" s="29"/>
      <c r="AN343" s="29"/>
      <c r="AO343" s="29"/>
      <c r="AP343" s="29"/>
      <c r="AQ343" s="29"/>
      <c r="AR343" s="29"/>
      <c r="AS343" s="29"/>
      <c r="AT343" s="29"/>
      <c r="AU343" s="29"/>
      <c r="AV343" s="29"/>
      <c r="AW343" s="29"/>
      <c r="AX343" s="29"/>
    </row>
    <row r="344" ht="15.75" customHeight="1">
      <c r="A344" s="29"/>
      <c r="B344" s="29"/>
      <c r="C344" s="31"/>
      <c r="D344" s="29"/>
      <c r="E344" s="29"/>
      <c r="F344" s="29"/>
      <c r="G344" s="29"/>
      <c r="H344" s="29"/>
      <c r="I344" s="29"/>
      <c r="J344" s="29"/>
      <c r="K344" s="29"/>
      <c r="L344" s="29"/>
      <c r="M344" s="29"/>
      <c r="N344" s="29"/>
      <c r="O344" s="29"/>
      <c r="P344" s="29"/>
      <c r="Q344" s="29"/>
      <c r="R344" s="29"/>
      <c r="S344" s="29"/>
      <c r="T344" s="29"/>
      <c r="U344" s="29"/>
      <c r="V344" s="29"/>
      <c r="W344" s="29"/>
      <c r="X344" s="29"/>
      <c r="Y344" s="29"/>
      <c r="Z344" s="29"/>
      <c r="AA344" s="29"/>
      <c r="AB344" s="29"/>
      <c r="AC344" s="29"/>
      <c r="AD344" s="29"/>
      <c r="AE344" s="29"/>
      <c r="AF344" s="29"/>
      <c r="AG344" s="29"/>
      <c r="AH344" s="29"/>
      <c r="AI344" s="29"/>
      <c r="AJ344" s="29"/>
      <c r="AK344" s="29"/>
      <c r="AL344" s="29"/>
      <c r="AM344" s="29"/>
      <c r="AN344" s="29"/>
      <c r="AO344" s="29"/>
      <c r="AP344" s="29"/>
      <c r="AQ344" s="29"/>
      <c r="AR344" s="29"/>
      <c r="AS344" s="29"/>
      <c r="AT344" s="29"/>
      <c r="AU344" s="29"/>
      <c r="AV344" s="29"/>
      <c r="AW344" s="29"/>
      <c r="AX344" s="29"/>
    </row>
    <row r="345" ht="15.75" customHeight="1">
      <c r="A345" s="29"/>
      <c r="B345" s="29"/>
      <c r="C345" s="31"/>
      <c r="D345" s="29"/>
      <c r="E345" s="29"/>
      <c r="F345" s="29"/>
      <c r="G345" s="29"/>
      <c r="H345" s="29"/>
      <c r="I345" s="29"/>
      <c r="J345" s="29"/>
      <c r="K345" s="29"/>
      <c r="L345" s="29"/>
      <c r="M345" s="29"/>
      <c r="N345" s="29"/>
      <c r="O345" s="29"/>
      <c r="P345" s="29"/>
      <c r="Q345" s="29"/>
      <c r="R345" s="29"/>
      <c r="S345" s="29"/>
      <c r="T345" s="29"/>
      <c r="U345" s="29"/>
      <c r="V345" s="29"/>
      <c r="W345" s="29"/>
      <c r="X345" s="29"/>
      <c r="Y345" s="29"/>
      <c r="Z345" s="29"/>
      <c r="AA345" s="29"/>
      <c r="AB345" s="29"/>
      <c r="AC345" s="29"/>
      <c r="AD345" s="29"/>
      <c r="AE345" s="29"/>
      <c r="AF345" s="29"/>
      <c r="AG345" s="29"/>
      <c r="AH345" s="29"/>
      <c r="AI345" s="29"/>
      <c r="AJ345" s="29"/>
      <c r="AK345" s="29"/>
      <c r="AL345" s="29"/>
      <c r="AM345" s="29"/>
      <c r="AN345" s="29"/>
      <c r="AO345" s="29"/>
      <c r="AP345" s="29"/>
      <c r="AQ345" s="29"/>
      <c r="AR345" s="29"/>
      <c r="AS345" s="29"/>
      <c r="AT345" s="29"/>
      <c r="AU345" s="29"/>
      <c r="AV345" s="29"/>
      <c r="AW345" s="29"/>
      <c r="AX345" s="29"/>
    </row>
    <row r="346" ht="15.75" customHeight="1">
      <c r="A346" s="29"/>
      <c r="B346" s="29"/>
      <c r="C346" s="31"/>
      <c r="D346" s="29"/>
      <c r="E346" s="29"/>
      <c r="F346" s="29"/>
      <c r="G346" s="29"/>
      <c r="H346" s="29"/>
      <c r="I346" s="29"/>
      <c r="J346" s="29"/>
      <c r="K346" s="29"/>
      <c r="L346" s="29"/>
      <c r="M346" s="29"/>
      <c r="N346" s="29"/>
      <c r="O346" s="29"/>
      <c r="P346" s="29"/>
      <c r="Q346" s="29"/>
      <c r="R346" s="29"/>
      <c r="S346" s="29"/>
      <c r="T346" s="29"/>
      <c r="U346" s="29"/>
      <c r="V346" s="29"/>
      <c r="W346" s="29"/>
      <c r="X346" s="29"/>
      <c r="Y346" s="29"/>
      <c r="Z346" s="29"/>
      <c r="AA346" s="29"/>
      <c r="AB346" s="29"/>
      <c r="AC346" s="29"/>
      <c r="AD346" s="29"/>
      <c r="AE346" s="29"/>
      <c r="AF346" s="29"/>
      <c r="AG346" s="29"/>
      <c r="AH346" s="29"/>
      <c r="AI346" s="29"/>
      <c r="AJ346" s="29"/>
      <c r="AK346" s="29"/>
      <c r="AL346" s="29"/>
      <c r="AM346" s="29"/>
      <c r="AN346" s="29"/>
      <c r="AO346" s="29"/>
      <c r="AP346" s="29"/>
      <c r="AQ346" s="29"/>
      <c r="AR346" s="29"/>
      <c r="AS346" s="29"/>
      <c r="AT346" s="29"/>
      <c r="AU346" s="29"/>
      <c r="AV346" s="29"/>
      <c r="AW346" s="29"/>
      <c r="AX346" s="29"/>
    </row>
    <row r="347" ht="15.75" customHeight="1">
      <c r="A347" s="29"/>
      <c r="B347" s="29"/>
      <c r="C347" s="31"/>
      <c r="D347" s="29"/>
      <c r="E347" s="29"/>
      <c r="F347" s="29"/>
      <c r="G347" s="29"/>
      <c r="H347" s="29"/>
      <c r="I347" s="29"/>
      <c r="J347" s="29"/>
      <c r="K347" s="29"/>
      <c r="L347" s="29"/>
      <c r="M347" s="29"/>
      <c r="N347" s="29"/>
      <c r="O347" s="29"/>
      <c r="P347" s="29"/>
      <c r="Q347" s="29"/>
      <c r="R347" s="29"/>
      <c r="S347" s="29"/>
      <c r="T347" s="29"/>
      <c r="U347" s="29"/>
      <c r="V347" s="29"/>
      <c r="W347" s="29"/>
      <c r="X347" s="29"/>
      <c r="Y347" s="29"/>
      <c r="Z347" s="29"/>
      <c r="AA347" s="29"/>
      <c r="AB347" s="29"/>
      <c r="AC347" s="29"/>
      <c r="AD347" s="29"/>
      <c r="AE347" s="29"/>
      <c r="AF347" s="29"/>
      <c r="AG347" s="29"/>
      <c r="AH347" s="29"/>
      <c r="AI347" s="29"/>
      <c r="AJ347" s="29"/>
      <c r="AK347" s="29"/>
      <c r="AL347" s="29"/>
      <c r="AM347" s="29"/>
      <c r="AN347" s="29"/>
      <c r="AO347" s="29"/>
      <c r="AP347" s="29"/>
      <c r="AQ347" s="29"/>
      <c r="AR347" s="29"/>
      <c r="AS347" s="29"/>
      <c r="AT347" s="29"/>
      <c r="AU347" s="29"/>
      <c r="AV347" s="29"/>
      <c r="AW347" s="29"/>
      <c r="AX347" s="29"/>
    </row>
    <row r="348" ht="15.75" customHeight="1">
      <c r="A348" s="29"/>
      <c r="B348" s="29"/>
      <c r="C348" s="31"/>
      <c r="D348" s="29"/>
      <c r="E348" s="29"/>
      <c r="F348" s="29"/>
      <c r="G348" s="29"/>
      <c r="H348" s="29"/>
      <c r="I348" s="29"/>
      <c r="J348" s="29"/>
      <c r="K348" s="29"/>
      <c r="L348" s="29"/>
      <c r="M348" s="29"/>
      <c r="N348" s="29"/>
      <c r="O348" s="29"/>
      <c r="P348" s="29"/>
      <c r="Q348" s="29"/>
      <c r="R348" s="29"/>
      <c r="S348" s="29"/>
      <c r="T348" s="29"/>
      <c r="U348" s="29"/>
      <c r="V348" s="29"/>
      <c r="W348" s="29"/>
      <c r="X348" s="29"/>
      <c r="Y348" s="29"/>
      <c r="Z348" s="29"/>
      <c r="AA348" s="29"/>
      <c r="AB348" s="29"/>
      <c r="AC348" s="29"/>
      <c r="AD348" s="29"/>
      <c r="AE348" s="29"/>
      <c r="AF348" s="29"/>
      <c r="AG348" s="29"/>
      <c r="AH348" s="29"/>
      <c r="AI348" s="29"/>
      <c r="AJ348" s="29"/>
      <c r="AK348" s="29"/>
      <c r="AL348" s="29"/>
      <c r="AM348" s="29"/>
      <c r="AN348" s="29"/>
      <c r="AO348" s="29"/>
      <c r="AP348" s="29"/>
      <c r="AQ348" s="29"/>
      <c r="AR348" s="29"/>
      <c r="AS348" s="29"/>
      <c r="AT348" s="29"/>
      <c r="AU348" s="29"/>
      <c r="AV348" s="29"/>
      <c r="AW348" s="29"/>
      <c r="AX348" s="29"/>
    </row>
    <row r="349" ht="15.75" customHeight="1">
      <c r="A349" s="29"/>
      <c r="B349" s="29"/>
      <c r="C349" s="31"/>
      <c r="D349" s="29"/>
      <c r="E349" s="29"/>
      <c r="F349" s="29"/>
      <c r="G349" s="29"/>
      <c r="H349" s="29"/>
      <c r="I349" s="29"/>
      <c r="J349" s="29"/>
      <c r="K349" s="29"/>
      <c r="L349" s="29"/>
      <c r="M349" s="29"/>
      <c r="N349" s="29"/>
      <c r="O349" s="29"/>
      <c r="P349" s="29"/>
      <c r="Q349" s="29"/>
      <c r="R349" s="29"/>
      <c r="S349" s="29"/>
      <c r="T349" s="29"/>
      <c r="U349" s="29"/>
      <c r="V349" s="29"/>
      <c r="W349" s="29"/>
      <c r="X349" s="29"/>
      <c r="Y349" s="29"/>
      <c r="Z349" s="29"/>
      <c r="AA349" s="29"/>
      <c r="AB349" s="29"/>
      <c r="AC349" s="29"/>
      <c r="AD349" s="29"/>
      <c r="AE349" s="29"/>
      <c r="AF349" s="29"/>
      <c r="AG349" s="29"/>
      <c r="AH349" s="29"/>
      <c r="AI349" s="29"/>
      <c r="AJ349" s="29"/>
      <c r="AK349" s="29"/>
      <c r="AL349" s="29"/>
      <c r="AM349" s="29"/>
      <c r="AN349" s="29"/>
      <c r="AO349" s="29"/>
      <c r="AP349" s="29"/>
      <c r="AQ349" s="29"/>
      <c r="AR349" s="29"/>
      <c r="AS349" s="29"/>
      <c r="AT349" s="29"/>
      <c r="AU349" s="29"/>
      <c r="AV349" s="29"/>
      <c r="AW349" s="29"/>
      <c r="AX349" s="29"/>
    </row>
    <row r="350" ht="15.75" customHeight="1">
      <c r="A350" s="29"/>
      <c r="B350" s="29"/>
      <c r="C350" s="31"/>
      <c r="D350" s="29"/>
      <c r="E350" s="29"/>
      <c r="F350" s="29"/>
      <c r="G350" s="29"/>
      <c r="H350" s="29"/>
      <c r="I350" s="29"/>
      <c r="J350" s="29"/>
      <c r="K350" s="29"/>
      <c r="L350" s="29"/>
      <c r="M350" s="29"/>
      <c r="N350" s="29"/>
      <c r="O350" s="29"/>
      <c r="P350" s="29"/>
      <c r="Q350" s="29"/>
      <c r="R350" s="29"/>
      <c r="S350" s="29"/>
      <c r="T350" s="29"/>
      <c r="U350" s="29"/>
      <c r="V350" s="29"/>
      <c r="W350" s="29"/>
      <c r="X350" s="29"/>
      <c r="Y350" s="29"/>
      <c r="Z350" s="29"/>
      <c r="AA350" s="29"/>
      <c r="AB350" s="29"/>
      <c r="AC350" s="29"/>
      <c r="AD350" s="29"/>
      <c r="AE350" s="29"/>
      <c r="AF350" s="29"/>
      <c r="AG350" s="29"/>
      <c r="AH350" s="29"/>
      <c r="AI350" s="29"/>
      <c r="AJ350" s="29"/>
      <c r="AK350" s="29"/>
      <c r="AL350" s="29"/>
      <c r="AM350" s="29"/>
      <c r="AN350" s="29"/>
      <c r="AO350" s="29"/>
      <c r="AP350" s="29"/>
      <c r="AQ350" s="29"/>
      <c r="AR350" s="29"/>
      <c r="AS350" s="29"/>
      <c r="AT350" s="29"/>
      <c r="AU350" s="29"/>
      <c r="AV350" s="29"/>
      <c r="AW350" s="29"/>
      <c r="AX350" s="29"/>
    </row>
    <row r="351" ht="15.75" customHeight="1">
      <c r="A351" s="29"/>
      <c r="B351" s="29"/>
      <c r="C351" s="31"/>
      <c r="D351" s="29"/>
      <c r="E351" s="29"/>
      <c r="F351" s="29"/>
      <c r="G351" s="29"/>
      <c r="H351" s="29"/>
      <c r="I351" s="29"/>
      <c r="J351" s="29"/>
      <c r="K351" s="29"/>
      <c r="L351" s="29"/>
      <c r="M351" s="29"/>
      <c r="N351" s="29"/>
      <c r="O351" s="29"/>
      <c r="P351" s="29"/>
      <c r="Q351" s="29"/>
      <c r="R351" s="29"/>
      <c r="S351" s="29"/>
      <c r="T351" s="29"/>
      <c r="U351" s="29"/>
      <c r="V351" s="29"/>
      <c r="W351" s="29"/>
      <c r="X351" s="29"/>
      <c r="Y351" s="29"/>
      <c r="Z351" s="29"/>
      <c r="AA351" s="29"/>
      <c r="AB351" s="29"/>
      <c r="AC351" s="29"/>
      <c r="AD351" s="29"/>
      <c r="AE351" s="29"/>
      <c r="AF351" s="29"/>
      <c r="AG351" s="29"/>
      <c r="AH351" s="29"/>
      <c r="AI351" s="29"/>
      <c r="AJ351" s="29"/>
      <c r="AK351" s="29"/>
      <c r="AL351" s="29"/>
      <c r="AM351" s="29"/>
      <c r="AN351" s="29"/>
      <c r="AO351" s="29"/>
      <c r="AP351" s="29"/>
      <c r="AQ351" s="29"/>
      <c r="AR351" s="29"/>
      <c r="AS351" s="29"/>
      <c r="AT351" s="29"/>
      <c r="AU351" s="29"/>
      <c r="AV351" s="29"/>
      <c r="AW351" s="29"/>
      <c r="AX351" s="29"/>
    </row>
    <row r="352" ht="15.75" customHeight="1">
      <c r="A352" s="29"/>
      <c r="B352" s="29"/>
      <c r="C352" s="31"/>
      <c r="D352" s="29"/>
      <c r="E352" s="29"/>
      <c r="F352" s="29"/>
      <c r="G352" s="29"/>
      <c r="H352" s="29"/>
      <c r="I352" s="29"/>
      <c r="J352" s="29"/>
      <c r="K352" s="29"/>
      <c r="L352" s="29"/>
      <c r="M352" s="29"/>
      <c r="N352" s="29"/>
      <c r="O352" s="29"/>
      <c r="P352" s="29"/>
      <c r="Q352" s="29"/>
      <c r="R352" s="29"/>
      <c r="S352" s="29"/>
      <c r="T352" s="29"/>
      <c r="U352" s="29"/>
      <c r="V352" s="29"/>
      <c r="W352" s="29"/>
      <c r="X352" s="29"/>
      <c r="Y352" s="29"/>
      <c r="Z352" s="29"/>
      <c r="AA352" s="29"/>
      <c r="AB352" s="29"/>
      <c r="AC352" s="29"/>
      <c r="AD352" s="29"/>
      <c r="AE352" s="29"/>
      <c r="AF352" s="29"/>
      <c r="AG352" s="29"/>
      <c r="AH352" s="29"/>
      <c r="AI352" s="29"/>
      <c r="AJ352" s="29"/>
      <c r="AK352" s="29"/>
      <c r="AL352" s="29"/>
      <c r="AM352" s="29"/>
      <c r="AN352" s="29"/>
      <c r="AO352" s="29"/>
      <c r="AP352" s="29"/>
      <c r="AQ352" s="29"/>
      <c r="AR352" s="29"/>
      <c r="AS352" s="29"/>
      <c r="AT352" s="29"/>
      <c r="AU352" s="29"/>
      <c r="AV352" s="29"/>
      <c r="AW352" s="29"/>
      <c r="AX352" s="29"/>
    </row>
    <row r="353" ht="15.75" customHeight="1">
      <c r="A353" s="29"/>
      <c r="B353" s="29"/>
      <c r="C353" s="31"/>
      <c r="D353" s="29"/>
      <c r="E353" s="29"/>
      <c r="F353" s="29"/>
      <c r="G353" s="29"/>
      <c r="H353" s="29"/>
      <c r="I353" s="29"/>
      <c r="J353" s="29"/>
      <c r="K353" s="29"/>
      <c r="L353" s="29"/>
      <c r="M353" s="29"/>
      <c r="N353" s="29"/>
      <c r="O353" s="29"/>
      <c r="P353" s="29"/>
      <c r="Q353" s="29"/>
      <c r="R353" s="29"/>
      <c r="S353" s="29"/>
      <c r="T353" s="29"/>
      <c r="U353" s="29"/>
      <c r="V353" s="29"/>
      <c r="W353" s="29"/>
      <c r="X353" s="29"/>
      <c r="Y353" s="29"/>
      <c r="Z353" s="29"/>
      <c r="AA353" s="29"/>
      <c r="AB353" s="29"/>
      <c r="AC353" s="29"/>
      <c r="AD353" s="29"/>
      <c r="AE353" s="29"/>
      <c r="AF353" s="29"/>
      <c r="AG353" s="29"/>
      <c r="AH353" s="29"/>
      <c r="AI353" s="29"/>
      <c r="AJ353" s="29"/>
      <c r="AK353" s="29"/>
      <c r="AL353" s="29"/>
      <c r="AM353" s="29"/>
      <c r="AN353" s="29"/>
      <c r="AO353" s="29"/>
      <c r="AP353" s="29"/>
      <c r="AQ353" s="29"/>
      <c r="AR353" s="29"/>
      <c r="AS353" s="29"/>
      <c r="AT353" s="29"/>
      <c r="AU353" s="29"/>
      <c r="AV353" s="29"/>
      <c r="AW353" s="29"/>
      <c r="AX353" s="29"/>
    </row>
    <row r="354" ht="15.75" customHeight="1">
      <c r="A354" s="29"/>
      <c r="B354" s="29"/>
      <c r="C354" s="31"/>
      <c r="D354" s="29"/>
      <c r="E354" s="29"/>
      <c r="F354" s="29"/>
      <c r="G354" s="29"/>
      <c r="H354" s="29"/>
      <c r="I354" s="29"/>
      <c r="J354" s="29"/>
      <c r="K354" s="29"/>
      <c r="L354" s="29"/>
      <c r="M354" s="29"/>
      <c r="N354" s="29"/>
      <c r="O354" s="29"/>
      <c r="P354" s="29"/>
      <c r="Q354" s="29"/>
      <c r="R354" s="29"/>
      <c r="S354" s="29"/>
      <c r="T354" s="29"/>
      <c r="U354" s="29"/>
      <c r="V354" s="29"/>
      <c r="W354" s="29"/>
      <c r="X354" s="29"/>
      <c r="Y354" s="29"/>
      <c r="Z354" s="29"/>
      <c r="AA354" s="29"/>
      <c r="AB354" s="29"/>
      <c r="AC354" s="29"/>
      <c r="AD354" s="29"/>
      <c r="AE354" s="29"/>
      <c r="AF354" s="29"/>
      <c r="AG354" s="29"/>
      <c r="AH354" s="29"/>
      <c r="AI354" s="29"/>
      <c r="AJ354" s="29"/>
      <c r="AK354" s="29"/>
      <c r="AL354" s="29"/>
      <c r="AM354" s="29"/>
      <c r="AN354" s="29"/>
      <c r="AO354" s="29"/>
      <c r="AP354" s="29"/>
      <c r="AQ354" s="29"/>
      <c r="AR354" s="29"/>
      <c r="AS354" s="29"/>
      <c r="AT354" s="29"/>
      <c r="AU354" s="29"/>
      <c r="AV354" s="29"/>
      <c r="AW354" s="29"/>
      <c r="AX354" s="29"/>
    </row>
    <row r="355" ht="15.75" customHeight="1">
      <c r="A355" s="29"/>
      <c r="B355" s="29"/>
      <c r="C355" s="31"/>
      <c r="D355" s="29"/>
      <c r="E355" s="29"/>
      <c r="F355" s="29"/>
      <c r="G355" s="29"/>
      <c r="H355" s="29"/>
      <c r="I355" s="29"/>
      <c r="J355" s="29"/>
      <c r="K355" s="29"/>
      <c r="L355" s="29"/>
      <c r="M355" s="29"/>
      <c r="N355" s="29"/>
      <c r="O355" s="29"/>
      <c r="P355" s="29"/>
      <c r="Q355" s="29"/>
      <c r="R355" s="29"/>
      <c r="S355" s="29"/>
      <c r="T355" s="29"/>
      <c r="U355" s="29"/>
      <c r="V355" s="29"/>
      <c r="W355" s="29"/>
      <c r="X355" s="29"/>
      <c r="Y355" s="29"/>
      <c r="Z355" s="29"/>
      <c r="AA355" s="29"/>
      <c r="AB355" s="29"/>
      <c r="AC355" s="29"/>
      <c r="AD355" s="29"/>
      <c r="AE355" s="29"/>
      <c r="AF355" s="29"/>
      <c r="AG355" s="29"/>
      <c r="AH355" s="29"/>
      <c r="AI355" s="29"/>
      <c r="AJ355" s="29"/>
      <c r="AK355" s="29"/>
      <c r="AL355" s="29"/>
      <c r="AM355" s="29"/>
      <c r="AN355" s="29"/>
      <c r="AO355" s="29"/>
      <c r="AP355" s="29"/>
      <c r="AQ355" s="29"/>
      <c r="AR355" s="29"/>
      <c r="AS355" s="29"/>
      <c r="AT355" s="29"/>
      <c r="AU355" s="29"/>
      <c r="AV355" s="29"/>
      <c r="AW355" s="29"/>
      <c r="AX355" s="29"/>
    </row>
    <row r="356" ht="15.75" customHeight="1">
      <c r="A356" s="29"/>
      <c r="B356" s="29"/>
      <c r="C356" s="31"/>
      <c r="D356" s="29"/>
      <c r="E356" s="29"/>
      <c r="F356" s="29"/>
      <c r="G356" s="29"/>
      <c r="H356" s="29"/>
      <c r="I356" s="29"/>
      <c r="J356" s="29"/>
      <c r="K356" s="29"/>
      <c r="L356" s="29"/>
      <c r="M356" s="29"/>
      <c r="N356" s="29"/>
      <c r="O356" s="29"/>
      <c r="P356" s="29"/>
      <c r="Q356" s="29"/>
      <c r="R356" s="29"/>
      <c r="S356" s="29"/>
      <c r="T356" s="29"/>
      <c r="U356" s="29"/>
      <c r="V356" s="29"/>
      <c r="W356" s="29"/>
      <c r="X356" s="29"/>
      <c r="Y356" s="29"/>
      <c r="Z356" s="29"/>
      <c r="AA356" s="29"/>
      <c r="AB356" s="29"/>
      <c r="AC356" s="29"/>
      <c r="AD356" s="29"/>
      <c r="AE356" s="29"/>
      <c r="AF356" s="29"/>
      <c r="AG356" s="29"/>
      <c r="AH356" s="29"/>
      <c r="AI356" s="29"/>
      <c r="AJ356" s="29"/>
      <c r="AK356" s="29"/>
      <c r="AL356" s="29"/>
      <c r="AM356" s="29"/>
      <c r="AN356" s="29"/>
      <c r="AO356" s="29"/>
      <c r="AP356" s="29"/>
      <c r="AQ356" s="29"/>
      <c r="AR356" s="29"/>
      <c r="AS356" s="29"/>
      <c r="AT356" s="29"/>
      <c r="AU356" s="29"/>
      <c r="AV356" s="29"/>
      <c r="AW356" s="29"/>
      <c r="AX356" s="29"/>
    </row>
    <row r="357" ht="15.75" customHeight="1">
      <c r="A357" s="29"/>
      <c r="B357" s="29"/>
      <c r="C357" s="31"/>
      <c r="D357" s="29"/>
      <c r="E357" s="29"/>
      <c r="F357" s="29"/>
      <c r="G357" s="29"/>
      <c r="H357" s="29"/>
      <c r="I357" s="29"/>
      <c r="J357" s="29"/>
      <c r="K357" s="29"/>
      <c r="L357" s="29"/>
      <c r="M357" s="29"/>
      <c r="N357" s="29"/>
      <c r="O357" s="29"/>
      <c r="P357" s="29"/>
      <c r="Q357" s="29"/>
      <c r="R357" s="29"/>
      <c r="S357" s="29"/>
      <c r="T357" s="29"/>
      <c r="U357" s="29"/>
      <c r="V357" s="29"/>
      <c r="W357" s="29"/>
      <c r="X357" s="29"/>
      <c r="Y357" s="29"/>
      <c r="Z357" s="29"/>
      <c r="AA357" s="29"/>
      <c r="AB357" s="29"/>
      <c r="AC357" s="29"/>
      <c r="AD357" s="29"/>
      <c r="AE357" s="29"/>
      <c r="AF357" s="29"/>
      <c r="AG357" s="29"/>
      <c r="AH357" s="29"/>
      <c r="AI357" s="29"/>
      <c r="AJ357" s="29"/>
      <c r="AK357" s="29"/>
      <c r="AL357" s="29"/>
      <c r="AM357" s="29"/>
      <c r="AN357" s="29"/>
      <c r="AO357" s="29"/>
      <c r="AP357" s="29"/>
      <c r="AQ357" s="29"/>
      <c r="AR357" s="29"/>
      <c r="AS357" s="29"/>
      <c r="AT357" s="29"/>
      <c r="AU357" s="29"/>
      <c r="AV357" s="29"/>
      <c r="AW357" s="29"/>
      <c r="AX357" s="29"/>
    </row>
    <row r="358" ht="15.75" customHeight="1">
      <c r="A358" s="29"/>
      <c r="B358" s="29"/>
      <c r="C358" s="31"/>
      <c r="D358" s="29"/>
      <c r="E358" s="29"/>
      <c r="F358" s="29"/>
      <c r="G358" s="29"/>
      <c r="H358" s="29"/>
      <c r="I358" s="29"/>
      <c r="J358" s="29"/>
      <c r="K358" s="29"/>
      <c r="L358" s="29"/>
      <c r="M358" s="29"/>
      <c r="N358" s="29"/>
      <c r="O358" s="29"/>
      <c r="P358" s="29"/>
      <c r="Q358" s="29"/>
      <c r="R358" s="29"/>
      <c r="S358" s="29"/>
      <c r="T358" s="29"/>
      <c r="U358" s="29"/>
      <c r="V358" s="29"/>
      <c r="W358" s="29"/>
      <c r="X358" s="29"/>
      <c r="Y358" s="29"/>
      <c r="Z358" s="29"/>
      <c r="AA358" s="29"/>
      <c r="AB358" s="29"/>
      <c r="AC358" s="29"/>
      <c r="AD358" s="29"/>
      <c r="AE358" s="29"/>
      <c r="AF358" s="29"/>
      <c r="AG358" s="29"/>
      <c r="AH358" s="29"/>
      <c r="AI358" s="29"/>
      <c r="AJ358" s="29"/>
      <c r="AK358" s="29"/>
      <c r="AL358" s="29"/>
      <c r="AM358" s="29"/>
      <c r="AN358" s="29"/>
      <c r="AO358" s="29"/>
      <c r="AP358" s="29"/>
      <c r="AQ358" s="29"/>
      <c r="AR358" s="29"/>
      <c r="AS358" s="29"/>
      <c r="AT358" s="29"/>
      <c r="AU358" s="29"/>
      <c r="AV358" s="29"/>
      <c r="AW358" s="29"/>
      <c r="AX358" s="29"/>
    </row>
    <row r="359" ht="15.75" customHeight="1">
      <c r="A359" s="29"/>
      <c r="B359" s="29"/>
      <c r="C359" s="31"/>
      <c r="D359" s="29"/>
      <c r="E359" s="29"/>
      <c r="F359" s="29"/>
      <c r="G359" s="29"/>
      <c r="H359" s="29"/>
      <c r="I359" s="29"/>
      <c r="J359" s="29"/>
      <c r="K359" s="29"/>
      <c r="L359" s="29"/>
      <c r="M359" s="29"/>
      <c r="N359" s="29"/>
      <c r="O359" s="29"/>
      <c r="P359" s="29"/>
      <c r="Q359" s="29"/>
      <c r="R359" s="29"/>
      <c r="S359" s="29"/>
      <c r="T359" s="29"/>
      <c r="U359" s="29"/>
      <c r="V359" s="29"/>
      <c r="W359" s="29"/>
      <c r="X359" s="29"/>
      <c r="Y359" s="29"/>
      <c r="Z359" s="29"/>
      <c r="AA359" s="29"/>
      <c r="AB359" s="29"/>
      <c r="AC359" s="29"/>
      <c r="AD359" s="29"/>
      <c r="AE359" s="29"/>
      <c r="AF359" s="29"/>
      <c r="AG359" s="29"/>
      <c r="AH359" s="29"/>
      <c r="AI359" s="29"/>
      <c r="AJ359" s="29"/>
      <c r="AK359" s="29"/>
      <c r="AL359" s="29"/>
      <c r="AM359" s="29"/>
      <c r="AN359" s="29"/>
      <c r="AO359" s="29"/>
      <c r="AP359" s="29"/>
      <c r="AQ359" s="29"/>
      <c r="AR359" s="29"/>
      <c r="AS359" s="29"/>
      <c r="AT359" s="29"/>
      <c r="AU359" s="29"/>
      <c r="AV359" s="29"/>
      <c r="AW359" s="29"/>
      <c r="AX359" s="29"/>
    </row>
    <row r="360" ht="15.75" customHeight="1">
      <c r="A360" s="29"/>
      <c r="B360" s="29"/>
      <c r="C360" s="31"/>
      <c r="D360" s="29"/>
      <c r="E360" s="29"/>
      <c r="F360" s="29"/>
      <c r="G360" s="29"/>
      <c r="H360" s="29"/>
      <c r="I360" s="29"/>
      <c r="J360" s="29"/>
      <c r="K360" s="29"/>
      <c r="L360" s="29"/>
      <c r="M360" s="29"/>
      <c r="N360" s="29"/>
      <c r="O360" s="29"/>
      <c r="P360" s="29"/>
      <c r="Q360" s="29"/>
      <c r="R360" s="29"/>
      <c r="S360" s="29"/>
      <c r="T360" s="29"/>
      <c r="U360" s="29"/>
      <c r="V360" s="29"/>
      <c r="W360" s="29"/>
      <c r="X360" s="29"/>
      <c r="Y360" s="29"/>
      <c r="Z360" s="29"/>
      <c r="AA360" s="29"/>
      <c r="AB360" s="29"/>
      <c r="AC360" s="29"/>
      <c r="AD360" s="29"/>
      <c r="AE360" s="29"/>
      <c r="AF360" s="29"/>
      <c r="AG360" s="29"/>
      <c r="AH360" s="29"/>
      <c r="AI360" s="29"/>
      <c r="AJ360" s="29"/>
      <c r="AK360" s="29"/>
      <c r="AL360" s="29"/>
      <c r="AM360" s="29"/>
      <c r="AN360" s="29"/>
      <c r="AO360" s="29"/>
      <c r="AP360" s="29"/>
      <c r="AQ360" s="29"/>
      <c r="AR360" s="29"/>
      <c r="AS360" s="29"/>
      <c r="AT360" s="29"/>
      <c r="AU360" s="29"/>
      <c r="AV360" s="29"/>
      <c r="AW360" s="29"/>
      <c r="AX360" s="29"/>
    </row>
    <row r="361" ht="15.75" customHeight="1">
      <c r="A361" s="29"/>
      <c r="B361" s="29"/>
      <c r="C361" s="31"/>
      <c r="D361" s="29"/>
      <c r="E361" s="29"/>
      <c r="F361" s="29"/>
      <c r="G361" s="29"/>
      <c r="H361" s="29"/>
      <c r="I361" s="29"/>
      <c r="J361" s="29"/>
      <c r="K361" s="29"/>
      <c r="L361" s="29"/>
      <c r="M361" s="29"/>
      <c r="N361" s="29"/>
      <c r="O361" s="29"/>
      <c r="P361" s="29"/>
      <c r="Q361" s="29"/>
      <c r="R361" s="29"/>
      <c r="S361" s="29"/>
      <c r="T361" s="29"/>
      <c r="U361" s="29"/>
      <c r="V361" s="29"/>
      <c r="W361" s="29"/>
      <c r="X361" s="29"/>
      <c r="Y361" s="29"/>
      <c r="Z361" s="29"/>
      <c r="AA361" s="29"/>
      <c r="AB361" s="29"/>
      <c r="AC361" s="29"/>
      <c r="AD361" s="29"/>
      <c r="AE361" s="29"/>
      <c r="AF361" s="29"/>
      <c r="AG361" s="29"/>
      <c r="AH361" s="29"/>
      <c r="AI361" s="29"/>
      <c r="AJ361" s="29"/>
      <c r="AK361" s="29"/>
      <c r="AL361" s="29"/>
      <c r="AM361" s="29"/>
      <c r="AN361" s="29"/>
      <c r="AO361" s="29"/>
      <c r="AP361" s="29"/>
      <c r="AQ361" s="29"/>
      <c r="AR361" s="29"/>
      <c r="AS361" s="29"/>
      <c r="AT361" s="29"/>
      <c r="AU361" s="29"/>
      <c r="AV361" s="29"/>
      <c r="AW361" s="29"/>
      <c r="AX361" s="29"/>
    </row>
    <row r="362" ht="15.75" customHeight="1">
      <c r="A362" s="29"/>
      <c r="B362" s="29"/>
      <c r="C362" s="31"/>
      <c r="D362" s="29"/>
      <c r="E362" s="29"/>
      <c r="F362" s="29"/>
      <c r="G362" s="29"/>
      <c r="H362" s="29"/>
      <c r="I362" s="29"/>
      <c r="J362" s="29"/>
      <c r="K362" s="29"/>
      <c r="L362" s="29"/>
      <c r="M362" s="29"/>
      <c r="N362" s="29"/>
      <c r="O362" s="29"/>
      <c r="P362" s="29"/>
      <c r="Q362" s="29"/>
      <c r="R362" s="29"/>
      <c r="S362" s="29"/>
      <c r="T362" s="29"/>
      <c r="U362" s="29"/>
      <c r="V362" s="29"/>
      <c r="W362" s="29"/>
      <c r="X362" s="29"/>
      <c r="Y362" s="29"/>
      <c r="Z362" s="29"/>
      <c r="AA362" s="29"/>
      <c r="AB362" s="29"/>
      <c r="AC362" s="29"/>
      <c r="AD362" s="29"/>
      <c r="AE362" s="29"/>
      <c r="AF362" s="29"/>
      <c r="AG362" s="29"/>
      <c r="AH362" s="29"/>
      <c r="AI362" s="29"/>
      <c r="AJ362" s="29"/>
      <c r="AK362" s="29"/>
      <c r="AL362" s="29"/>
      <c r="AM362" s="29"/>
      <c r="AN362" s="29"/>
      <c r="AO362" s="29"/>
      <c r="AP362" s="29"/>
      <c r="AQ362" s="29"/>
      <c r="AR362" s="29"/>
      <c r="AS362" s="29"/>
      <c r="AT362" s="29"/>
      <c r="AU362" s="29"/>
      <c r="AV362" s="29"/>
      <c r="AW362" s="29"/>
      <c r="AX362" s="29"/>
    </row>
    <row r="363" ht="15.75" customHeight="1">
      <c r="A363" s="29"/>
      <c r="B363" s="29"/>
      <c r="C363" s="31"/>
      <c r="D363" s="29"/>
      <c r="E363" s="29"/>
      <c r="F363" s="29"/>
      <c r="G363" s="29"/>
      <c r="H363" s="29"/>
      <c r="I363" s="29"/>
      <c r="J363" s="29"/>
      <c r="K363" s="29"/>
      <c r="L363" s="29"/>
      <c r="M363" s="29"/>
      <c r="N363" s="29"/>
      <c r="O363" s="29"/>
      <c r="P363" s="29"/>
      <c r="Q363" s="29"/>
      <c r="R363" s="29"/>
      <c r="S363" s="29"/>
      <c r="T363" s="29"/>
      <c r="U363" s="29"/>
      <c r="V363" s="29"/>
      <c r="W363" s="29"/>
      <c r="X363" s="29"/>
      <c r="Y363" s="29"/>
      <c r="Z363" s="29"/>
      <c r="AA363" s="29"/>
      <c r="AB363" s="29"/>
      <c r="AC363" s="29"/>
      <c r="AD363" s="29"/>
      <c r="AE363" s="29"/>
      <c r="AF363" s="29"/>
      <c r="AG363" s="29"/>
      <c r="AH363" s="29"/>
      <c r="AI363" s="29"/>
      <c r="AJ363" s="29"/>
      <c r="AK363" s="29"/>
      <c r="AL363" s="29"/>
      <c r="AM363" s="29"/>
      <c r="AN363" s="29"/>
      <c r="AO363" s="29"/>
      <c r="AP363" s="29"/>
      <c r="AQ363" s="29"/>
      <c r="AR363" s="29"/>
      <c r="AS363" s="29"/>
      <c r="AT363" s="29"/>
      <c r="AU363" s="29"/>
      <c r="AV363" s="29"/>
      <c r="AW363" s="29"/>
      <c r="AX363" s="29"/>
    </row>
    <row r="364" ht="15.75" customHeight="1">
      <c r="A364" s="29"/>
      <c r="B364" s="29"/>
      <c r="C364" s="31"/>
      <c r="D364" s="29"/>
      <c r="E364" s="29"/>
      <c r="F364" s="29"/>
      <c r="G364" s="29"/>
      <c r="H364" s="29"/>
      <c r="I364" s="29"/>
      <c r="J364" s="29"/>
      <c r="K364" s="29"/>
      <c r="L364" s="29"/>
      <c r="M364" s="29"/>
      <c r="N364" s="29"/>
      <c r="O364" s="29"/>
      <c r="P364" s="29"/>
      <c r="Q364" s="29"/>
      <c r="R364" s="29"/>
      <c r="S364" s="29"/>
      <c r="T364" s="29"/>
      <c r="U364" s="29"/>
      <c r="V364" s="29"/>
      <c r="W364" s="29"/>
      <c r="X364" s="29"/>
      <c r="Y364" s="29"/>
      <c r="Z364" s="29"/>
      <c r="AA364" s="29"/>
      <c r="AB364" s="29"/>
      <c r="AC364" s="29"/>
      <c r="AD364" s="29"/>
      <c r="AE364" s="29"/>
      <c r="AF364" s="29"/>
      <c r="AG364" s="29"/>
      <c r="AH364" s="29"/>
      <c r="AI364" s="29"/>
      <c r="AJ364" s="29"/>
      <c r="AK364" s="29"/>
      <c r="AL364" s="29"/>
      <c r="AM364" s="29"/>
      <c r="AN364" s="29"/>
      <c r="AO364" s="29"/>
      <c r="AP364" s="29"/>
      <c r="AQ364" s="29"/>
      <c r="AR364" s="29"/>
      <c r="AS364" s="29"/>
      <c r="AT364" s="29"/>
      <c r="AU364" s="29"/>
      <c r="AV364" s="29"/>
      <c r="AW364" s="29"/>
      <c r="AX364" s="29"/>
    </row>
    <row r="365" ht="15.75" customHeight="1">
      <c r="A365" s="29"/>
      <c r="B365" s="29"/>
      <c r="C365" s="31"/>
      <c r="D365" s="29"/>
      <c r="E365" s="29"/>
      <c r="F365" s="29"/>
      <c r="G365" s="29"/>
      <c r="H365" s="29"/>
      <c r="I365" s="29"/>
      <c r="J365" s="29"/>
      <c r="K365" s="29"/>
      <c r="L365" s="29"/>
      <c r="M365" s="29"/>
      <c r="N365" s="29"/>
      <c r="O365" s="29"/>
      <c r="P365" s="29"/>
      <c r="Q365" s="29"/>
      <c r="R365" s="29"/>
      <c r="S365" s="29"/>
      <c r="T365" s="29"/>
      <c r="U365" s="29"/>
      <c r="V365" s="29"/>
      <c r="W365" s="29"/>
      <c r="X365" s="29"/>
      <c r="Y365" s="29"/>
      <c r="Z365" s="29"/>
      <c r="AA365" s="29"/>
      <c r="AB365" s="29"/>
      <c r="AC365" s="29"/>
      <c r="AD365" s="29"/>
      <c r="AE365" s="29"/>
      <c r="AF365" s="29"/>
      <c r="AG365" s="29"/>
      <c r="AH365" s="29"/>
      <c r="AI365" s="29"/>
      <c r="AJ365" s="29"/>
      <c r="AK365" s="29"/>
      <c r="AL365" s="29"/>
      <c r="AM365" s="29"/>
      <c r="AN365" s="29"/>
      <c r="AO365" s="29"/>
      <c r="AP365" s="29"/>
      <c r="AQ365" s="29"/>
      <c r="AR365" s="29"/>
      <c r="AS365" s="29"/>
      <c r="AT365" s="29"/>
      <c r="AU365" s="29"/>
      <c r="AV365" s="29"/>
      <c r="AW365" s="29"/>
      <c r="AX365" s="29"/>
    </row>
    <row r="366" ht="15.75" customHeight="1">
      <c r="A366" s="29"/>
      <c r="B366" s="29"/>
      <c r="C366" s="31"/>
      <c r="D366" s="29"/>
      <c r="E366" s="29"/>
      <c r="F366" s="29"/>
      <c r="G366" s="29"/>
      <c r="H366" s="29"/>
      <c r="I366" s="29"/>
      <c r="J366" s="29"/>
      <c r="K366" s="29"/>
      <c r="L366" s="29"/>
      <c r="M366" s="29"/>
      <c r="N366" s="29"/>
      <c r="O366" s="29"/>
      <c r="P366" s="29"/>
      <c r="Q366" s="29"/>
      <c r="R366" s="29"/>
      <c r="S366" s="29"/>
      <c r="T366" s="29"/>
      <c r="U366" s="29"/>
      <c r="V366" s="29"/>
      <c r="W366" s="29"/>
      <c r="X366" s="29"/>
      <c r="Y366" s="29"/>
      <c r="Z366" s="29"/>
      <c r="AA366" s="29"/>
      <c r="AB366" s="29"/>
      <c r="AC366" s="29"/>
      <c r="AD366" s="29"/>
      <c r="AE366" s="29"/>
      <c r="AF366" s="29"/>
      <c r="AG366" s="29"/>
      <c r="AH366" s="29"/>
      <c r="AI366" s="29"/>
      <c r="AJ366" s="29"/>
      <c r="AK366" s="29"/>
      <c r="AL366" s="29"/>
      <c r="AM366" s="29"/>
      <c r="AN366" s="29"/>
      <c r="AO366" s="29"/>
      <c r="AP366" s="29"/>
      <c r="AQ366" s="29"/>
      <c r="AR366" s="29"/>
      <c r="AS366" s="29"/>
      <c r="AT366" s="29"/>
      <c r="AU366" s="29"/>
      <c r="AV366" s="29"/>
      <c r="AW366" s="29"/>
      <c r="AX366" s="29"/>
    </row>
    <row r="367" ht="15.75" customHeight="1">
      <c r="A367" s="29"/>
      <c r="B367" s="29"/>
      <c r="C367" s="31"/>
      <c r="D367" s="29"/>
      <c r="E367" s="29"/>
      <c r="F367" s="29"/>
      <c r="G367" s="29"/>
      <c r="H367" s="29"/>
      <c r="I367" s="29"/>
      <c r="J367" s="29"/>
      <c r="K367" s="29"/>
      <c r="L367" s="29"/>
      <c r="M367" s="29"/>
      <c r="N367" s="29"/>
      <c r="O367" s="29"/>
      <c r="P367" s="29"/>
      <c r="Q367" s="29"/>
      <c r="R367" s="29"/>
      <c r="S367" s="29"/>
      <c r="T367" s="29"/>
      <c r="U367" s="29"/>
      <c r="V367" s="29"/>
      <c r="W367" s="29"/>
      <c r="X367" s="29"/>
      <c r="Y367" s="29"/>
      <c r="Z367" s="29"/>
      <c r="AA367" s="29"/>
      <c r="AB367" s="29"/>
      <c r="AC367" s="29"/>
      <c r="AD367" s="29"/>
      <c r="AE367" s="29"/>
      <c r="AF367" s="29"/>
      <c r="AG367" s="29"/>
      <c r="AH367" s="29"/>
      <c r="AI367" s="29"/>
      <c r="AJ367" s="29"/>
      <c r="AK367" s="29"/>
      <c r="AL367" s="29"/>
      <c r="AM367" s="29"/>
      <c r="AN367" s="29"/>
      <c r="AO367" s="29"/>
      <c r="AP367" s="29"/>
      <c r="AQ367" s="29"/>
      <c r="AR367" s="29"/>
      <c r="AS367" s="29"/>
      <c r="AT367" s="29"/>
      <c r="AU367" s="29"/>
      <c r="AV367" s="29"/>
      <c r="AW367" s="29"/>
      <c r="AX367" s="29"/>
    </row>
    <row r="368" ht="15.75" customHeight="1">
      <c r="A368" s="29"/>
      <c r="B368" s="29"/>
      <c r="C368" s="31"/>
      <c r="D368" s="29"/>
      <c r="E368" s="29"/>
      <c r="F368" s="29"/>
      <c r="G368" s="29"/>
      <c r="H368" s="29"/>
      <c r="I368" s="29"/>
      <c r="J368" s="29"/>
      <c r="K368" s="29"/>
      <c r="L368" s="29"/>
      <c r="M368" s="29"/>
      <c r="N368" s="29"/>
      <c r="O368" s="29"/>
      <c r="P368" s="29"/>
      <c r="Q368" s="29"/>
      <c r="R368" s="29"/>
      <c r="S368" s="29"/>
      <c r="T368" s="29"/>
      <c r="U368" s="29"/>
      <c r="V368" s="29"/>
      <c r="W368" s="29"/>
      <c r="X368" s="29"/>
      <c r="Y368" s="29"/>
      <c r="Z368" s="29"/>
      <c r="AA368" s="29"/>
      <c r="AB368" s="29"/>
      <c r="AC368" s="29"/>
      <c r="AD368" s="29"/>
      <c r="AE368" s="29"/>
      <c r="AF368" s="29"/>
      <c r="AG368" s="29"/>
      <c r="AH368" s="29"/>
      <c r="AI368" s="29"/>
      <c r="AJ368" s="29"/>
      <c r="AK368" s="29"/>
      <c r="AL368" s="29"/>
      <c r="AM368" s="29"/>
      <c r="AN368" s="29"/>
      <c r="AO368" s="29"/>
      <c r="AP368" s="29"/>
      <c r="AQ368" s="29"/>
      <c r="AR368" s="29"/>
      <c r="AS368" s="29"/>
      <c r="AT368" s="29"/>
      <c r="AU368" s="29"/>
      <c r="AV368" s="29"/>
      <c r="AW368" s="29"/>
      <c r="AX368" s="29"/>
    </row>
    <row r="369" ht="15.75" customHeight="1">
      <c r="A369" s="29"/>
      <c r="B369" s="29"/>
      <c r="C369" s="31"/>
      <c r="D369" s="29"/>
      <c r="E369" s="29"/>
      <c r="F369" s="29"/>
      <c r="G369" s="29"/>
      <c r="H369" s="29"/>
      <c r="I369" s="29"/>
      <c r="J369" s="29"/>
      <c r="K369" s="29"/>
      <c r="L369" s="29"/>
      <c r="M369" s="29"/>
      <c r="N369" s="29"/>
      <c r="O369" s="29"/>
      <c r="P369" s="29"/>
      <c r="Q369" s="29"/>
      <c r="R369" s="29"/>
      <c r="S369" s="29"/>
      <c r="T369" s="29"/>
      <c r="U369" s="29"/>
      <c r="V369" s="29"/>
      <c r="W369" s="29"/>
      <c r="X369" s="29"/>
      <c r="Y369" s="29"/>
      <c r="Z369" s="29"/>
      <c r="AA369" s="29"/>
      <c r="AB369" s="29"/>
      <c r="AC369" s="29"/>
      <c r="AD369" s="29"/>
      <c r="AE369" s="29"/>
      <c r="AF369" s="29"/>
      <c r="AG369" s="29"/>
      <c r="AH369" s="29"/>
      <c r="AI369" s="29"/>
      <c r="AJ369" s="29"/>
      <c r="AK369" s="29"/>
      <c r="AL369" s="29"/>
      <c r="AM369" s="29"/>
      <c r="AN369" s="29"/>
      <c r="AO369" s="29"/>
      <c r="AP369" s="29"/>
      <c r="AQ369" s="29"/>
      <c r="AR369" s="29"/>
      <c r="AS369" s="29"/>
      <c r="AT369" s="29"/>
      <c r="AU369" s="29"/>
      <c r="AV369" s="29"/>
      <c r="AW369" s="29"/>
      <c r="AX369" s="29"/>
    </row>
    <row r="370" ht="15.75" customHeight="1">
      <c r="A370" s="29"/>
      <c r="B370" s="29"/>
      <c r="C370" s="31"/>
      <c r="D370" s="29"/>
      <c r="E370" s="29"/>
      <c r="F370" s="29"/>
      <c r="G370" s="29"/>
      <c r="H370" s="29"/>
      <c r="I370" s="29"/>
      <c r="J370" s="29"/>
      <c r="K370" s="29"/>
      <c r="L370" s="29"/>
      <c r="M370" s="29"/>
      <c r="N370" s="29"/>
      <c r="O370" s="29"/>
      <c r="P370" s="29"/>
      <c r="Q370" s="29"/>
      <c r="R370" s="29"/>
      <c r="S370" s="29"/>
      <c r="T370" s="29"/>
      <c r="U370" s="29"/>
      <c r="V370" s="29"/>
      <c r="W370" s="29"/>
      <c r="X370" s="29"/>
      <c r="Y370" s="29"/>
      <c r="Z370" s="29"/>
      <c r="AA370" s="29"/>
      <c r="AB370" s="29"/>
      <c r="AC370" s="29"/>
      <c r="AD370" s="29"/>
      <c r="AE370" s="29"/>
      <c r="AF370" s="29"/>
      <c r="AG370" s="29"/>
      <c r="AH370" s="29"/>
      <c r="AI370" s="29"/>
      <c r="AJ370" s="29"/>
      <c r="AK370" s="29"/>
      <c r="AL370" s="29"/>
      <c r="AM370" s="29"/>
      <c r="AN370" s="29"/>
      <c r="AO370" s="29"/>
      <c r="AP370" s="29"/>
      <c r="AQ370" s="29"/>
      <c r="AR370" s="29"/>
      <c r="AS370" s="29"/>
      <c r="AT370" s="29"/>
      <c r="AU370" s="29"/>
      <c r="AV370" s="29"/>
      <c r="AW370" s="29"/>
      <c r="AX370" s="29"/>
    </row>
    <row r="371" ht="15.75" customHeight="1">
      <c r="A371" s="29"/>
      <c r="B371" s="29"/>
      <c r="C371" s="31"/>
      <c r="D371" s="29"/>
      <c r="E371" s="29"/>
      <c r="F371" s="29"/>
      <c r="G371" s="29"/>
      <c r="H371" s="29"/>
      <c r="I371" s="29"/>
      <c r="J371" s="29"/>
      <c r="K371" s="29"/>
      <c r="L371" s="29"/>
      <c r="M371" s="29"/>
      <c r="N371" s="29"/>
      <c r="O371" s="29"/>
      <c r="P371" s="29"/>
      <c r="Q371" s="29"/>
      <c r="R371" s="29"/>
      <c r="S371" s="29"/>
      <c r="T371" s="29"/>
      <c r="U371" s="29"/>
      <c r="V371" s="29"/>
      <c r="W371" s="29"/>
      <c r="X371" s="29"/>
      <c r="Y371" s="29"/>
      <c r="Z371" s="29"/>
      <c r="AA371" s="29"/>
      <c r="AB371" s="29"/>
      <c r="AC371" s="29"/>
      <c r="AD371" s="29"/>
      <c r="AE371" s="29"/>
      <c r="AF371" s="29"/>
      <c r="AG371" s="29"/>
      <c r="AH371" s="29"/>
      <c r="AI371" s="29"/>
      <c r="AJ371" s="29"/>
      <c r="AK371" s="29"/>
      <c r="AL371" s="29"/>
      <c r="AM371" s="29"/>
      <c r="AN371" s="29"/>
      <c r="AO371" s="29"/>
      <c r="AP371" s="29"/>
      <c r="AQ371" s="29"/>
      <c r="AR371" s="29"/>
      <c r="AS371" s="29"/>
      <c r="AT371" s="29"/>
      <c r="AU371" s="29"/>
      <c r="AV371" s="29"/>
      <c r="AW371" s="29"/>
      <c r="AX371" s="29"/>
    </row>
    <row r="372" ht="15.75" customHeight="1">
      <c r="A372" s="29"/>
      <c r="B372" s="29"/>
      <c r="C372" s="31"/>
      <c r="D372" s="29"/>
      <c r="E372" s="29"/>
      <c r="F372" s="29"/>
      <c r="G372" s="29"/>
      <c r="H372" s="29"/>
      <c r="I372" s="29"/>
      <c r="J372" s="29"/>
      <c r="K372" s="29"/>
      <c r="L372" s="29"/>
      <c r="M372" s="29"/>
      <c r="N372" s="29"/>
      <c r="O372" s="29"/>
      <c r="P372" s="29"/>
      <c r="Q372" s="29"/>
      <c r="R372" s="29"/>
      <c r="S372" s="29"/>
      <c r="T372" s="29"/>
      <c r="U372" s="29"/>
      <c r="V372" s="29"/>
      <c r="W372" s="29"/>
      <c r="X372" s="29"/>
      <c r="Y372" s="29"/>
      <c r="Z372" s="29"/>
      <c r="AA372" s="29"/>
      <c r="AB372" s="29"/>
      <c r="AC372" s="29"/>
      <c r="AD372" s="29"/>
      <c r="AE372" s="29"/>
      <c r="AF372" s="29"/>
      <c r="AG372" s="29"/>
      <c r="AH372" s="29"/>
      <c r="AI372" s="29"/>
      <c r="AJ372" s="29"/>
      <c r="AK372" s="29"/>
      <c r="AL372" s="29"/>
      <c r="AM372" s="29"/>
      <c r="AN372" s="29"/>
      <c r="AO372" s="29"/>
      <c r="AP372" s="29"/>
      <c r="AQ372" s="29"/>
      <c r="AR372" s="29"/>
      <c r="AS372" s="29"/>
      <c r="AT372" s="29"/>
      <c r="AU372" s="29"/>
      <c r="AV372" s="29"/>
      <c r="AW372" s="29"/>
      <c r="AX372" s="29"/>
    </row>
    <row r="373" ht="15.75" customHeight="1">
      <c r="A373" s="29"/>
      <c r="B373" s="29"/>
      <c r="C373" s="31"/>
      <c r="D373" s="29"/>
      <c r="E373" s="29"/>
      <c r="F373" s="29"/>
      <c r="G373" s="29"/>
      <c r="H373" s="29"/>
      <c r="I373" s="29"/>
      <c r="J373" s="29"/>
      <c r="K373" s="29"/>
      <c r="L373" s="29"/>
      <c r="M373" s="29"/>
      <c r="N373" s="29"/>
      <c r="O373" s="29"/>
      <c r="P373" s="29"/>
      <c r="Q373" s="29"/>
      <c r="R373" s="29"/>
      <c r="S373" s="29"/>
      <c r="T373" s="29"/>
      <c r="U373" s="29"/>
      <c r="V373" s="29"/>
      <c r="W373" s="29"/>
      <c r="X373" s="29"/>
      <c r="Y373" s="29"/>
      <c r="Z373" s="29"/>
      <c r="AA373" s="29"/>
      <c r="AB373" s="29"/>
      <c r="AC373" s="29"/>
      <c r="AD373" s="29"/>
      <c r="AE373" s="29"/>
      <c r="AF373" s="29"/>
      <c r="AG373" s="29"/>
      <c r="AH373" s="29"/>
      <c r="AI373" s="29"/>
      <c r="AJ373" s="29"/>
      <c r="AK373" s="29"/>
      <c r="AL373" s="29"/>
      <c r="AM373" s="29"/>
      <c r="AN373" s="29"/>
      <c r="AO373" s="29"/>
      <c r="AP373" s="29"/>
      <c r="AQ373" s="29"/>
      <c r="AR373" s="29"/>
      <c r="AS373" s="29"/>
      <c r="AT373" s="29"/>
      <c r="AU373" s="29"/>
      <c r="AV373" s="29"/>
      <c r="AW373" s="29"/>
      <c r="AX373" s="29"/>
    </row>
    <row r="374" ht="15.75" customHeight="1">
      <c r="A374" s="29"/>
      <c r="B374" s="29"/>
      <c r="C374" s="31"/>
      <c r="D374" s="29"/>
      <c r="E374" s="29"/>
      <c r="F374" s="29"/>
      <c r="G374" s="29"/>
      <c r="H374" s="29"/>
      <c r="I374" s="29"/>
      <c r="J374" s="29"/>
      <c r="K374" s="29"/>
      <c r="L374" s="29"/>
      <c r="M374" s="29"/>
      <c r="N374" s="29"/>
      <c r="O374" s="29"/>
      <c r="P374" s="29"/>
      <c r="Q374" s="29"/>
      <c r="R374" s="29"/>
      <c r="S374" s="29"/>
      <c r="T374" s="29"/>
      <c r="U374" s="29"/>
      <c r="V374" s="29"/>
      <c r="W374" s="29"/>
      <c r="X374" s="29"/>
      <c r="Y374" s="29"/>
      <c r="Z374" s="29"/>
      <c r="AA374" s="29"/>
      <c r="AB374" s="29"/>
      <c r="AC374" s="29"/>
      <c r="AD374" s="29"/>
      <c r="AE374" s="29"/>
      <c r="AF374" s="29"/>
      <c r="AG374" s="29"/>
      <c r="AH374" s="29"/>
      <c r="AI374" s="29"/>
      <c r="AJ374" s="29"/>
      <c r="AK374" s="29"/>
      <c r="AL374" s="29"/>
      <c r="AM374" s="29"/>
      <c r="AN374" s="29"/>
      <c r="AO374" s="29"/>
      <c r="AP374" s="29"/>
      <c r="AQ374" s="29"/>
      <c r="AR374" s="29"/>
      <c r="AS374" s="29"/>
      <c r="AT374" s="29"/>
      <c r="AU374" s="29"/>
      <c r="AV374" s="29"/>
      <c r="AW374" s="29"/>
      <c r="AX374" s="29"/>
    </row>
    <row r="375" ht="15.75" customHeight="1">
      <c r="A375" s="29"/>
      <c r="B375" s="29"/>
      <c r="C375" s="31"/>
      <c r="D375" s="29"/>
      <c r="E375" s="29"/>
      <c r="F375" s="29"/>
      <c r="G375" s="29"/>
      <c r="H375" s="29"/>
      <c r="I375" s="29"/>
      <c r="J375" s="29"/>
      <c r="K375" s="29"/>
      <c r="L375" s="29"/>
      <c r="M375" s="29"/>
      <c r="N375" s="29"/>
      <c r="O375" s="29"/>
      <c r="P375" s="29"/>
      <c r="Q375" s="29"/>
      <c r="R375" s="29"/>
      <c r="S375" s="29"/>
      <c r="T375" s="29"/>
      <c r="U375" s="29"/>
      <c r="V375" s="29"/>
      <c r="W375" s="29"/>
      <c r="X375" s="29"/>
      <c r="Y375" s="29"/>
      <c r="Z375" s="29"/>
      <c r="AA375" s="29"/>
      <c r="AB375" s="29"/>
      <c r="AC375" s="29"/>
      <c r="AD375" s="29"/>
      <c r="AE375" s="29"/>
      <c r="AF375" s="29"/>
      <c r="AG375" s="29"/>
      <c r="AH375" s="29"/>
      <c r="AI375" s="29"/>
      <c r="AJ375" s="29"/>
      <c r="AK375" s="29"/>
      <c r="AL375" s="29"/>
      <c r="AM375" s="29"/>
      <c r="AN375" s="29"/>
      <c r="AO375" s="29"/>
      <c r="AP375" s="29"/>
      <c r="AQ375" s="29"/>
      <c r="AR375" s="29"/>
      <c r="AS375" s="29"/>
      <c r="AT375" s="29"/>
      <c r="AU375" s="29"/>
      <c r="AV375" s="29"/>
      <c r="AW375" s="29"/>
      <c r="AX375" s="29"/>
    </row>
    <row r="376" ht="15.75" customHeight="1">
      <c r="A376" s="29"/>
      <c r="B376" s="29"/>
      <c r="C376" s="31"/>
      <c r="D376" s="29"/>
      <c r="E376" s="29"/>
      <c r="F376" s="29"/>
      <c r="G376" s="29"/>
      <c r="H376" s="29"/>
      <c r="I376" s="29"/>
      <c r="J376" s="29"/>
      <c r="K376" s="29"/>
      <c r="L376" s="29"/>
      <c r="M376" s="29"/>
      <c r="N376" s="29"/>
      <c r="O376" s="29"/>
      <c r="P376" s="29"/>
      <c r="Q376" s="29"/>
      <c r="R376" s="29"/>
      <c r="S376" s="29"/>
      <c r="T376" s="29"/>
      <c r="U376" s="29"/>
      <c r="V376" s="29"/>
      <c r="W376" s="29"/>
      <c r="X376" s="29"/>
      <c r="Y376" s="29"/>
      <c r="Z376" s="29"/>
      <c r="AA376" s="29"/>
      <c r="AB376" s="29"/>
      <c r="AC376" s="29"/>
      <c r="AD376" s="29"/>
      <c r="AE376" s="29"/>
      <c r="AF376" s="29"/>
      <c r="AG376" s="29"/>
      <c r="AH376" s="29"/>
      <c r="AI376" s="29"/>
      <c r="AJ376" s="29"/>
      <c r="AK376" s="29"/>
      <c r="AL376" s="29"/>
      <c r="AM376" s="29"/>
      <c r="AN376" s="29"/>
      <c r="AO376" s="29"/>
      <c r="AP376" s="29"/>
      <c r="AQ376" s="29"/>
      <c r="AR376" s="29"/>
      <c r="AS376" s="29"/>
      <c r="AT376" s="29"/>
      <c r="AU376" s="29"/>
      <c r="AV376" s="29"/>
      <c r="AW376" s="29"/>
      <c r="AX376" s="29"/>
    </row>
    <row r="377" ht="15.75" customHeight="1">
      <c r="A377" s="29"/>
      <c r="B377" s="29"/>
      <c r="C377" s="31"/>
      <c r="D377" s="29"/>
      <c r="E377" s="29"/>
      <c r="F377" s="29"/>
      <c r="G377" s="29"/>
      <c r="H377" s="29"/>
      <c r="I377" s="29"/>
      <c r="J377" s="29"/>
      <c r="K377" s="29"/>
      <c r="L377" s="29"/>
      <c r="M377" s="29"/>
      <c r="N377" s="29"/>
      <c r="O377" s="29"/>
      <c r="P377" s="29"/>
      <c r="Q377" s="29"/>
      <c r="R377" s="29"/>
      <c r="S377" s="29"/>
      <c r="T377" s="29"/>
      <c r="U377" s="29"/>
      <c r="V377" s="29"/>
      <c r="W377" s="29"/>
      <c r="X377" s="29"/>
      <c r="Y377" s="29"/>
      <c r="Z377" s="29"/>
      <c r="AA377" s="29"/>
      <c r="AB377" s="29"/>
      <c r="AC377" s="29"/>
      <c r="AD377" s="29"/>
      <c r="AE377" s="29"/>
      <c r="AF377" s="29"/>
      <c r="AG377" s="29"/>
      <c r="AH377" s="29"/>
      <c r="AI377" s="29"/>
      <c r="AJ377" s="29"/>
      <c r="AK377" s="29"/>
      <c r="AL377" s="29"/>
      <c r="AM377" s="29"/>
      <c r="AN377" s="29"/>
      <c r="AO377" s="29"/>
      <c r="AP377" s="29"/>
      <c r="AQ377" s="29"/>
      <c r="AR377" s="29"/>
      <c r="AS377" s="29"/>
      <c r="AT377" s="29"/>
      <c r="AU377" s="29"/>
      <c r="AV377" s="29"/>
      <c r="AW377" s="29"/>
      <c r="AX377" s="29"/>
    </row>
    <row r="378" ht="15.75" customHeight="1">
      <c r="A378" s="29"/>
      <c r="B378" s="29"/>
      <c r="C378" s="31"/>
      <c r="D378" s="29"/>
      <c r="E378" s="29"/>
      <c r="F378" s="29"/>
      <c r="G378" s="29"/>
      <c r="H378" s="29"/>
      <c r="I378" s="29"/>
      <c r="J378" s="29"/>
      <c r="K378" s="29"/>
      <c r="L378" s="29"/>
      <c r="M378" s="29"/>
      <c r="N378" s="29"/>
      <c r="O378" s="29"/>
      <c r="P378" s="29"/>
      <c r="Q378" s="29"/>
      <c r="R378" s="29"/>
      <c r="S378" s="29"/>
      <c r="T378" s="29"/>
      <c r="U378" s="29"/>
      <c r="V378" s="29"/>
      <c r="W378" s="29"/>
      <c r="X378" s="29"/>
      <c r="Y378" s="29"/>
      <c r="Z378" s="29"/>
      <c r="AA378" s="29"/>
      <c r="AB378" s="29"/>
      <c r="AC378" s="29"/>
      <c r="AD378" s="29"/>
      <c r="AE378" s="29"/>
      <c r="AF378" s="29"/>
      <c r="AG378" s="29"/>
      <c r="AH378" s="29"/>
      <c r="AI378" s="29"/>
      <c r="AJ378" s="29"/>
      <c r="AK378" s="29"/>
      <c r="AL378" s="29"/>
      <c r="AM378" s="29"/>
      <c r="AN378" s="29"/>
      <c r="AO378" s="29"/>
      <c r="AP378" s="29"/>
      <c r="AQ378" s="29"/>
      <c r="AR378" s="29"/>
      <c r="AS378" s="29"/>
      <c r="AT378" s="29"/>
      <c r="AU378" s="29"/>
      <c r="AV378" s="29"/>
      <c r="AW378" s="29"/>
      <c r="AX378" s="29"/>
    </row>
    <row r="379" ht="15.75" customHeight="1">
      <c r="A379" s="29"/>
      <c r="B379" s="29"/>
      <c r="C379" s="31"/>
      <c r="D379" s="29"/>
      <c r="E379" s="29"/>
      <c r="F379" s="29"/>
      <c r="G379" s="29"/>
      <c r="H379" s="29"/>
      <c r="I379" s="29"/>
      <c r="J379" s="29"/>
      <c r="K379" s="29"/>
      <c r="L379" s="29"/>
      <c r="M379" s="29"/>
      <c r="N379" s="29"/>
      <c r="O379" s="29"/>
      <c r="P379" s="29"/>
      <c r="Q379" s="29"/>
      <c r="R379" s="29"/>
      <c r="S379" s="29"/>
      <c r="T379" s="29"/>
      <c r="U379" s="29"/>
      <c r="V379" s="29"/>
      <c r="W379" s="29"/>
      <c r="X379" s="29"/>
      <c r="Y379" s="29"/>
      <c r="Z379" s="29"/>
      <c r="AA379" s="29"/>
      <c r="AB379" s="29"/>
      <c r="AC379" s="29"/>
      <c r="AD379" s="29"/>
      <c r="AE379" s="29"/>
      <c r="AF379" s="29"/>
      <c r="AG379" s="29"/>
      <c r="AH379" s="29"/>
      <c r="AI379" s="29"/>
      <c r="AJ379" s="29"/>
      <c r="AK379" s="29"/>
      <c r="AL379" s="29"/>
      <c r="AM379" s="29"/>
      <c r="AN379" s="29"/>
      <c r="AO379" s="29"/>
      <c r="AP379" s="29"/>
      <c r="AQ379" s="29"/>
      <c r="AR379" s="29"/>
      <c r="AS379" s="29"/>
      <c r="AT379" s="29"/>
      <c r="AU379" s="29"/>
      <c r="AV379" s="29"/>
      <c r="AW379" s="29"/>
      <c r="AX379" s="29"/>
    </row>
    <row r="380" ht="15.75" customHeight="1">
      <c r="A380" s="29"/>
      <c r="B380" s="29"/>
      <c r="C380" s="31"/>
      <c r="D380" s="29"/>
      <c r="E380" s="29"/>
      <c r="F380" s="29"/>
      <c r="G380" s="29"/>
      <c r="H380" s="29"/>
      <c r="I380" s="29"/>
      <c r="J380" s="29"/>
      <c r="K380" s="29"/>
      <c r="L380" s="29"/>
      <c r="M380" s="29"/>
      <c r="N380" s="29"/>
      <c r="O380" s="29"/>
      <c r="P380" s="29"/>
      <c r="Q380" s="29"/>
      <c r="R380" s="29"/>
      <c r="S380" s="29"/>
      <c r="T380" s="29"/>
      <c r="U380" s="29"/>
      <c r="V380" s="29"/>
      <c r="W380" s="29"/>
      <c r="X380" s="29"/>
      <c r="Y380" s="29"/>
      <c r="Z380" s="29"/>
      <c r="AA380" s="29"/>
      <c r="AB380" s="29"/>
      <c r="AC380" s="29"/>
      <c r="AD380" s="29"/>
      <c r="AE380" s="29"/>
      <c r="AF380" s="29"/>
      <c r="AG380" s="29"/>
      <c r="AH380" s="29"/>
      <c r="AI380" s="29"/>
      <c r="AJ380" s="29"/>
      <c r="AK380" s="29"/>
      <c r="AL380" s="29"/>
      <c r="AM380" s="29"/>
      <c r="AN380" s="29"/>
      <c r="AO380" s="29"/>
      <c r="AP380" s="29"/>
      <c r="AQ380" s="29"/>
      <c r="AR380" s="29"/>
      <c r="AS380" s="29"/>
      <c r="AT380" s="29"/>
      <c r="AU380" s="29"/>
      <c r="AV380" s="29"/>
      <c r="AW380" s="29"/>
      <c r="AX380" s="29"/>
    </row>
    <row r="381" ht="15.75" customHeight="1">
      <c r="A381" s="29"/>
      <c r="B381" s="29"/>
      <c r="C381" s="31"/>
      <c r="D381" s="29"/>
      <c r="E381" s="29"/>
      <c r="F381" s="29"/>
      <c r="G381" s="29"/>
      <c r="H381" s="29"/>
      <c r="I381" s="29"/>
      <c r="J381" s="29"/>
      <c r="K381" s="29"/>
      <c r="L381" s="29"/>
      <c r="M381" s="29"/>
      <c r="N381" s="29"/>
      <c r="O381" s="29"/>
      <c r="P381" s="29"/>
      <c r="Q381" s="29"/>
      <c r="R381" s="29"/>
      <c r="S381" s="29"/>
      <c r="T381" s="29"/>
      <c r="U381" s="29"/>
      <c r="V381" s="29"/>
      <c r="W381" s="29"/>
      <c r="X381" s="29"/>
      <c r="Y381" s="29"/>
      <c r="Z381" s="29"/>
      <c r="AA381" s="29"/>
      <c r="AB381" s="29"/>
      <c r="AC381" s="29"/>
      <c r="AD381" s="29"/>
      <c r="AE381" s="29"/>
      <c r="AF381" s="29"/>
      <c r="AG381" s="29"/>
      <c r="AH381" s="29"/>
      <c r="AI381" s="29"/>
      <c r="AJ381" s="29"/>
      <c r="AK381" s="29"/>
      <c r="AL381" s="29"/>
      <c r="AM381" s="29"/>
      <c r="AN381" s="29"/>
      <c r="AO381" s="29"/>
      <c r="AP381" s="29"/>
      <c r="AQ381" s="29"/>
      <c r="AR381" s="29"/>
      <c r="AS381" s="29"/>
      <c r="AT381" s="29"/>
      <c r="AU381" s="29"/>
      <c r="AV381" s="29"/>
      <c r="AW381" s="29"/>
      <c r="AX381" s="29"/>
    </row>
    <row r="382" ht="15.75" customHeight="1">
      <c r="A382" s="29"/>
      <c r="B382" s="29"/>
      <c r="C382" s="31"/>
      <c r="D382" s="29"/>
      <c r="E382" s="29"/>
      <c r="F382" s="29"/>
      <c r="G382" s="29"/>
      <c r="H382" s="29"/>
      <c r="I382" s="29"/>
      <c r="J382" s="29"/>
      <c r="K382" s="29"/>
      <c r="L382" s="29"/>
      <c r="M382" s="29"/>
      <c r="N382" s="29"/>
      <c r="O382" s="29"/>
      <c r="P382" s="29"/>
      <c r="Q382" s="29"/>
      <c r="R382" s="29"/>
      <c r="S382" s="29"/>
      <c r="T382" s="29"/>
      <c r="U382" s="29"/>
      <c r="V382" s="29"/>
      <c r="W382" s="29"/>
      <c r="X382" s="29"/>
      <c r="Y382" s="29"/>
      <c r="Z382" s="29"/>
      <c r="AA382" s="29"/>
      <c r="AB382" s="29"/>
      <c r="AC382" s="29"/>
      <c r="AD382" s="29"/>
      <c r="AE382" s="29"/>
      <c r="AF382" s="29"/>
      <c r="AG382" s="29"/>
      <c r="AH382" s="29"/>
      <c r="AI382" s="29"/>
      <c r="AJ382" s="29"/>
      <c r="AK382" s="29"/>
      <c r="AL382" s="29"/>
      <c r="AM382" s="29"/>
      <c r="AN382" s="29"/>
      <c r="AO382" s="29"/>
      <c r="AP382" s="29"/>
      <c r="AQ382" s="29"/>
      <c r="AR382" s="29"/>
      <c r="AS382" s="29"/>
      <c r="AT382" s="29"/>
      <c r="AU382" s="29"/>
      <c r="AV382" s="29"/>
      <c r="AW382" s="29"/>
      <c r="AX382" s="29"/>
    </row>
    <row r="383" ht="15.75" customHeight="1">
      <c r="A383" s="29"/>
      <c r="B383" s="29"/>
      <c r="C383" s="31"/>
      <c r="D383" s="29"/>
      <c r="E383" s="29"/>
      <c r="F383" s="29"/>
      <c r="G383" s="29"/>
      <c r="H383" s="29"/>
      <c r="I383" s="29"/>
      <c r="J383" s="29"/>
      <c r="K383" s="29"/>
      <c r="L383" s="29"/>
      <c r="M383" s="29"/>
      <c r="N383" s="29"/>
      <c r="O383" s="29"/>
      <c r="P383" s="29"/>
      <c r="Q383" s="29"/>
      <c r="R383" s="29"/>
      <c r="S383" s="29"/>
      <c r="T383" s="29"/>
      <c r="U383" s="29"/>
      <c r="V383" s="29"/>
      <c r="W383" s="29"/>
      <c r="X383" s="29"/>
      <c r="Y383" s="29"/>
      <c r="Z383" s="29"/>
      <c r="AA383" s="29"/>
      <c r="AB383" s="29"/>
      <c r="AC383" s="29"/>
      <c r="AD383" s="29"/>
      <c r="AE383" s="29"/>
      <c r="AF383" s="29"/>
      <c r="AG383" s="29"/>
      <c r="AH383" s="29"/>
      <c r="AI383" s="29"/>
      <c r="AJ383" s="29"/>
      <c r="AK383" s="29"/>
      <c r="AL383" s="29"/>
      <c r="AM383" s="29"/>
      <c r="AN383" s="29"/>
      <c r="AO383" s="29"/>
      <c r="AP383" s="29"/>
      <c r="AQ383" s="29"/>
      <c r="AR383" s="29"/>
      <c r="AS383" s="29"/>
      <c r="AT383" s="29"/>
      <c r="AU383" s="29"/>
      <c r="AV383" s="29"/>
      <c r="AW383" s="29"/>
      <c r="AX383" s="29"/>
    </row>
    <row r="384" ht="15.75" customHeight="1">
      <c r="A384" s="29"/>
      <c r="B384" s="29"/>
      <c r="C384" s="31"/>
      <c r="D384" s="29"/>
      <c r="E384" s="29"/>
      <c r="F384" s="29"/>
      <c r="G384" s="29"/>
      <c r="H384" s="29"/>
      <c r="I384" s="29"/>
      <c r="J384" s="29"/>
      <c r="K384" s="29"/>
      <c r="L384" s="29"/>
      <c r="M384" s="29"/>
      <c r="N384" s="29"/>
      <c r="O384" s="29"/>
      <c r="P384" s="29"/>
      <c r="Q384" s="29"/>
      <c r="R384" s="29"/>
      <c r="S384" s="29"/>
      <c r="T384" s="29"/>
      <c r="U384" s="29"/>
      <c r="V384" s="29"/>
      <c r="W384" s="29"/>
      <c r="X384" s="29"/>
      <c r="Y384" s="29"/>
      <c r="Z384" s="29"/>
      <c r="AA384" s="29"/>
      <c r="AB384" s="29"/>
      <c r="AC384" s="29"/>
      <c r="AD384" s="29"/>
      <c r="AE384" s="29"/>
      <c r="AF384" s="29"/>
      <c r="AG384" s="29"/>
      <c r="AH384" s="29"/>
      <c r="AI384" s="29"/>
      <c r="AJ384" s="29"/>
      <c r="AK384" s="29"/>
      <c r="AL384" s="29"/>
      <c r="AM384" s="29"/>
      <c r="AN384" s="29"/>
      <c r="AO384" s="29"/>
      <c r="AP384" s="29"/>
      <c r="AQ384" s="29"/>
      <c r="AR384" s="29"/>
      <c r="AS384" s="29"/>
      <c r="AT384" s="29"/>
      <c r="AU384" s="29"/>
      <c r="AV384" s="29"/>
      <c r="AW384" s="29"/>
      <c r="AX384" s="29"/>
    </row>
    <row r="385" ht="15.75" customHeight="1">
      <c r="A385" s="29"/>
      <c r="B385" s="29"/>
      <c r="C385" s="31"/>
      <c r="D385" s="29"/>
      <c r="E385" s="29"/>
      <c r="F385" s="29"/>
      <c r="G385" s="29"/>
      <c r="H385" s="29"/>
      <c r="I385" s="29"/>
      <c r="J385" s="29"/>
      <c r="K385" s="29"/>
      <c r="L385" s="29"/>
      <c r="M385" s="29"/>
      <c r="N385" s="29"/>
      <c r="O385" s="29"/>
      <c r="P385" s="29"/>
      <c r="Q385" s="29"/>
      <c r="R385" s="29"/>
      <c r="S385" s="29"/>
      <c r="T385" s="29"/>
      <c r="U385" s="29"/>
      <c r="V385" s="29"/>
      <c r="W385" s="29"/>
      <c r="X385" s="29"/>
      <c r="Y385" s="29"/>
      <c r="Z385" s="29"/>
      <c r="AA385" s="29"/>
      <c r="AB385" s="29"/>
      <c r="AC385" s="29"/>
      <c r="AD385" s="29"/>
      <c r="AE385" s="29"/>
      <c r="AF385" s="29"/>
      <c r="AG385" s="29"/>
      <c r="AH385" s="29"/>
      <c r="AI385" s="29"/>
      <c r="AJ385" s="29"/>
      <c r="AK385" s="29"/>
      <c r="AL385" s="29"/>
      <c r="AM385" s="29"/>
      <c r="AN385" s="29"/>
      <c r="AO385" s="29"/>
      <c r="AP385" s="29"/>
      <c r="AQ385" s="29"/>
      <c r="AR385" s="29"/>
      <c r="AS385" s="29"/>
      <c r="AT385" s="29"/>
      <c r="AU385" s="29"/>
      <c r="AV385" s="29"/>
      <c r="AW385" s="29"/>
      <c r="AX385" s="29"/>
    </row>
    <row r="386" ht="15.75" customHeight="1">
      <c r="A386" s="29"/>
      <c r="B386" s="29"/>
      <c r="C386" s="31"/>
      <c r="D386" s="29"/>
      <c r="E386" s="29"/>
      <c r="F386" s="29"/>
      <c r="G386" s="29"/>
      <c r="H386" s="29"/>
      <c r="I386" s="29"/>
      <c r="J386" s="29"/>
      <c r="K386" s="29"/>
      <c r="L386" s="29"/>
      <c r="M386" s="29"/>
      <c r="N386" s="29"/>
      <c r="O386" s="29"/>
      <c r="P386" s="29"/>
      <c r="Q386" s="29"/>
      <c r="R386" s="29"/>
      <c r="S386" s="29"/>
      <c r="T386" s="29"/>
      <c r="U386" s="29"/>
      <c r="V386" s="29"/>
      <c r="W386" s="29"/>
      <c r="X386" s="29"/>
      <c r="Y386" s="29"/>
      <c r="Z386" s="29"/>
      <c r="AA386" s="29"/>
      <c r="AB386" s="29"/>
      <c r="AC386" s="29"/>
      <c r="AD386" s="29"/>
      <c r="AE386" s="29"/>
      <c r="AF386" s="29"/>
      <c r="AG386" s="29"/>
      <c r="AH386" s="29"/>
      <c r="AI386" s="29"/>
      <c r="AJ386" s="29"/>
      <c r="AK386" s="29"/>
      <c r="AL386" s="29"/>
      <c r="AM386" s="29"/>
      <c r="AN386" s="29"/>
      <c r="AO386" s="29"/>
      <c r="AP386" s="29"/>
      <c r="AQ386" s="29"/>
      <c r="AR386" s="29"/>
      <c r="AS386" s="29"/>
      <c r="AT386" s="29"/>
      <c r="AU386" s="29"/>
      <c r="AV386" s="29"/>
      <c r="AW386" s="29"/>
      <c r="AX386" s="29"/>
    </row>
    <row r="387" ht="15.75" customHeight="1">
      <c r="A387" s="29"/>
      <c r="B387" s="29"/>
      <c r="C387" s="31"/>
      <c r="D387" s="29"/>
      <c r="E387" s="29"/>
      <c r="F387" s="29"/>
      <c r="G387" s="29"/>
      <c r="H387" s="29"/>
      <c r="I387" s="29"/>
      <c r="J387" s="29"/>
      <c r="K387" s="29"/>
      <c r="L387" s="29"/>
      <c r="M387" s="29"/>
      <c r="N387" s="29"/>
      <c r="O387" s="29"/>
      <c r="P387" s="29"/>
      <c r="Q387" s="29"/>
      <c r="R387" s="29"/>
      <c r="S387" s="29"/>
      <c r="T387" s="29"/>
      <c r="U387" s="29"/>
      <c r="V387" s="29"/>
      <c r="W387" s="29"/>
      <c r="X387" s="29"/>
      <c r="Y387" s="29"/>
      <c r="Z387" s="29"/>
      <c r="AA387" s="29"/>
      <c r="AB387" s="29"/>
      <c r="AC387" s="29"/>
      <c r="AD387" s="29"/>
      <c r="AE387" s="29"/>
      <c r="AF387" s="29"/>
      <c r="AG387" s="29"/>
      <c r="AH387" s="29"/>
      <c r="AI387" s="29"/>
      <c r="AJ387" s="29"/>
      <c r="AK387" s="29"/>
      <c r="AL387" s="29"/>
      <c r="AM387" s="29"/>
      <c r="AN387" s="29"/>
      <c r="AO387" s="29"/>
      <c r="AP387" s="29"/>
      <c r="AQ387" s="29"/>
      <c r="AR387" s="29"/>
      <c r="AS387" s="29"/>
      <c r="AT387" s="29"/>
      <c r="AU387" s="29"/>
      <c r="AV387" s="29"/>
      <c r="AW387" s="29"/>
      <c r="AX387" s="29"/>
    </row>
    <row r="388" ht="15.75" customHeight="1">
      <c r="A388" s="29"/>
      <c r="B388" s="29"/>
      <c r="C388" s="31"/>
      <c r="D388" s="29"/>
      <c r="E388" s="29"/>
      <c r="F388" s="29"/>
      <c r="G388" s="29"/>
      <c r="H388" s="29"/>
      <c r="I388" s="29"/>
      <c r="J388" s="29"/>
      <c r="K388" s="29"/>
      <c r="L388" s="29"/>
      <c r="M388" s="29"/>
      <c r="N388" s="29"/>
      <c r="O388" s="29"/>
      <c r="P388" s="29"/>
      <c r="Q388" s="29"/>
      <c r="R388" s="29"/>
      <c r="S388" s="29"/>
      <c r="T388" s="29"/>
      <c r="U388" s="29"/>
      <c r="V388" s="29"/>
      <c r="W388" s="29"/>
      <c r="X388" s="29"/>
      <c r="Y388" s="29"/>
      <c r="Z388" s="29"/>
      <c r="AA388" s="29"/>
      <c r="AB388" s="29"/>
      <c r="AC388" s="29"/>
      <c r="AD388" s="29"/>
      <c r="AE388" s="29"/>
      <c r="AF388" s="29"/>
      <c r="AG388" s="29"/>
      <c r="AH388" s="29"/>
      <c r="AI388" s="29"/>
      <c r="AJ388" s="29"/>
      <c r="AK388" s="29"/>
      <c r="AL388" s="29"/>
      <c r="AM388" s="29"/>
      <c r="AN388" s="29"/>
      <c r="AO388" s="29"/>
      <c r="AP388" s="29"/>
      <c r="AQ388" s="29"/>
      <c r="AR388" s="29"/>
      <c r="AS388" s="29"/>
      <c r="AT388" s="29"/>
      <c r="AU388" s="29"/>
      <c r="AV388" s="29"/>
      <c r="AW388" s="29"/>
      <c r="AX388" s="29"/>
    </row>
    <row r="389" ht="15.75" customHeight="1">
      <c r="A389" s="29"/>
      <c r="B389" s="29"/>
      <c r="C389" s="31"/>
      <c r="D389" s="29"/>
      <c r="E389" s="29"/>
      <c r="F389" s="29"/>
      <c r="G389" s="29"/>
      <c r="H389" s="29"/>
      <c r="I389" s="29"/>
      <c r="J389" s="29"/>
      <c r="K389" s="29"/>
      <c r="L389" s="29"/>
      <c r="M389" s="29"/>
      <c r="N389" s="29"/>
      <c r="O389" s="29"/>
      <c r="P389" s="29"/>
      <c r="Q389" s="29"/>
      <c r="R389" s="29"/>
      <c r="S389" s="29"/>
      <c r="T389" s="29"/>
      <c r="U389" s="29"/>
      <c r="V389" s="29"/>
      <c r="W389" s="29"/>
      <c r="X389" s="29"/>
      <c r="Y389" s="29"/>
      <c r="Z389" s="29"/>
      <c r="AA389" s="29"/>
      <c r="AB389" s="29"/>
      <c r="AC389" s="29"/>
      <c r="AD389" s="29"/>
      <c r="AE389" s="29"/>
      <c r="AF389" s="29"/>
      <c r="AG389" s="29"/>
      <c r="AH389" s="29"/>
      <c r="AI389" s="29"/>
      <c r="AJ389" s="29"/>
      <c r="AK389" s="29"/>
      <c r="AL389" s="29"/>
      <c r="AM389" s="29"/>
      <c r="AN389" s="29"/>
      <c r="AO389" s="29"/>
      <c r="AP389" s="29"/>
      <c r="AQ389" s="29"/>
      <c r="AR389" s="29"/>
      <c r="AS389" s="29"/>
      <c r="AT389" s="29"/>
      <c r="AU389" s="29"/>
      <c r="AV389" s="29"/>
      <c r="AW389" s="29"/>
      <c r="AX389" s="29"/>
    </row>
    <row r="390" ht="15.75" customHeight="1">
      <c r="A390" s="29"/>
      <c r="B390" s="29"/>
      <c r="C390" s="31"/>
      <c r="D390" s="29"/>
      <c r="E390" s="29"/>
      <c r="F390" s="29"/>
      <c r="G390" s="29"/>
      <c r="H390" s="29"/>
      <c r="I390" s="29"/>
      <c r="J390" s="29"/>
      <c r="K390" s="29"/>
      <c r="L390" s="29"/>
      <c r="M390" s="29"/>
      <c r="N390" s="29"/>
      <c r="O390" s="29"/>
      <c r="P390" s="29"/>
      <c r="Q390" s="29"/>
      <c r="R390" s="29"/>
      <c r="S390" s="29"/>
      <c r="T390" s="29"/>
      <c r="U390" s="29"/>
      <c r="V390" s="29"/>
      <c r="W390" s="29"/>
      <c r="X390" s="29"/>
      <c r="Y390" s="29"/>
      <c r="Z390" s="29"/>
      <c r="AA390" s="29"/>
      <c r="AB390" s="29"/>
      <c r="AC390" s="29"/>
      <c r="AD390" s="29"/>
      <c r="AE390" s="29"/>
      <c r="AF390" s="29"/>
      <c r="AG390" s="29"/>
      <c r="AH390" s="29"/>
      <c r="AI390" s="29"/>
      <c r="AJ390" s="29"/>
      <c r="AK390" s="29"/>
      <c r="AL390" s="29"/>
      <c r="AM390" s="29"/>
      <c r="AN390" s="29"/>
      <c r="AO390" s="29"/>
      <c r="AP390" s="29"/>
      <c r="AQ390" s="29"/>
      <c r="AR390" s="29"/>
      <c r="AS390" s="29"/>
      <c r="AT390" s="29"/>
      <c r="AU390" s="29"/>
      <c r="AV390" s="29"/>
      <c r="AW390" s="29"/>
      <c r="AX390" s="29"/>
    </row>
    <row r="391" ht="15.75" customHeight="1">
      <c r="A391" s="29"/>
      <c r="B391" s="29"/>
      <c r="C391" s="31"/>
      <c r="D391" s="29"/>
      <c r="E391" s="29"/>
      <c r="F391" s="29"/>
      <c r="G391" s="29"/>
      <c r="H391" s="29"/>
      <c r="I391" s="29"/>
      <c r="J391" s="29"/>
      <c r="K391" s="29"/>
      <c r="L391" s="29"/>
      <c r="M391" s="29"/>
      <c r="N391" s="29"/>
      <c r="O391" s="29"/>
      <c r="P391" s="29"/>
      <c r="Q391" s="29"/>
      <c r="R391" s="29"/>
      <c r="S391" s="29"/>
      <c r="T391" s="29"/>
      <c r="U391" s="29"/>
      <c r="V391" s="29"/>
      <c r="W391" s="29"/>
      <c r="X391" s="29"/>
      <c r="Y391" s="29"/>
      <c r="Z391" s="29"/>
      <c r="AA391" s="29"/>
      <c r="AB391" s="29"/>
      <c r="AC391" s="29"/>
      <c r="AD391" s="29"/>
      <c r="AE391" s="29"/>
      <c r="AF391" s="29"/>
      <c r="AG391" s="29"/>
      <c r="AH391" s="29"/>
      <c r="AI391" s="29"/>
      <c r="AJ391" s="29"/>
      <c r="AK391" s="29"/>
      <c r="AL391" s="29"/>
      <c r="AM391" s="29"/>
      <c r="AN391" s="29"/>
      <c r="AO391" s="29"/>
      <c r="AP391" s="29"/>
      <c r="AQ391" s="29"/>
      <c r="AR391" s="29"/>
      <c r="AS391" s="29"/>
      <c r="AT391" s="29"/>
      <c r="AU391" s="29"/>
      <c r="AV391" s="29"/>
      <c r="AW391" s="29"/>
      <c r="AX391" s="29"/>
    </row>
    <row r="392" ht="15.75" customHeight="1">
      <c r="A392" s="29"/>
      <c r="B392" s="29"/>
      <c r="C392" s="31"/>
      <c r="D392" s="29"/>
      <c r="E392" s="29"/>
      <c r="F392" s="29"/>
      <c r="G392" s="29"/>
      <c r="H392" s="29"/>
      <c r="I392" s="29"/>
      <c r="J392" s="29"/>
      <c r="K392" s="29"/>
      <c r="L392" s="29"/>
      <c r="M392" s="29"/>
      <c r="N392" s="29"/>
      <c r="O392" s="29"/>
      <c r="P392" s="29"/>
      <c r="Q392" s="29"/>
      <c r="R392" s="29"/>
      <c r="S392" s="29"/>
      <c r="T392" s="29"/>
      <c r="U392" s="29"/>
      <c r="V392" s="29"/>
      <c r="W392" s="29"/>
      <c r="X392" s="29"/>
      <c r="Y392" s="29"/>
      <c r="Z392" s="29"/>
      <c r="AA392" s="29"/>
      <c r="AB392" s="29"/>
      <c r="AC392" s="29"/>
      <c r="AD392" s="29"/>
      <c r="AE392" s="29"/>
      <c r="AF392" s="29"/>
      <c r="AG392" s="29"/>
      <c r="AH392" s="29"/>
      <c r="AI392" s="29"/>
      <c r="AJ392" s="29"/>
      <c r="AK392" s="29"/>
      <c r="AL392" s="29"/>
      <c r="AM392" s="29"/>
      <c r="AN392" s="29"/>
      <c r="AO392" s="29"/>
      <c r="AP392" s="29"/>
      <c r="AQ392" s="29"/>
      <c r="AR392" s="29"/>
      <c r="AS392" s="29"/>
      <c r="AT392" s="29"/>
      <c r="AU392" s="29"/>
      <c r="AV392" s="29"/>
      <c r="AW392" s="29"/>
      <c r="AX392" s="29"/>
    </row>
    <row r="393" ht="15.75" customHeight="1">
      <c r="A393" s="29"/>
      <c r="B393" s="29"/>
      <c r="C393" s="31"/>
      <c r="D393" s="29"/>
      <c r="E393" s="29"/>
      <c r="F393" s="29"/>
      <c r="G393" s="29"/>
      <c r="H393" s="29"/>
      <c r="I393" s="29"/>
      <c r="J393" s="29"/>
      <c r="K393" s="29"/>
      <c r="L393" s="29"/>
      <c r="M393" s="29"/>
      <c r="N393" s="29"/>
      <c r="O393" s="29"/>
      <c r="P393" s="29"/>
      <c r="Q393" s="29"/>
      <c r="R393" s="29"/>
      <c r="S393" s="29"/>
      <c r="T393" s="29"/>
      <c r="U393" s="29"/>
      <c r="V393" s="29"/>
      <c r="W393" s="29"/>
      <c r="X393" s="29"/>
      <c r="Y393" s="29"/>
      <c r="Z393" s="29"/>
      <c r="AA393" s="29"/>
      <c r="AB393" s="29"/>
      <c r="AC393" s="29"/>
      <c r="AD393" s="29"/>
      <c r="AE393" s="29"/>
      <c r="AF393" s="29"/>
      <c r="AG393" s="29"/>
      <c r="AH393" s="29"/>
      <c r="AI393" s="29"/>
      <c r="AJ393" s="29"/>
      <c r="AK393" s="29"/>
      <c r="AL393" s="29"/>
      <c r="AM393" s="29"/>
      <c r="AN393" s="29"/>
      <c r="AO393" s="29"/>
      <c r="AP393" s="29"/>
      <c r="AQ393" s="29"/>
      <c r="AR393" s="29"/>
      <c r="AS393" s="29"/>
      <c r="AT393" s="29"/>
      <c r="AU393" s="29"/>
      <c r="AV393" s="29"/>
      <c r="AW393" s="29"/>
      <c r="AX393" s="29"/>
    </row>
    <row r="394" ht="15.75" customHeight="1">
      <c r="A394" s="29"/>
      <c r="B394" s="29"/>
      <c r="C394" s="31"/>
      <c r="D394" s="29"/>
      <c r="E394" s="29"/>
      <c r="F394" s="29"/>
      <c r="G394" s="29"/>
      <c r="H394" s="29"/>
      <c r="I394" s="29"/>
      <c r="J394" s="29"/>
      <c r="K394" s="29"/>
      <c r="L394" s="29"/>
      <c r="M394" s="29"/>
      <c r="N394" s="29"/>
      <c r="O394" s="29"/>
      <c r="P394" s="29"/>
      <c r="Q394" s="29"/>
      <c r="R394" s="29"/>
      <c r="S394" s="29"/>
      <c r="T394" s="29"/>
      <c r="U394" s="29"/>
      <c r="V394" s="29"/>
      <c r="W394" s="29"/>
      <c r="X394" s="29"/>
      <c r="Y394" s="29"/>
      <c r="Z394" s="29"/>
      <c r="AA394" s="29"/>
      <c r="AB394" s="29"/>
      <c r="AC394" s="29"/>
      <c r="AD394" s="29"/>
      <c r="AE394" s="29"/>
      <c r="AF394" s="29"/>
      <c r="AG394" s="29"/>
      <c r="AH394" s="29"/>
      <c r="AI394" s="29"/>
      <c r="AJ394" s="29"/>
      <c r="AK394" s="29"/>
      <c r="AL394" s="29"/>
      <c r="AM394" s="29"/>
      <c r="AN394" s="29"/>
      <c r="AO394" s="29"/>
      <c r="AP394" s="29"/>
      <c r="AQ394" s="29"/>
      <c r="AR394" s="29"/>
      <c r="AS394" s="29"/>
      <c r="AT394" s="29"/>
      <c r="AU394" s="29"/>
      <c r="AV394" s="29"/>
      <c r="AW394" s="29"/>
      <c r="AX394" s="29"/>
    </row>
    <row r="395" ht="15.75" customHeight="1">
      <c r="A395" s="29"/>
      <c r="B395" s="29"/>
      <c r="C395" s="31"/>
      <c r="D395" s="29"/>
      <c r="E395" s="29"/>
      <c r="F395" s="29"/>
      <c r="G395" s="29"/>
      <c r="H395" s="29"/>
      <c r="I395" s="29"/>
      <c r="J395" s="29"/>
      <c r="K395" s="29"/>
      <c r="L395" s="29"/>
      <c r="M395" s="29"/>
      <c r="N395" s="29"/>
      <c r="O395" s="29"/>
      <c r="P395" s="29"/>
      <c r="Q395" s="29"/>
      <c r="R395" s="29"/>
      <c r="S395" s="29"/>
      <c r="T395" s="29"/>
      <c r="U395" s="29"/>
      <c r="V395" s="29"/>
      <c r="W395" s="29"/>
      <c r="X395" s="29"/>
      <c r="Y395" s="29"/>
      <c r="Z395" s="29"/>
      <c r="AA395" s="29"/>
      <c r="AB395" s="29"/>
      <c r="AC395" s="29"/>
      <c r="AD395" s="29"/>
      <c r="AE395" s="29"/>
      <c r="AF395" s="29"/>
      <c r="AG395" s="29"/>
      <c r="AH395" s="29"/>
      <c r="AI395" s="29"/>
      <c r="AJ395" s="29"/>
      <c r="AK395" s="29"/>
      <c r="AL395" s="29"/>
      <c r="AM395" s="29"/>
      <c r="AN395" s="29"/>
      <c r="AO395" s="29"/>
      <c r="AP395" s="29"/>
      <c r="AQ395" s="29"/>
      <c r="AR395" s="29"/>
      <c r="AS395" s="29"/>
      <c r="AT395" s="29"/>
      <c r="AU395" s="29"/>
      <c r="AV395" s="29"/>
      <c r="AW395" s="29"/>
      <c r="AX395" s="29"/>
    </row>
    <row r="396" ht="15.75" customHeight="1">
      <c r="A396" s="29"/>
      <c r="B396" s="29"/>
      <c r="C396" s="31"/>
      <c r="D396" s="29"/>
      <c r="E396" s="29"/>
      <c r="F396" s="29"/>
      <c r="G396" s="29"/>
      <c r="H396" s="29"/>
      <c r="I396" s="29"/>
      <c r="J396" s="29"/>
      <c r="K396" s="29"/>
      <c r="L396" s="29"/>
      <c r="M396" s="29"/>
      <c r="N396" s="29"/>
      <c r="O396" s="29"/>
      <c r="P396" s="29"/>
      <c r="Q396" s="29"/>
      <c r="R396" s="29"/>
      <c r="S396" s="29"/>
      <c r="T396" s="29"/>
      <c r="U396" s="29"/>
      <c r="V396" s="29"/>
      <c r="W396" s="29"/>
      <c r="X396" s="29"/>
      <c r="Y396" s="29"/>
      <c r="Z396" s="29"/>
      <c r="AA396" s="29"/>
      <c r="AB396" s="29"/>
      <c r="AC396" s="29"/>
      <c r="AD396" s="29"/>
      <c r="AE396" s="29"/>
      <c r="AF396" s="29"/>
      <c r="AG396" s="29"/>
      <c r="AH396" s="29"/>
      <c r="AI396" s="29"/>
      <c r="AJ396" s="29"/>
      <c r="AK396" s="29"/>
      <c r="AL396" s="29"/>
      <c r="AM396" s="29"/>
      <c r="AN396" s="29"/>
      <c r="AO396" s="29"/>
      <c r="AP396" s="29"/>
      <c r="AQ396" s="29"/>
      <c r="AR396" s="29"/>
      <c r="AS396" s="29"/>
      <c r="AT396" s="29"/>
      <c r="AU396" s="29"/>
      <c r="AV396" s="29"/>
      <c r="AW396" s="29"/>
      <c r="AX396" s="29"/>
    </row>
    <row r="397" ht="15.75" customHeight="1">
      <c r="A397" s="29"/>
      <c r="B397" s="29"/>
      <c r="C397" s="31"/>
      <c r="D397" s="29"/>
      <c r="E397" s="29"/>
      <c r="F397" s="29"/>
      <c r="G397" s="29"/>
      <c r="H397" s="29"/>
      <c r="I397" s="29"/>
      <c r="J397" s="29"/>
      <c r="K397" s="29"/>
      <c r="L397" s="29"/>
      <c r="M397" s="29"/>
      <c r="N397" s="29"/>
      <c r="O397" s="29"/>
      <c r="P397" s="29"/>
      <c r="Q397" s="29"/>
      <c r="R397" s="29"/>
      <c r="S397" s="29"/>
      <c r="T397" s="29"/>
      <c r="U397" s="29"/>
      <c r="V397" s="29"/>
      <c r="W397" s="29"/>
      <c r="X397" s="29"/>
      <c r="Y397" s="29"/>
      <c r="Z397" s="29"/>
      <c r="AA397" s="29"/>
      <c r="AB397" s="29"/>
      <c r="AC397" s="29"/>
      <c r="AD397" s="29"/>
      <c r="AE397" s="29"/>
      <c r="AF397" s="29"/>
      <c r="AG397" s="29"/>
      <c r="AH397" s="29"/>
      <c r="AI397" s="29"/>
      <c r="AJ397" s="29"/>
      <c r="AK397" s="29"/>
      <c r="AL397" s="29"/>
      <c r="AM397" s="29"/>
      <c r="AN397" s="29"/>
      <c r="AO397" s="29"/>
      <c r="AP397" s="29"/>
      <c r="AQ397" s="29"/>
      <c r="AR397" s="29"/>
      <c r="AS397" s="29"/>
      <c r="AT397" s="29"/>
      <c r="AU397" s="29"/>
      <c r="AV397" s="29"/>
      <c r="AW397" s="29"/>
      <c r="AX397" s="29"/>
    </row>
    <row r="398" ht="15.75" customHeight="1">
      <c r="A398" s="29"/>
      <c r="B398" s="29"/>
      <c r="C398" s="31"/>
      <c r="D398" s="29"/>
      <c r="E398" s="29"/>
      <c r="F398" s="29"/>
      <c r="G398" s="29"/>
      <c r="H398" s="29"/>
      <c r="I398" s="29"/>
      <c r="J398" s="29"/>
      <c r="K398" s="29"/>
      <c r="L398" s="29"/>
      <c r="M398" s="29"/>
      <c r="N398" s="29"/>
      <c r="O398" s="29"/>
      <c r="P398" s="29"/>
      <c r="Q398" s="29"/>
      <c r="R398" s="29"/>
      <c r="S398" s="29"/>
      <c r="T398" s="29"/>
      <c r="U398" s="29"/>
      <c r="V398" s="29"/>
      <c r="W398" s="29"/>
      <c r="X398" s="29"/>
      <c r="Y398" s="29"/>
      <c r="Z398" s="29"/>
      <c r="AA398" s="29"/>
      <c r="AB398" s="29"/>
      <c r="AC398" s="29"/>
      <c r="AD398" s="29"/>
      <c r="AE398" s="29"/>
      <c r="AF398" s="29"/>
      <c r="AG398" s="29"/>
      <c r="AH398" s="29"/>
      <c r="AI398" s="29"/>
      <c r="AJ398" s="29"/>
      <c r="AK398" s="29"/>
      <c r="AL398" s="29"/>
      <c r="AM398" s="29"/>
      <c r="AN398" s="29"/>
      <c r="AO398" s="29"/>
      <c r="AP398" s="29"/>
      <c r="AQ398" s="29"/>
      <c r="AR398" s="29"/>
      <c r="AS398" s="29"/>
      <c r="AT398" s="29"/>
      <c r="AU398" s="29"/>
      <c r="AV398" s="29"/>
      <c r="AW398" s="29"/>
      <c r="AX398" s="29"/>
    </row>
    <row r="399" ht="15.75" customHeight="1">
      <c r="A399" s="29"/>
      <c r="B399" s="29"/>
      <c r="C399" s="31"/>
      <c r="D399" s="29"/>
      <c r="E399" s="29"/>
      <c r="F399" s="29"/>
      <c r="G399" s="29"/>
      <c r="H399" s="29"/>
      <c r="I399" s="29"/>
      <c r="J399" s="29"/>
      <c r="K399" s="29"/>
      <c r="L399" s="29"/>
      <c r="M399" s="29"/>
      <c r="N399" s="29"/>
      <c r="O399" s="29"/>
      <c r="P399" s="29"/>
      <c r="Q399" s="29"/>
      <c r="R399" s="29"/>
      <c r="S399" s="29"/>
      <c r="T399" s="29"/>
      <c r="U399" s="29"/>
      <c r="V399" s="29"/>
      <c r="W399" s="29"/>
      <c r="X399" s="29"/>
      <c r="Y399" s="29"/>
      <c r="Z399" s="29"/>
      <c r="AA399" s="29"/>
      <c r="AB399" s="29"/>
      <c r="AC399" s="29"/>
      <c r="AD399" s="29"/>
      <c r="AE399" s="29"/>
      <c r="AF399" s="29"/>
      <c r="AG399" s="29"/>
      <c r="AH399" s="29"/>
      <c r="AI399" s="29"/>
      <c r="AJ399" s="29"/>
      <c r="AK399" s="29"/>
      <c r="AL399" s="29"/>
      <c r="AM399" s="29"/>
      <c r="AN399" s="29"/>
      <c r="AO399" s="29"/>
      <c r="AP399" s="29"/>
      <c r="AQ399" s="29"/>
      <c r="AR399" s="29"/>
      <c r="AS399" s="29"/>
      <c r="AT399" s="29"/>
      <c r="AU399" s="29"/>
      <c r="AV399" s="29"/>
      <c r="AW399" s="29"/>
      <c r="AX399" s="29"/>
    </row>
    <row r="400" ht="15.75" customHeight="1">
      <c r="A400" s="29"/>
      <c r="B400" s="29"/>
      <c r="C400" s="31"/>
      <c r="D400" s="29"/>
      <c r="E400" s="29"/>
      <c r="F400" s="29"/>
      <c r="G400" s="29"/>
      <c r="H400" s="29"/>
      <c r="I400" s="29"/>
      <c r="J400" s="29"/>
      <c r="K400" s="29"/>
      <c r="L400" s="29"/>
      <c r="M400" s="29"/>
      <c r="N400" s="29"/>
      <c r="O400" s="29"/>
      <c r="P400" s="29"/>
      <c r="Q400" s="29"/>
      <c r="R400" s="29"/>
      <c r="S400" s="29"/>
      <c r="T400" s="29"/>
      <c r="U400" s="29"/>
      <c r="V400" s="29"/>
      <c r="W400" s="29"/>
      <c r="X400" s="29"/>
      <c r="Y400" s="29"/>
      <c r="Z400" s="29"/>
      <c r="AA400" s="29"/>
      <c r="AB400" s="29"/>
      <c r="AC400" s="29"/>
      <c r="AD400" s="29"/>
      <c r="AE400" s="29"/>
      <c r="AF400" s="29"/>
      <c r="AG400" s="29"/>
      <c r="AH400" s="29"/>
      <c r="AI400" s="29"/>
      <c r="AJ400" s="29"/>
      <c r="AK400" s="29"/>
      <c r="AL400" s="29"/>
      <c r="AM400" s="29"/>
      <c r="AN400" s="29"/>
      <c r="AO400" s="29"/>
      <c r="AP400" s="29"/>
      <c r="AQ400" s="29"/>
      <c r="AR400" s="29"/>
      <c r="AS400" s="29"/>
      <c r="AT400" s="29"/>
      <c r="AU400" s="29"/>
      <c r="AV400" s="29"/>
      <c r="AW400" s="29"/>
      <c r="AX400" s="29"/>
    </row>
    <row r="401" ht="15.75" customHeight="1">
      <c r="A401" s="29"/>
      <c r="B401" s="29"/>
      <c r="C401" s="31"/>
      <c r="D401" s="29"/>
      <c r="E401" s="29"/>
      <c r="F401" s="29"/>
      <c r="G401" s="29"/>
      <c r="H401" s="29"/>
      <c r="I401" s="29"/>
      <c r="J401" s="29"/>
      <c r="K401" s="29"/>
      <c r="L401" s="29"/>
      <c r="M401" s="29"/>
      <c r="N401" s="29"/>
      <c r="O401" s="29"/>
      <c r="P401" s="29"/>
      <c r="Q401" s="29"/>
      <c r="R401" s="29"/>
      <c r="S401" s="29"/>
      <c r="T401" s="29"/>
      <c r="U401" s="29"/>
      <c r="V401" s="29"/>
      <c r="W401" s="29"/>
      <c r="X401" s="29"/>
      <c r="Y401" s="29"/>
      <c r="Z401" s="29"/>
      <c r="AA401" s="29"/>
      <c r="AB401" s="29"/>
      <c r="AC401" s="29"/>
      <c r="AD401" s="29"/>
      <c r="AE401" s="29"/>
      <c r="AF401" s="29"/>
      <c r="AG401" s="29"/>
      <c r="AH401" s="29"/>
      <c r="AI401" s="29"/>
      <c r="AJ401" s="29"/>
      <c r="AK401" s="29"/>
      <c r="AL401" s="29"/>
      <c r="AM401" s="29"/>
      <c r="AN401" s="29"/>
      <c r="AO401" s="29"/>
      <c r="AP401" s="29"/>
      <c r="AQ401" s="29"/>
      <c r="AR401" s="29"/>
      <c r="AS401" s="29"/>
      <c r="AT401" s="29"/>
      <c r="AU401" s="29"/>
      <c r="AV401" s="29"/>
      <c r="AW401" s="29"/>
      <c r="AX401" s="29"/>
    </row>
    <row r="402" ht="15.75" customHeight="1">
      <c r="A402" s="29"/>
      <c r="B402" s="29"/>
      <c r="C402" s="31"/>
      <c r="D402" s="29"/>
      <c r="E402" s="29"/>
      <c r="F402" s="29"/>
      <c r="G402" s="29"/>
      <c r="H402" s="29"/>
      <c r="I402" s="29"/>
      <c r="J402" s="29"/>
      <c r="K402" s="29"/>
      <c r="L402" s="29"/>
      <c r="M402" s="29"/>
      <c r="N402" s="29"/>
      <c r="O402" s="29"/>
      <c r="P402" s="29"/>
      <c r="Q402" s="29"/>
      <c r="R402" s="29"/>
      <c r="S402" s="29"/>
      <c r="T402" s="29"/>
      <c r="U402" s="29"/>
      <c r="V402" s="29"/>
      <c r="W402" s="29"/>
      <c r="X402" s="29"/>
      <c r="Y402" s="29"/>
      <c r="Z402" s="29"/>
      <c r="AA402" s="29"/>
      <c r="AB402" s="29"/>
      <c r="AC402" s="29"/>
      <c r="AD402" s="29"/>
      <c r="AE402" s="29"/>
      <c r="AF402" s="29"/>
      <c r="AG402" s="29"/>
      <c r="AH402" s="29"/>
      <c r="AI402" s="29"/>
      <c r="AJ402" s="29"/>
      <c r="AK402" s="29"/>
      <c r="AL402" s="29"/>
      <c r="AM402" s="29"/>
      <c r="AN402" s="29"/>
      <c r="AO402" s="29"/>
      <c r="AP402" s="29"/>
      <c r="AQ402" s="29"/>
      <c r="AR402" s="29"/>
      <c r="AS402" s="29"/>
      <c r="AT402" s="29"/>
      <c r="AU402" s="29"/>
      <c r="AV402" s="29"/>
      <c r="AW402" s="29"/>
      <c r="AX402" s="29"/>
    </row>
    <row r="403" ht="15.75" customHeight="1">
      <c r="A403" s="29"/>
      <c r="B403" s="29"/>
      <c r="C403" s="31"/>
      <c r="D403" s="29"/>
      <c r="E403" s="29"/>
      <c r="F403" s="29"/>
      <c r="G403" s="29"/>
      <c r="H403" s="29"/>
      <c r="I403" s="29"/>
      <c r="J403" s="29"/>
      <c r="K403" s="29"/>
      <c r="L403" s="29"/>
      <c r="M403" s="29"/>
      <c r="N403" s="29"/>
      <c r="O403" s="29"/>
      <c r="P403" s="29"/>
      <c r="Q403" s="29"/>
      <c r="R403" s="29"/>
      <c r="S403" s="29"/>
      <c r="T403" s="29"/>
      <c r="U403" s="29"/>
      <c r="V403" s="29"/>
      <c r="W403" s="29"/>
      <c r="X403" s="29"/>
      <c r="Y403" s="29"/>
      <c r="Z403" s="29"/>
      <c r="AA403" s="29"/>
      <c r="AB403" s="29"/>
      <c r="AC403" s="29"/>
      <c r="AD403" s="29"/>
      <c r="AE403" s="29"/>
      <c r="AF403" s="29"/>
      <c r="AG403" s="29"/>
      <c r="AH403" s="29"/>
      <c r="AI403" s="29"/>
      <c r="AJ403" s="29"/>
      <c r="AK403" s="29"/>
      <c r="AL403" s="29"/>
      <c r="AM403" s="29"/>
      <c r="AN403" s="29"/>
      <c r="AO403" s="29"/>
      <c r="AP403" s="29"/>
      <c r="AQ403" s="29"/>
      <c r="AR403" s="29"/>
      <c r="AS403" s="29"/>
      <c r="AT403" s="29"/>
      <c r="AU403" s="29"/>
      <c r="AV403" s="29"/>
      <c r="AW403" s="29"/>
      <c r="AX403" s="29"/>
    </row>
    <row r="404" ht="15.75" customHeight="1">
      <c r="A404" s="29"/>
      <c r="B404" s="29"/>
      <c r="C404" s="31"/>
      <c r="D404" s="29"/>
      <c r="E404" s="29"/>
      <c r="F404" s="29"/>
      <c r="G404" s="29"/>
      <c r="H404" s="29"/>
      <c r="I404" s="29"/>
      <c r="J404" s="29"/>
      <c r="K404" s="29"/>
      <c r="L404" s="29"/>
      <c r="M404" s="29"/>
      <c r="N404" s="29"/>
      <c r="O404" s="29"/>
      <c r="P404" s="29"/>
      <c r="Q404" s="29"/>
      <c r="R404" s="29"/>
      <c r="S404" s="29"/>
      <c r="T404" s="29"/>
      <c r="U404" s="29"/>
      <c r="V404" s="29"/>
      <c r="W404" s="29"/>
      <c r="X404" s="29"/>
      <c r="Y404" s="29"/>
      <c r="Z404" s="29"/>
      <c r="AA404" s="29"/>
      <c r="AB404" s="29"/>
      <c r="AC404" s="29"/>
      <c r="AD404" s="29"/>
      <c r="AE404" s="29"/>
      <c r="AF404" s="29"/>
      <c r="AG404" s="29"/>
      <c r="AH404" s="29"/>
      <c r="AI404" s="29"/>
      <c r="AJ404" s="29"/>
      <c r="AK404" s="29"/>
      <c r="AL404" s="29"/>
      <c r="AM404" s="29"/>
      <c r="AN404" s="29"/>
      <c r="AO404" s="29"/>
      <c r="AP404" s="29"/>
      <c r="AQ404" s="29"/>
      <c r="AR404" s="29"/>
      <c r="AS404" s="29"/>
      <c r="AT404" s="29"/>
      <c r="AU404" s="29"/>
      <c r="AV404" s="29"/>
      <c r="AW404" s="29"/>
      <c r="AX404" s="29"/>
    </row>
    <row r="405" ht="15.75" customHeight="1">
      <c r="A405" s="29"/>
      <c r="B405" s="29"/>
      <c r="C405" s="31"/>
      <c r="D405" s="29"/>
      <c r="E405" s="29"/>
      <c r="F405" s="29"/>
      <c r="G405" s="29"/>
      <c r="H405" s="29"/>
      <c r="I405" s="29"/>
      <c r="J405" s="29"/>
      <c r="K405" s="29"/>
      <c r="L405" s="29"/>
      <c r="M405" s="29"/>
      <c r="N405" s="29"/>
      <c r="O405" s="29"/>
      <c r="P405" s="29"/>
      <c r="Q405" s="29"/>
      <c r="R405" s="29"/>
      <c r="S405" s="29"/>
      <c r="T405" s="29"/>
      <c r="U405" s="29"/>
      <c r="V405" s="29"/>
      <c r="W405" s="29"/>
      <c r="X405" s="29"/>
      <c r="Y405" s="29"/>
      <c r="Z405" s="29"/>
      <c r="AA405" s="29"/>
      <c r="AB405" s="29"/>
      <c r="AC405" s="29"/>
      <c r="AD405" s="29"/>
      <c r="AE405" s="29"/>
      <c r="AF405" s="29"/>
      <c r="AG405" s="29"/>
      <c r="AH405" s="29"/>
      <c r="AI405" s="29"/>
      <c r="AJ405" s="29"/>
      <c r="AK405" s="29"/>
      <c r="AL405" s="29"/>
      <c r="AM405" s="29"/>
      <c r="AN405" s="29"/>
      <c r="AO405" s="29"/>
      <c r="AP405" s="29"/>
      <c r="AQ405" s="29"/>
      <c r="AR405" s="29"/>
      <c r="AS405" s="29"/>
      <c r="AT405" s="29"/>
      <c r="AU405" s="29"/>
      <c r="AV405" s="29"/>
      <c r="AW405" s="29"/>
      <c r="AX405" s="29"/>
    </row>
    <row r="406" ht="15.75" customHeight="1">
      <c r="A406" s="29"/>
      <c r="B406" s="29"/>
      <c r="C406" s="31"/>
      <c r="D406" s="29"/>
      <c r="E406" s="29"/>
      <c r="F406" s="29"/>
      <c r="G406" s="29"/>
      <c r="H406" s="29"/>
      <c r="I406" s="29"/>
      <c r="J406" s="29"/>
      <c r="K406" s="29"/>
      <c r="L406" s="29"/>
      <c r="M406" s="29"/>
      <c r="N406" s="29"/>
      <c r="O406" s="29"/>
      <c r="P406" s="29"/>
      <c r="Q406" s="29"/>
      <c r="R406" s="29"/>
      <c r="S406" s="29"/>
      <c r="T406" s="29"/>
      <c r="U406" s="29"/>
      <c r="V406" s="29"/>
      <c r="W406" s="29"/>
      <c r="X406" s="29"/>
      <c r="Y406" s="29"/>
      <c r="Z406" s="29"/>
      <c r="AA406" s="29"/>
      <c r="AB406" s="29"/>
      <c r="AC406" s="29"/>
      <c r="AD406" s="29"/>
      <c r="AE406" s="29"/>
      <c r="AF406" s="29"/>
      <c r="AG406" s="29"/>
      <c r="AH406" s="29"/>
      <c r="AI406" s="29"/>
      <c r="AJ406" s="29"/>
      <c r="AK406" s="29"/>
      <c r="AL406" s="29"/>
      <c r="AM406" s="29"/>
      <c r="AN406" s="29"/>
      <c r="AO406" s="29"/>
      <c r="AP406" s="29"/>
      <c r="AQ406" s="29"/>
      <c r="AR406" s="29"/>
      <c r="AS406" s="29"/>
      <c r="AT406" s="29"/>
      <c r="AU406" s="29"/>
      <c r="AV406" s="29"/>
      <c r="AW406" s="29"/>
      <c r="AX406" s="29"/>
    </row>
    <row r="407" ht="15.75" customHeight="1">
      <c r="A407" s="29"/>
      <c r="B407" s="29"/>
      <c r="C407" s="31"/>
      <c r="D407" s="29"/>
      <c r="E407" s="29"/>
      <c r="F407" s="29"/>
      <c r="G407" s="29"/>
      <c r="H407" s="29"/>
      <c r="I407" s="29"/>
      <c r="J407" s="29"/>
      <c r="K407" s="29"/>
      <c r="L407" s="29"/>
      <c r="M407" s="29"/>
      <c r="N407" s="29"/>
      <c r="O407" s="29"/>
      <c r="P407" s="29"/>
      <c r="Q407" s="29"/>
      <c r="R407" s="29"/>
      <c r="S407" s="29"/>
      <c r="T407" s="29"/>
      <c r="U407" s="29"/>
      <c r="V407" s="29"/>
      <c r="W407" s="29"/>
      <c r="X407" s="29"/>
      <c r="Y407" s="29"/>
      <c r="Z407" s="29"/>
      <c r="AA407" s="29"/>
      <c r="AB407" s="29"/>
      <c r="AC407" s="29"/>
      <c r="AD407" s="29"/>
      <c r="AE407" s="29"/>
      <c r="AF407" s="29"/>
      <c r="AG407" s="29"/>
      <c r="AH407" s="29"/>
      <c r="AI407" s="29"/>
      <c r="AJ407" s="29"/>
      <c r="AK407" s="29"/>
      <c r="AL407" s="29"/>
      <c r="AM407" s="29"/>
      <c r="AN407" s="29"/>
      <c r="AO407" s="29"/>
      <c r="AP407" s="29"/>
      <c r="AQ407" s="29"/>
      <c r="AR407" s="29"/>
      <c r="AS407" s="29"/>
      <c r="AT407" s="29"/>
      <c r="AU407" s="29"/>
      <c r="AV407" s="29"/>
      <c r="AW407" s="29"/>
      <c r="AX407" s="29"/>
    </row>
    <row r="408" ht="15.75" customHeight="1">
      <c r="A408" s="29"/>
      <c r="B408" s="29"/>
      <c r="C408" s="31"/>
      <c r="D408" s="29"/>
      <c r="E408" s="29"/>
      <c r="F408" s="29"/>
      <c r="G408" s="29"/>
      <c r="H408" s="29"/>
      <c r="I408" s="29"/>
      <c r="J408" s="29"/>
      <c r="K408" s="29"/>
      <c r="L408" s="29"/>
      <c r="M408" s="29"/>
      <c r="N408" s="29"/>
      <c r="O408" s="29"/>
      <c r="P408" s="29"/>
      <c r="Q408" s="29"/>
      <c r="R408" s="29"/>
      <c r="S408" s="29"/>
      <c r="T408" s="29"/>
      <c r="U408" s="29"/>
      <c r="V408" s="29"/>
      <c r="W408" s="29"/>
      <c r="X408" s="29"/>
      <c r="Y408" s="29"/>
      <c r="Z408" s="29"/>
      <c r="AA408" s="29"/>
      <c r="AB408" s="29"/>
      <c r="AC408" s="29"/>
      <c r="AD408" s="29"/>
      <c r="AE408" s="29"/>
      <c r="AF408" s="29"/>
      <c r="AG408" s="29"/>
      <c r="AH408" s="29"/>
      <c r="AI408" s="29"/>
      <c r="AJ408" s="29"/>
      <c r="AK408" s="29"/>
      <c r="AL408" s="29"/>
      <c r="AM408" s="29"/>
      <c r="AN408" s="29"/>
      <c r="AO408" s="29"/>
      <c r="AP408" s="29"/>
      <c r="AQ408" s="29"/>
      <c r="AR408" s="29"/>
      <c r="AS408" s="29"/>
      <c r="AT408" s="29"/>
      <c r="AU408" s="29"/>
      <c r="AV408" s="29"/>
      <c r="AW408" s="29"/>
      <c r="AX408" s="29"/>
    </row>
    <row r="409" ht="15.75" customHeight="1">
      <c r="A409" s="29"/>
      <c r="B409" s="29"/>
      <c r="C409" s="31"/>
      <c r="D409" s="29"/>
      <c r="E409" s="29"/>
      <c r="F409" s="29"/>
      <c r="G409" s="29"/>
      <c r="H409" s="29"/>
      <c r="I409" s="29"/>
      <c r="J409" s="29"/>
      <c r="K409" s="29"/>
      <c r="L409" s="29"/>
      <c r="M409" s="29"/>
      <c r="N409" s="29"/>
      <c r="O409" s="29"/>
      <c r="P409" s="29"/>
      <c r="Q409" s="29"/>
      <c r="R409" s="29"/>
      <c r="S409" s="29"/>
      <c r="T409" s="29"/>
      <c r="U409" s="29"/>
      <c r="V409" s="29"/>
      <c r="W409" s="29"/>
      <c r="X409" s="29"/>
      <c r="Y409" s="29"/>
      <c r="Z409" s="29"/>
      <c r="AA409" s="29"/>
      <c r="AB409" s="29"/>
      <c r="AC409" s="29"/>
      <c r="AD409" s="29"/>
      <c r="AE409" s="29"/>
      <c r="AF409" s="29"/>
      <c r="AG409" s="29"/>
      <c r="AH409" s="29"/>
      <c r="AI409" s="29"/>
      <c r="AJ409" s="29"/>
      <c r="AK409" s="29"/>
      <c r="AL409" s="29"/>
      <c r="AM409" s="29"/>
      <c r="AN409" s="29"/>
      <c r="AO409" s="29"/>
      <c r="AP409" s="29"/>
      <c r="AQ409" s="29"/>
      <c r="AR409" s="29"/>
      <c r="AS409" s="29"/>
      <c r="AT409" s="29"/>
      <c r="AU409" s="29"/>
      <c r="AV409" s="29"/>
      <c r="AW409" s="29"/>
      <c r="AX409" s="29"/>
    </row>
    <row r="410" ht="15.75" customHeight="1">
      <c r="A410" s="29"/>
      <c r="B410" s="29"/>
      <c r="C410" s="31"/>
      <c r="D410" s="29"/>
      <c r="E410" s="29"/>
      <c r="F410" s="29"/>
      <c r="G410" s="29"/>
      <c r="H410" s="29"/>
      <c r="I410" s="29"/>
      <c r="J410" s="29"/>
      <c r="K410" s="29"/>
      <c r="L410" s="29"/>
      <c r="M410" s="29"/>
      <c r="N410" s="29"/>
      <c r="O410" s="29"/>
      <c r="P410" s="29"/>
      <c r="Q410" s="29"/>
      <c r="R410" s="29"/>
      <c r="S410" s="29"/>
      <c r="T410" s="29"/>
      <c r="U410" s="29"/>
      <c r="V410" s="29"/>
      <c r="W410" s="29"/>
      <c r="X410" s="29"/>
      <c r="Y410" s="29"/>
      <c r="Z410" s="29"/>
      <c r="AA410" s="29"/>
      <c r="AB410" s="29"/>
      <c r="AC410" s="29"/>
      <c r="AD410" s="29"/>
      <c r="AE410" s="29"/>
      <c r="AF410" s="29"/>
      <c r="AG410" s="29"/>
      <c r="AH410" s="29"/>
      <c r="AI410" s="29"/>
      <c r="AJ410" s="29"/>
      <c r="AK410" s="29"/>
      <c r="AL410" s="29"/>
      <c r="AM410" s="29"/>
      <c r="AN410" s="29"/>
      <c r="AO410" s="29"/>
      <c r="AP410" s="29"/>
      <c r="AQ410" s="29"/>
      <c r="AR410" s="29"/>
      <c r="AS410" s="29"/>
      <c r="AT410" s="29"/>
      <c r="AU410" s="29"/>
      <c r="AV410" s="29"/>
      <c r="AW410" s="29"/>
      <c r="AX410" s="29"/>
    </row>
    <row r="411" ht="15.75" customHeight="1">
      <c r="A411" s="29"/>
      <c r="B411" s="29"/>
      <c r="C411" s="31"/>
      <c r="D411" s="29"/>
      <c r="E411" s="29"/>
      <c r="F411" s="29"/>
      <c r="G411" s="29"/>
      <c r="H411" s="29"/>
      <c r="I411" s="29"/>
      <c r="J411" s="29"/>
      <c r="K411" s="29"/>
      <c r="L411" s="29"/>
      <c r="M411" s="29"/>
      <c r="N411" s="29"/>
      <c r="O411" s="29"/>
      <c r="P411" s="29"/>
      <c r="Q411" s="29"/>
      <c r="R411" s="29"/>
      <c r="S411" s="29"/>
      <c r="T411" s="29"/>
      <c r="U411" s="29"/>
      <c r="V411" s="29"/>
      <c r="W411" s="29"/>
      <c r="X411" s="29"/>
      <c r="Y411" s="29"/>
      <c r="Z411" s="29"/>
      <c r="AA411" s="29"/>
      <c r="AB411" s="29"/>
      <c r="AC411" s="29"/>
      <c r="AD411" s="29"/>
      <c r="AE411" s="29"/>
      <c r="AF411" s="29"/>
      <c r="AG411" s="29"/>
      <c r="AH411" s="29"/>
      <c r="AI411" s="29"/>
      <c r="AJ411" s="29"/>
      <c r="AK411" s="29"/>
      <c r="AL411" s="29"/>
      <c r="AM411" s="29"/>
      <c r="AN411" s="29"/>
      <c r="AO411" s="29"/>
      <c r="AP411" s="29"/>
      <c r="AQ411" s="29"/>
      <c r="AR411" s="29"/>
      <c r="AS411" s="29"/>
      <c r="AT411" s="29"/>
      <c r="AU411" s="29"/>
      <c r="AV411" s="29"/>
      <c r="AW411" s="29"/>
      <c r="AX411" s="29"/>
    </row>
    <row r="412" ht="15.75" customHeight="1">
      <c r="A412" s="29"/>
      <c r="B412" s="29"/>
      <c r="C412" s="31"/>
      <c r="D412" s="29"/>
      <c r="E412" s="29"/>
      <c r="F412" s="29"/>
      <c r="G412" s="29"/>
      <c r="H412" s="29"/>
      <c r="I412" s="29"/>
      <c r="J412" s="29"/>
      <c r="K412" s="29"/>
      <c r="L412" s="29"/>
      <c r="M412" s="29"/>
      <c r="N412" s="29"/>
      <c r="O412" s="29"/>
      <c r="P412" s="29"/>
      <c r="Q412" s="29"/>
      <c r="R412" s="29"/>
      <c r="S412" s="29"/>
      <c r="T412" s="29"/>
      <c r="U412" s="29"/>
      <c r="V412" s="29"/>
      <c r="W412" s="29"/>
      <c r="X412" s="29"/>
      <c r="Y412" s="29"/>
      <c r="Z412" s="29"/>
      <c r="AA412" s="29"/>
      <c r="AB412" s="29"/>
      <c r="AC412" s="29"/>
      <c r="AD412" s="29"/>
      <c r="AE412" s="29"/>
      <c r="AF412" s="29"/>
      <c r="AG412" s="29"/>
      <c r="AH412" s="29"/>
      <c r="AI412" s="29"/>
      <c r="AJ412" s="29"/>
      <c r="AK412" s="29"/>
      <c r="AL412" s="29"/>
      <c r="AM412" s="29"/>
      <c r="AN412" s="29"/>
      <c r="AO412" s="29"/>
      <c r="AP412" s="29"/>
      <c r="AQ412" s="29"/>
      <c r="AR412" s="29"/>
      <c r="AS412" s="29"/>
      <c r="AT412" s="29"/>
      <c r="AU412" s="29"/>
      <c r="AV412" s="29"/>
      <c r="AW412" s="29"/>
      <c r="AX412" s="29"/>
    </row>
    <row r="413" ht="15.75" customHeight="1">
      <c r="A413" s="29"/>
      <c r="B413" s="29"/>
      <c r="C413" s="31"/>
      <c r="D413" s="29"/>
      <c r="E413" s="29"/>
      <c r="F413" s="29"/>
      <c r="G413" s="29"/>
      <c r="H413" s="29"/>
      <c r="I413" s="29"/>
      <c r="J413" s="29"/>
      <c r="K413" s="29"/>
      <c r="L413" s="29"/>
      <c r="M413" s="29"/>
      <c r="N413" s="29"/>
      <c r="O413" s="29"/>
      <c r="P413" s="29"/>
      <c r="Q413" s="29"/>
      <c r="R413" s="29"/>
      <c r="S413" s="29"/>
      <c r="T413" s="29"/>
      <c r="U413" s="29"/>
      <c r="V413" s="29"/>
      <c r="W413" s="29"/>
      <c r="X413" s="29"/>
      <c r="Y413" s="29"/>
      <c r="Z413" s="29"/>
      <c r="AA413" s="29"/>
      <c r="AB413" s="29"/>
      <c r="AC413" s="29"/>
      <c r="AD413" s="29"/>
      <c r="AE413" s="29"/>
      <c r="AF413" s="29"/>
      <c r="AG413" s="29"/>
      <c r="AH413" s="29"/>
      <c r="AI413" s="29"/>
      <c r="AJ413" s="29"/>
      <c r="AK413" s="29"/>
      <c r="AL413" s="29"/>
      <c r="AM413" s="29"/>
      <c r="AN413" s="29"/>
      <c r="AO413" s="29"/>
      <c r="AP413" s="29"/>
      <c r="AQ413" s="29"/>
      <c r="AR413" s="29"/>
      <c r="AS413" s="29"/>
      <c r="AT413" s="29"/>
      <c r="AU413" s="29"/>
      <c r="AV413" s="29"/>
      <c r="AW413" s="29"/>
      <c r="AX413" s="29"/>
    </row>
    <row r="414" ht="15.75" customHeight="1">
      <c r="A414" s="29"/>
      <c r="B414" s="29"/>
      <c r="C414" s="31"/>
      <c r="D414" s="29"/>
      <c r="E414" s="29"/>
      <c r="F414" s="29"/>
      <c r="G414" s="29"/>
      <c r="H414" s="29"/>
      <c r="I414" s="29"/>
      <c r="J414" s="29"/>
      <c r="K414" s="29"/>
      <c r="L414" s="29"/>
      <c r="M414" s="29"/>
      <c r="N414" s="29"/>
      <c r="O414" s="29"/>
      <c r="P414" s="29"/>
      <c r="Q414" s="29"/>
      <c r="R414" s="29"/>
      <c r="S414" s="29"/>
      <c r="T414" s="29"/>
      <c r="U414" s="29"/>
      <c r="V414" s="29"/>
      <c r="W414" s="29"/>
      <c r="X414" s="29"/>
      <c r="Y414" s="29"/>
      <c r="Z414" s="29"/>
      <c r="AA414" s="29"/>
      <c r="AB414" s="29"/>
      <c r="AC414" s="29"/>
      <c r="AD414" s="29"/>
      <c r="AE414" s="29"/>
      <c r="AF414" s="29"/>
      <c r="AG414" s="29"/>
      <c r="AH414" s="29"/>
      <c r="AI414" s="29"/>
      <c r="AJ414" s="29"/>
      <c r="AK414" s="29"/>
      <c r="AL414" s="29"/>
      <c r="AM414" s="29"/>
      <c r="AN414" s="29"/>
      <c r="AO414" s="29"/>
      <c r="AP414" s="29"/>
      <c r="AQ414" s="29"/>
      <c r="AR414" s="29"/>
      <c r="AS414" s="29"/>
      <c r="AT414" s="29"/>
      <c r="AU414" s="29"/>
      <c r="AV414" s="29"/>
      <c r="AW414" s="29"/>
      <c r="AX414" s="29"/>
    </row>
    <row r="415" ht="15.75" customHeight="1">
      <c r="A415" s="29"/>
      <c r="B415" s="29"/>
      <c r="C415" s="31"/>
      <c r="D415" s="29"/>
      <c r="E415" s="29"/>
      <c r="F415" s="29"/>
      <c r="G415" s="29"/>
      <c r="H415" s="29"/>
      <c r="I415" s="29"/>
      <c r="J415" s="29"/>
      <c r="K415" s="29"/>
      <c r="L415" s="29"/>
      <c r="M415" s="29"/>
      <c r="N415" s="29"/>
      <c r="O415" s="29"/>
      <c r="P415" s="29"/>
      <c r="Q415" s="29"/>
      <c r="R415" s="29"/>
      <c r="S415" s="29"/>
      <c r="T415" s="29"/>
      <c r="U415" s="29"/>
      <c r="V415" s="29"/>
      <c r="W415" s="29"/>
      <c r="X415" s="29"/>
      <c r="Y415" s="29"/>
      <c r="Z415" s="29"/>
      <c r="AA415" s="29"/>
      <c r="AB415" s="29"/>
      <c r="AC415" s="29"/>
      <c r="AD415" s="29"/>
      <c r="AE415" s="29"/>
      <c r="AF415" s="29"/>
      <c r="AG415" s="29"/>
      <c r="AH415" s="29"/>
      <c r="AI415" s="29"/>
      <c r="AJ415" s="29"/>
      <c r="AK415" s="29"/>
      <c r="AL415" s="29"/>
      <c r="AM415" s="29"/>
      <c r="AN415" s="29"/>
      <c r="AO415" s="29"/>
      <c r="AP415" s="29"/>
      <c r="AQ415" s="29"/>
      <c r="AR415" s="29"/>
      <c r="AS415" s="29"/>
      <c r="AT415" s="29"/>
      <c r="AU415" s="29"/>
      <c r="AV415" s="29"/>
      <c r="AW415" s="29"/>
      <c r="AX415" s="29"/>
    </row>
    <row r="416" ht="15.75" customHeight="1">
      <c r="A416" s="29"/>
      <c r="B416" s="29"/>
      <c r="C416" s="31"/>
      <c r="D416" s="29"/>
      <c r="E416" s="29"/>
      <c r="F416" s="29"/>
      <c r="G416" s="29"/>
      <c r="H416" s="29"/>
      <c r="I416" s="29"/>
      <c r="J416" s="29"/>
      <c r="K416" s="29"/>
      <c r="L416" s="29"/>
      <c r="M416" s="29"/>
      <c r="N416" s="29"/>
      <c r="O416" s="29"/>
      <c r="P416" s="29"/>
      <c r="Q416" s="29"/>
      <c r="R416" s="29"/>
      <c r="S416" s="29"/>
      <c r="T416" s="29"/>
      <c r="U416" s="29"/>
      <c r="V416" s="29"/>
      <c r="W416" s="29"/>
      <c r="X416" s="29"/>
      <c r="Y416" s="29"/>
      <c r="Z416" s="29"/>
      <c r="AA416" s="29"/>
      <c r="AB416" s="29"/>
      <c r="AC416" s="29"/>
      <c r="AD416" s="29"/>
      <c r="AE416" s="29"/>
      <c r="AF416" s="29"/>
      <c r="AG416" s="29"/>
      <c r="AH416" s="29"/>
      <c r="AI416" s="29"/>
      <c r="AJ416" s="29"/>
      <c r="AK416" s="29"/>
      <c r="AL416" s="29"/>
      <c r="AM416" s="29"/>
      <c r="AN416" s="29"/>
      <c r="AO416" s="29"/>
      <c r="AP416" s="29"/>
      <c r="AQ416" s="29"/>
      <c r="AR416" s="29"/>
      <c r="AS416" s="29"/>
      <c r="AT416" s="29"/>
      <c r="AU416" s="29"/>
      <c r="AV416" s="29"/>
      <c r="AW416" s="29"/>
      <c r="AX416" s="29"/>
    </row>
    <row r="417" ht="15.75" customHeight="1">
      <c r="A417" s="29"/>
      <c r="B417" s="29"/>
      <c r="C417" s="31"/>
      <c r="D417" s="29"/>
      <c r="E417" s="29"/>
      <c r="F417" s="29"/>
      <c r="G417" s="29"/>
      <c r="H417" s="29"/>
      <c r="I417" s="29"/>
      <c r="J417" s="29"/>
      <c r="K417" s="29"/>
      <c r="L417" s="29"/>
      <c r="M417" s="29"/>
      <c r="N417" s="29"/>
      <c r="O417" s="29"/>
      <c r="P417" s="29"/>
      <c r="Q417" s="29"/>
      <c r="R417" s="29"/>
      <c r="S417" s="29"/>
      <c r="T417" s="29"/>
      <c r="U417" s="29"/>
      <c r="V417" s="29"/>
      <c r="W417" s="29"/>
      <c r="X417" s="29"/>
      <c r="Y417" s="29"/>
      <c r="Z417" s="29"/>
      <c r="AA417" s="29"/>
      <c r="AB417" s="29"/>
      <c r="AC417" s="29"/>
      <c r="AD417" s="29"/>
      <c r="AE417" s="29"/>
      <c r="AF417" s="29"/>
      <c r="AG417" s="29"/>
      <c r="AH417" s="29"/>
      <c r="AI417" s="29"/>
      <c r="AJ417" s="29"/>
      <c r="AK417" s="29"/>
      <c r="AL417" s="29"/>
      <c r="AM417" s="29"/>
      <c r="AN417" s="29"/>
      <c r="AO417" s="29"/>
      <c r="AP417" s="29"/>
      <c r="AQ417" s="29"/>
      <c r="AR417" s="29"/>
      <c r="AS417" s="29"/>
      <c r="AT417" s="29"/>
      <c r="AU417" s="29"/>
      <c r="AV417" s="29"/>
      <c r="AW417" s="29"/>
      <c r="AX417" s="29"/>
    </row>
    <row r="418" ht="15.75" customHeight="1">
      <c r="A418" s="29"/>
      <c r="B418" s="29"/>
      <c r="C418" s="31"/>
      <c r="D418" s="29"/>
      <c r="E418" s="29"/>
      <c r="F418" s="29"/>
      <c r="G418" s="29"/>
      <c r="H418" s="29"/>
      <c r="I418" s="29"/>
      <c r="J418" s="29"/>
      <c r="K418" s="29"/>
      <c r="L418" s="29"/>
      <c r="M418" s="29"/>
      <c r="N418" s="29"/>
      <c r="O418" s="29"/>
      <c r="P418" s="29"/>
      <c r="Q418" s="29"/>
      <c r="R418" s="29"/>
      <c r="S418" s="29"/>
      <c r="T418" s="29"/>
      <c r="U418" s="29"/>
      <c r="V418" s="29"/>
      <c r="W418" s="29"/>
      <c r="X418" s="29"/>
      <c r="Y418" s="29"/>
      <c r="Z418" s="29"/>
      <c r="AA418" s="29"/>
      <c r="AB418" s="29"/>
      <c r="AC418" s="29"/>
      <c r="AD418" s="29"/>
      <c r="AE418" s="29"/>
      <c r="AF418" s="29"/>
      <c r="AG418" s="29"/>
      <c r="AH418" s="29"/>
      <c r="AI418" s="29"/>
      <c r="AJ418" s="29"/>
      <c r="AK418" s="29"/>
      <c r="AL418" s="29"/>
      <c r="AM418" s="29"/>
      <c r="AN418" s="29"/>
      <c r="AO418" s="29"/>
      <c r="AP418" s="29"/>
      <c r="AQ418" s="29"/>
      <c r="AR418" s="29"/>
      <c r="AS418" s="29"/>
      <c r="AT418" s="29"/>
      <c r="AU418" s="29"/>
      <c r="AV418" s="29"/>
      <c r="AW418" s="29"/>
      <c r="AX418" s="29"/>
    </row>
    <row r="419" ht="15.75" customHeight="1">
      <c r="A419" s="29"/>
      <c r="B419" s="29"/>
      <c r="C419" s="31"/>
      <c r="D419" s="29"/>
      <c r="E419" s="29"/>
      <c r="F419" s="29"/>
      <c r="G419" s="29"/>
      <c r="H419" s="29"/>
      <c r="I419" s="29"/>
      <c r="J419" s="29"/>
      <c r="K419" s="29"/>
      <c r="L419" s="29"/>
      <c r="M419" s="29"/>
      <c r="N419" s="29"/>
      <c r="O419" s="29"/>
      <c r="P419" s="29"/>
      <c r="Q419" s="29"/>
      <c r="R419" s="29"/>
      <c r="S419" s="29"/>
      <c r="T419" s="29"/>
      <c r="U419" s="29"/>
      <c r="V419" s="29"/>
      <c r="W419" s="29"/>
      <c r="X419" s="29"/>
      <c r="Y419" s="29"/>
      <c r="Z419" s="29"/>
      <c r="AA419" s="29"/>
      <c r="AB419" s="29"/>
      <c r="AC419" s="29"/>
      <c r="AD419" s="29"/>
      <c r="AE419" s="29"/>
      <c r="AF419" s="29"/>
      <c r="AG419" s="29"/>
      <c r="AH419" s="29"/>
      <c r="AI419" s="29"/>
      <c r="AJ419" s="29"/>
      <c r="AK419" s="29"/>
      <c r="AL419" s="29"/>
      <c r="AM419" s="29"/>
      <c r="AN419" s="29"/>
      <c r="AO419" s="29"/>
      <c r="AP419" s="29"/>
      <c r="AQ419" s="29"/>
      <c r="AR419" s="29"/>
      <c r="AS419" s="29"/>
      <c r="AT419" s="29"/>
      <c r="AU419" s="29"/>
      <c r="AV419" s="29"/>
      <c r="AW419" s="29"/>
      <c r="AX419" s="29"/>
    </row>
    <row r="420" ht="15.75" customHeight="1">
      <c r="A420" s="29"/>
      <c r="B420" s="29"/>
      <c r="C420" s="31"/>
      <c r="D420" s="29"/>
      <c r="E420" s="29"/>
      <c r="F420" s="29"/>
      <c r="G420" s="29"/>
      <c r="H420" s="29"/>
      <c r="I420" s="29"/>
      <c r="J420" s="29"/>
      <c r="K420" s="29"/>
      <c r="L420" s="29"/>
      <c r="M420" s="29"/>
      <c r="N420" s="29"/>
      <c r="O420" s="29"/>
      <c r="P420" s="29"/>
      <c r="Q420" s="29"/>
      <c r="R420" s="29"/>
      <c r="S420" s="29"/>
      <c r="T420" s="29"/>
      <c r="U420" s="29"/>
      <c r="V420" s="29"/>
      <c r="W420" s="29"/>
      <c r="X420" s="29"/>
      <c r="Y420" s="29"/>
      <c r="Z420" s="29"/>
      <c r="AA420" s="29"/>
      <c r="AB420" s="29"/>
      <c r="AC420" s="29"/>
      <c r="AD420" s="29"/>
      <c r="AE420" s="29"/>
      <c r="AF420" s="29"/>
      <c r="AG420" s="29"/>
      <c r="AH420" s="29"/>
      <c r="AI420" s="29"/>
      <c r="AJ420" s="29"/>
      <c r="AK420" s="29"/>
      <c r="AL420" s="29"/>
      <c r="AM420" s="29"/>
      <c r="AN420" s="29"/>
      <c r="AO420" s="29"/>
      <c r="AP420" s="29"/>
      <c r="AQ420" s="29"/>
      <c r="AR420" s="29"/>
      <c r="AS420" s="29"/>
      <c r="AT420" s="29"/>
      <c r="AU420" s="29"/>
      <c r="AV420" s="29"/>
      <c r="AW420" s="29"/>
      <c r="AX420" s="29"/>
    </row>
    <row r="421" ht="15.75" customHeight="1">
      <c r="A421" s="29"/>
      <c r="B421" s="29"/>
      <c r="C421" s="31"/>
      <c r="D421" s="29"/>
      <c r="E421" s="29"/>
      <c r="F421" s="29"/>
      <c r="G421" s="29"/>
      <c r="H421" s="29"/>
      <c r="I421" s="29"/>
      <c r="J421" s="29"/>
      <c r="K421" s="29"/>
      <c r="L421" s="29"/>
      <c r="M421" s="29"/>
      <c r="N421" s="29"/>
      <c r="O421" s="29"/>
      <c r="P421" s="29"/>
      <c r="Q421" s="29"/>
      <c r="R421" s="29"/>
      <c r="S421" s="29"/>
      <c r="T421" s="29"/>
      <c r="U421" s="29"/>
      <c r="V421" s="29"/>
      <c r="W421" s="29"/>
      <c r="X421" s="29"/>
      <c r="Y421" s="29"/>
      <c r="Z421" s="29"/>
      <c r="AA421" s="29"/>
      <c r="AB421" s="29"/>
      <c r="AC421" s="29"/>
      <c r="AD421" s="29"/>
      <c r="AE421" s="29"/>
      <c r="AF421" s="29"/>
      <c r="AG421" s="29"/>
      <c r="AH421" s="29"/>
      <c r="AI421" s="29"/>
      <c r="AJ421" s="29"/>
      <c r="AK421" s="29"/>
      <c r="AL421" s="29"/>
      <c r="AM421" s="29"/>
      <c r="AN421" s="29"/>
      <c r="AO421" s="29"/>
      <c r="AP421" s="29"/>
      <c r="AQ421" s="29"/>
      <c r="AR421" s="29"/>
      <c r="AS421" s="29"/>
      <c r="AT421" s="29"/>
      <c r="AU421" s="29"/>
      <c r="AV421" s="29"/>
      <c r="AW421" s="29"/>
      <c r="AX421" s="29"/>
    </row>
    <row r="422" ht="15.75" customHeight="1">
      <c r="A422" s="29"/>
      <c r="B422" s="29"/>
      <c r="C422" s="31"/>
      <c r="D422" s="29"/>
      <c r="E422" s="29"/>
      <c r="F422" s="29"/>
      <c r="G422" s="29"/>
      <c r="H422" s="29"/>
      <c r="I422" s="29"/>
      <c r="J422" s="29"/>
      <c r="K422" s="29"/>
      <c r="L422" s="29"/>
      <c r="M422" s="29"/>
      <c r="N422" s="29"/>
      <c r="O422" s="29"/>
      <c r="P422" s="29"/>
      <c r="Q422" s="29"/>
      <c r="R422" s="29"/>
      <c r="S422" s="29"/>
      <c r="T422" s="29"/>
      <c r="U422" s="29"/>
      <c r="V422" s="29"/>
      <c r="W422" s="29"/>
      <c r="X422" s="29"/>
      <c r="Y422" s="29"/>
      <c r="Z422" s="29"/>
      <c r="AA422" s="29"/>
      <c r="AB422" s="29"/>
      <c r="AC422" s="29"/>
      <c r="AD422" s="29"/>
      <c r="AE422" s="29"/>
      <c r="AF422" s="29"/>
      <c r="AG422" s="29"/>
      <c r="AH422" s="29"/>
      <c r="AI422" s="29"/>
      <c r="AJ422" s="29"/>
      <c r="AK422" s="29"/>
      <c r="AL422" s="29"/>
      <c r="AM422" s="29"/>
      <c r="AN422" s="29"/>
      <c r="AO422" s="29"/>
      <c r="AP422" s="29"/>
      <c r="AQ422" s="29"/>
      <c r="AR422" s="29"/>
      <c r="AS422" s="29"/>
      <c r="AT422" s="29"/>
      <c r="AU422" s="29"/>
      <c r="AV422" s="29"/>
      <c r="AW422" s="29"/>
      <c r="AX422" s="29"/>
    </row>
    <row r="423" ht="15.75" customHeight="1">
      <c r="A423" s="29"/>
      <c r="B423" s="29"/>
      <c r="C423" s="31"/>
      <c r="D423" s="29"/>
      <c r="E423" s="29"/>
      <c r="F423" s="29"/>
      <c r="G423" s="29"/>
      <c r="H423" s="29"/>
      <c r="I423" s="29"/>
      <c r="J423" s="29"/>
      <c r="K423" s="29"/>
      <c r="L423" s="29"/>
      <c r="M423" s="29"/>
      <c r="N423" s="29"/>
      <c r="O423" s="29"/>
      <c r="P423" s="29"/>
      <c r="Q423" s="29"/>
      <c r="R423" s="29"/>
      <c r="S423" s="29"/>
      <c r="T423" s="29"/>
      <c r="U423" s="29"/>
      <c r="V423" s="29"/>
      <c r="W423" s="29"/>
      <c r="X423" s="29"/>
      <c r="Y423" s="29"/>
      <c r="Z423" s="29"/>
      <c r="AA423" s="29"/>
      <c r="AB423" s="29"/>
      <c r="AC423" s="29"/>
      <c r="AD423" s="29"/>
      <c r="AE423" s="29"/>
      <c r="AF423" s="29"/>
      <c r="AG423" s="29"/>
      <c r="AH423" s="29"/>
      <c r="AI423" s="29"/>
      <c r="AJ423" s="29"/>
      <c r="AK423" s="29"/>
      <c r="AL423" s="29"/>
      <c r="AM423" s="29"/>
      <c r="AN423" s="29"/>
      <c r="AO423" s="29"/>
      <c r="AP423" s="29"/>
      <c r="AQ423" s="29"/>
      <c r="AR423" s="29"/>
      <c r="AS423" s="29"/>
      <c r="AT423" s="29"/>
      <c r="AU423" s="29"/>
      <c r="AV423" s="29"/>
      <c r="AW423" s="29"/>
      <c r="AX423" s="29"/>
    </row>
    <row r="424" ht="15.75" customHeight="1">
      <c r="A424" s="29"/>
      <c r="B424" s="29"/>
      <c r="C424" s="31"/>
      <c r="D424" s="29"/>
      <c r="E424" s="29"/>
      <c r="F424" s="29"/>
      <c r="G424" s="29"/>
      <c r="H424" s="29"/>
      <c r="I424" s="29"/>
      <c r="J424" s="29"/>
      <c r="K424" s="29"/>
      <c r="L424" s="29"/>
      <c r="M424" s="29"/>
      <c r="N424" s="29"/>
      <c r="O424" s="29"/>
      <c r="P424" s="29"/>
      <c r="Q424" s="29"/>
      <c r="R424" s="29"/>
      <c r="S424" s="29"/>
      <c r="T424" s="29"/>
      <c r="U424" s="29"/>
      <c r="V424" s="29"/>
      <c r="W424" s="29"/>
      <c r="X424" s="29"/>
      <c r="Y424" s="29"/>
      <c r="Z424" s="29"/>
      <c r="AA424" s="29"/>
      <c r="AB424" s="29"/>
      <c r="AC424" s="29"/>
      <c r="AD424" s="29"/>
      <c r="AE424" s="29"/>
      <c r="AF424" s="29"/>
      <c r="AG424" s="29"/>
      <c r="AH424" s="29"/>
      <c r="AI424" s="29"/>
      <c r="AJ424" s="29"/>
      <c r="AK424" s="29"/>
      <c r="AL424" s="29"/>
      <c r="AM424" s="29"/>
      <c r="AN424" s="29"/>
      <c r="AO424" s="29"/>
      <c r="AP424" s="29"/>
      <c r="AQ424" s="29"/>
      <c r="AR424" s="29"/>
      <c r="AS424" s="29"/>
      <c r="AT424" s="29"/>
      <c r="AU424" s="29"/>
      <c r="AV424" s="29"/>
      <c r="AW424" s="29"/>
      <c r="AX424" s="29"/>
    </row>
    <row r="425" ht="15.75" customHeight="1">
      <c r="A425" s="29"/>
      <c r="B425" s="29"/>
      <c r="C425" s="31"/>
      <c r="D425" s="29"/>
      <c r="E425" s="29"/>
      <c r="F425" s="29"/>
      <c r="G425" s="29"/>
      <c r="H425" s="29"/>
      <c r="I425" s="29"/>
      <c r="J425" s="29"/>
      <c r="K425" s="29"/>
      <c r="L425" s="29"/>
      <c r="M425" s="29"/>
      <c r="N425" s="29"/>
      <c r="O425" s="29"/>
      <c r="P425" s="29"/>
      <c r="Q425" s="29"/>
      <c r="R425" s="29"/>
      <c r="S425" s="29"/>
      <c r="T425" s="29"/>
      <c r="U425" s="29"/>
      <c r="V425" s="29"/>
      <c r="W425" s="29"/>
      <c r="X425" s="29"/>
      <c r="Y425" s="29"/>
      <c r="Z425" s="29"/>
      <c r="AA425" s="29"/>
      <c r="AB425" s="29"/>
      <c r="AC425" s="29"/>
      <c r="AD425" s="29"/>
      <c r="AE425" s="29"/>
      <c r="AF425" s="29"/>
      <c r="AG425" s="29"/>
      <c r="AH425" s="29"/>
      <c r="AI425" s="29"/>
      <c r="AJ425" s="29"/>
      <c r="AK425" s="29"/>
      <c r="AL425" s="29"/>
      <c r="AM425" s="29"/>
      <c r="AN425" s="29"/>
      <c r="AO425" s="29"/>
      <c r="AP425" s="29"/>
      <c r="AQ425" s="29"/>
      <c r="AR425" s="29"/>
      <c r="AS425" s="29"/>
      <c r="AT425" s="29"/>
      <c r="AU425" s="29"/>
      <c r="AV425" s="29"/>
      <c r="AW425" s="29"/>
      <c r="AX425" s="29"/>
    </row>
    <row r="426" ht="15.75" customHeight="1">
      <c r="A426" s="29"/>
      <c r="B426" s="29"/>
      <c r="C426" s="31"/>
      <c r="D426" s="29"/>
      <c r="E426" s="29"/>
      <c r="F426" s="29"/>
      <c r="G426" s="29"/>
      <c r="H426" s="29"/>
      <c r="I426" s="29"/>
      <c r="J426" s="29"/>
      <c r="K426" s="29"/>
      <c r="L426" s="29"/>
      <c r="M426" s="29"/>
      <c r="N426" s="29"/>
      <c r="O426" s="29"/>
      <c r="P426" s="29"/>
      <c r="Q426" s="29"/>
      <c r="R426" s="29"/>
      <c r="S426" s="29"/>
      <c r="T426" s="29"/>
      <c r="U426" s="29"/>
      <c r="V426" s="29"/>
      <c r="W426" s="29"/>
      <c r="X426" s="29"/>
      <c r="Y426" s="29"/>
      <c r="Z426" s="29"/>
      <c r="AA426" s="29"/>
      <c r="AB426" s="29"/>
      <c r="AC426" s="29"/>
      <c r="AD426" s="29"/>
      <c r="AE426" s="29"/>
      <c r="AF426" s="29"/>
      <c r="AG426" s="29"/>
      <c r="AH426" s="29"/>
      <c r="AI426" s="29"/>
      <c r="AJ426" s="29"/>
      <c r="AK426" s="29"/>
      <c r="AL426" s="29"/>
      <c r="AM426" s="29"/>
      <c r="AN426" s="29"/>
      <c r="AO426" s="29"/>
      <c r="AP426" s="29"/>
      <c r="AQ426" s="29"/>
      <c r="AR426" s="29"/>
      <c r="AS426" s="29"/>
      <c r="AT426" s="29"/>
      <c r="AU426" s="29"/>
      <c r="AV426" s="29"/>
      <c r="AW426" s="29"/>
      <c r="AX426" s="29"/>
    </row>
    <row r="427" ht="15.75" customHeight="1">
      <c r="A427" s="29"/>
      <c r="B427" s="29"/>
      <c r="C427" s="31"/>
      <c r="D427" s="29"/>
      <c r="E427" s="29"/>
      <c r="F427" s="29"/>
      <c r="G427" s="29"/>
      <c r="H427" s="29"/>
      <c r="I427" s="29"/>
      <c r="J427" s="29"/>
      <c r="K427" s="29"/>
      <c r="L427" s="29"/>
      <c r="M427" s="29"/>
      <c r="N427" s="29"/>
      <c r="O427" s="29"/>
      <c r="P427" s="29"/>
      <c r="Q427" s="29"/>
      <c r="R427" s="29"/>
      <c r="S427" s="29"/>
      <c r="T427" s="29"/>
      <c r="U427" s="29"/>
      <c r="V427" s="29"/>
      <c r="W427" s="29"/>
      <c r="X427" s="29"/>
      <c r="Y427" s="29"/>
      <c r="Z427" s="29"/>
      <c r="AA427" s="29"/>
      <c r="AB427" s="29"/>
      <c r="AC427" s="29"/>
      <c r="AD427" s="29"/>
      <c r="AE427" s="29"/>
      <c r="AF427" s="29"/>
      <c r="AG427" s="29"/>
      <c r="AH427" s="29"/>
      <c r="AI427" s="29"/>
      <c r="AJ427" s="29"/>
      <c r="AK427" s="29"/>
      <c r="AL427" s="29"/>
      <c r="AM427" s="29"/>
      <c r="AN427" s="29"/>
      <c r="AO427" s="29"/>
      <c r="AP427" s="29"/>
      <c r="AQ427" s="29"/>
      <c r="AR427" s="29"/>
      <c r="AS427" s="29"/>
      <c r="AT427" s="29"/>
      <c r="AU427" s="29"/>
      <c r="AV427" s="29"/>
      <c r="AW427" s="29"/>
      <c r="AX427" s="29"/>
    </row>
    <row r="428" ht="15.75" customHeight="1">
      <c r="A428" s="29"/>
      <c r="B428" s="29"/>
      <c r="C428" s="31"/>
      <c r="D428" s="29"/>
      <c r="E428" s="29"/>
      <c r="F428" s="29"/>
      <c r="G428" s="29"/>
      <c r="H428" s="29"/>
      <c r="I428" s="29"/>
      <c r="J428" s="29"/>
      <c r="K428" s="29"/>
      <c r="L428" s="29"/>
      <c r="M428" s="29"/>
      <c r="N428" s="29"/>
      <c r="O428" s="29"/>
      <c r="P428" s="29"/>
      <c r="Q428" s="29"/>
      <c r="R428" s="29"/>
      <c r="S428" s="29"/>
      <c r="T428" s="29"/>
      <c r="U428" s="29"/>
      <c r="V428" s="29"/>
      <c r="W428" s="29"/>
      <c r="X428" s="29"/>
      <c r="Y428" s="29"/>
      <c r="Z428" s="29"/>
      <c r="AA428" s="29"/>
      <c r="AB428" s="29"/>
      <c r="AC428" s="29"/>
      <c r="AD428" s="29"/>
      <c r="AE428" s="29"/>
      <c r="AF428" s="29"/>
      <c r="AG428" s="29"/>
      <c r="AH428" s="29"/>
      <c r="AI428" s="29"/>
      <c r="AJ428" s="29"/>
      <c r="AK428" s="29"/>
      <c r="AL428" s="29"/>
      <c r="AM428" s="29"/>
      <c r="AN428" s="29"/>
      <c r="AO428" s="29"/>
      <c r="AP428" s="29"/>
      <c r="AQ428" s="29"/>
      <c r="AR428" s="29"/>
      <c r="AS428" s="29"/>
      <c r="AT428" s="29"/>
      <c r="AU428" s="29"/>
      <c r="AV428" s="29"/>
      <c r="AW428" s="29"/>
      <c r="AX428" s="29"/>
    </row>
    <row r="429" ht="15.75" customHeight="1">
      <c r="A429" s="29"/>
      <c r="B429" s="29"/>
      <c r="C429" s="31"/>
      <c r="D429" s="29"/>
      <c r="E429" s="29"/>
      <c r="F429" s="29"/>
      <c r="G429" s="29"/>
      <c r="H429" s="29"/>
      <c r="I429" s="29"/>
      <c r="J429" s="29"/>
      <c r="K429" s="29"/>
      <c r="L429" s="29"/>
      <c r="M429" s="29"/>
      <c r="N429" s="29"/>
      <c r="O429" s="29"/>
      <c r="P429" s="29"/>
      <c r="Q429" s="29"/>
      <c r="R429" s="29"/>
      <c r="S429" s="29"/>
      <c r="T429" s="29"/>
      <c r="U429" s="29"/>
      <c r="V429" s="29"/>
      <c r="W429" s="29"/>
      <c r="X429" s="29"/>
      <c r="Y429" s="29"/>
      <c r="Z429" s="29"/>
      <c r="AA429" s="29"/>
      <c r="AB429" s="29"/>
      <c r="AC429" s="29"/>
      <c r="AD429" s="29"/>
      <c r="AE429" s="29"/>
      <c r="AF429" s="29"/>
      <c r="AG429" s="29"/>
      <c r="AH429" s="29"/>
      <c r="AI429" s="29"/>
      <c r="AJ429" s="29"/>
      <c r="AK429" s="29"/>
      <c r="AL429" s="29"/>
      <c r="AM429" s="29"/>
      <c r="AN429" s="29"/>
      <c r="AO429" s="29"/>
      <c r="AP429" s="29"/>
      <c r="AQ429" s="29"/>
      <c r="AR429" s="29"/>
      <c r="AS429" s="29"/>
      <c r="AT429" s="29"/>
      <c r="AU429" s="29"/>
      <c r="AV429" s="29"/>
      <c r="AW429" s="29"/>
      <c r="AX429" s="29"/>
    </row>
    <row r="430" ht="15.75" customHeight="1">
      <c r="A430" s="29"/>
      <c r="B430" s="29"/>
      <c r="C430" s="31"/>
      <c r="D430" s="29"/>
      <c r="E430" s="29"/>
      <c r="F430" s="29"/>
      <c r="G430" s="29"/>
      <c r="H430" s="29"/>
      <c r="I430" s="29"/>
      <c r="J430" s="29"/>
      <c r="K430" s="29"/>
      <c r="L430" s="29"/>
      <c r="M430" s="29"/>
      <c r="N430" s="29"/>
      <c r="O430" s="29"/>
      <c r="P430" s="29"/>
      <c r="Q430" s="29"/>
      <c r="R430" s="29"/>
      <c r="S430" s="29"/>
      <c r="T430" s="29"/>
      <c r="U430" s="29"/>
      <c r="V430" s="29"/>
      <c r="W430" s="29"/>
      <c r="X430" s="29"/>
      <c r="Y430" s="29"/>
      <c r="Z430" s="29"/>
      <c r="AA430" s="29"/>
      <c r="AB430" s="29"/>
      <c r="AC430" s="29"/>
      <c r="AD430" s="29"/>
      <c r="AE430" s="29"/>
      <c r="AF430" s="29"/>
      <c r="AG430" s="29"/>
      <c r="AH430" s="29"/>
      <c r="AI430" s="29"/>
      <c r="AJ430" s="29"/>
      <c r="AK430" s="29"/>
      <c r="AL430" s="29"/>
      <c r="AM430" s="29"/>
      <c r="AN430" s="29"/>
      <c r="AO430" s="29"/>
      <c r="AP430" s="29"/>
      <c r="AQ430" s="29"/>
      <c r="AR430" s="29"/>
      <c r="AS430" s="29"/>
      <c r="AT430" s="29"/>
      <c r="AU430" s="29"/>
      <c r="AV430" s="29"/>
      <c r="AW430" s="29"/>
      <c r="AX430" s="29"/>
    </row>
    <row r="431" ht="15.75" customHeight="1">
      <c r="A431" s="29"/>
      <c r="B431" s="29"/>
      <c r="C431" s="31"/>
      <c r="D431" s="29"/>
      <c r="E431" s="29"/>
      <c r="F431" s="29"/>
      <c r="G431" s="29"/>
      <c r="H431" s="29"/>
      <c r="I431" s="29"/>
      <c r="J431" s="29"/>
      <c r="K431" s="29"/>
      <c r="L431" s="29"/>
      <c r="M431" s="29"/>
      <c r="N431" s="29"/>
      <c r="O431" s="29"/>
      <c r="P431" s="29"/>
      <c r="Q431" s="29"/>
      <c r="R431" s="29"/>
      <c r="S431" s="29"/>
      <c r="T431" s="29"/>
      <c r="U431" s="29"/>
      <c r="V431" s="29"/>
      <c r="W431" s="29"/>
      <c r="X431" s="29"/>
      <c r="Y431" s="29"/>
      <c r="Z431" s="29"/>
      <c r="AA431" s="29"/>
      <c r="AB431" s="29"/>
      <c r="AC431" s="29"/>
      <c r="AD431" s="29"/>
      <c r="AE431" s="29"/>
      <c r="AF431" s="29"/>
      <c r="AG431" s="29"/>
      <c r="AH431" s="29"/>
      <c r="AI431" s="29"/>
      <c r="AJ431" s="29"/>
      <c r="AK431" s="29"/>
      <c r="AL431" s="29"/>
      <c r="AM431" s="29"/>
      <c r="AN431" s="29"/>
      <c r="AO431" s="29"/>
      <c r="AP431" s="29"/>
      <c r="AQ431" s="29"/>
      <c r="AR431" s="29"/>
      <c r="AS431" s="29"/>
      <c r="AT431" s="29"/>
      <c r="AU431" s="29"/>
      <c r="AV431" s="29"/>
      <c r="AW431" s="29"/>
      <c r="AX431" s="29"/>
    </row>
    <row r="432" ht="15.75" customHeight="1">
      <c r="A432" s="29"/>
      <c r="B432" s="29"/>
      <c r="C432" s="31"/>
      <c r="D432" s="29"/>
      <c r="E432" s="29"/>
      <c r="F432" s="29"/>
      <c r="G432" s="29"/>
      <c r="H432" s="29"/>
      <c r="I432" s="29"/>
      <c r="J432" s="29"/>
      <c r="K432" s="29"/>
      <c r="L432" s="29"/>
      <c r="M432" s="29"/>
      <c r="N432" s="29"/>
      <c r="O432" s="29"/>
      <c r="P432" s="29"/>
      <c r="Q432" s="29"/>
      <c r="R432" s="29"/>
      <c r="S432" s="29"/>
      <c r="T432" s="29"/>
      <c r="U432" s="29"/>
      <c r="V432" s="29"/>
      <c r="W432" s="29"/>
      <c r="X432" s="29"/>
      <c r="Y432" s="29"/>
      <c r="Z432" s="29"/>
      <c r="AA432" s="29"/>
      <c r="AB432" s="29"/>
      <c r="AC432" s="29"/>
      <c r="AD432" s="29"/>
      <c r="AE432" s="29"/>
      <c r="AF432" s="29"/>
      <c r="AG432" s="29"/>
      <c r="AH432" s="29"/>
      <c r="AI432" s="29"/>
      <c r="AJ432" s="29"/>
      <c r="AK432" s="29"/>
      <c r="AL432" s="29"/>
      <c r="AM432" s="29"/>
      <c r="AN432" s="29"/>
      <c r="AO432" s="29"/>
      <c r="AP432" s="29"/>
      <c r="AQ432" s="29"/>
      <c r="AR432" s="29"/>
      <c r="AS432" s="29"/>
      <c r="AT432" s="29"/>
      <c r="AU432" s="29"/>
      <c r="AV432" s="29"/>
      <c r="AW432" s="29"/>
      <c r="AX432" s="29"/>
    </row>
    <row r="433" ht="15.75" customHeight="1">
      <c r="A433" s="29"/>
      <c r="B433" s="29"/>
      <c r="C433" s="31"/>
      <c r="D433" s="29"/>
      <c r="E433" s="29"/>
      <c r="F433" s="29"/>
      <c r="G433" s="29"/>
      <c r="H433" s="29"/>
      <c r="I433" s="29"/>
      <c r="J433" s="29"/>
      <c r="K433" s="29"/>
      <c r="L433" s="29"/>
      <c r="M433" s="29"/>
      <c r="N433" s="29"/>
      <c r="O433" s="29"/>
      <c r="P433" s="29"/>
      <c r="Q433" s="29"/>
      <c r="R433" s="29"/>
      <c r="S433" s="29"/>
      <c r="T433" s="29"/>
      <c r="U433" s="29"/>
      <c r="V433" s="29"/>
      <c r="W433" s="29"/>
      <c r="X433" s="29"/>
      <c r="Y433" s="29"/>
      <c r="Z433" s="29"/>
      <c r="AA433" s="29"/>
      <c r="AB433" s="29"/>
      <c r="AC433" s="29"/>
      <c r="AD433" s="29"/>
      <c r="AE433" s="29"/>
      <c r="AF433" s="29"/>
      <c r="AG433" s="29"/>
      <c r="AH433" s="29"/>
      <c r="AI433" s="29"/>
      <c r="AJ433" s="29"/>
      <c r="AK433" s="29"/>
      <c r="AL433" s="29"/>
      <c r="AM433" s="29"/>
      <c r="AN433" s="29"/>
      <c r="AO433" s="29"/>
      <c r="AP433" s="29"/>
      <c r="AQ433" s="29"/>
      <c r="AR433" s="29"/>
      <c r="AS433" s="29"/>
      <c r="AT433" s="29"/>
      <c r="AU433" s="29"/>
      <c r="AV433" s="29"/>
      <c r="AW433" s="29"/>
      <c r="AX433" s="29"/>
    </row>
    <row r="434" ht="15.75" customHeight="1">
      <c r="A434" s="29"/>
      <c r="B434" s="29"/>
      <c r="C434" s="31"/>
      <c r="D434" s="29"/>
      <c r="E434" s="29"/>
      <c r="F434" s="29"/>
      <c r="G434" s="29"/>
      <c r="H434" s="29"/>
      <c r="I434" s="29"/>
      <c r="J434" s="29"/>
      <c r="K434" s="29"/>
      <c r="L434" s="29"/>
      <c r="M434" s="29"/>
      <c r="N434" s="29"/>
      <c r="O434" s="29"/>
      <c r="P434" s="29"/>
      <c r="Q434" s="29"/>
      <c r="R434" s="29"/>
      <c r="S434" s="29"/>
      <c r="T434" s="29"/>
      <c r="U434" s="29"/>
      <c r="V434" s="29"/>
      <c r="W434" s="29"/>
      <c r="X434" s="29"/>
      <c r="Y434" s="29"/>
      <c r="Z434" s="29"/>
      <c r="AA434" s="29"/>
      <c r="AB434" s="29"/>
      <c r="AC434" s="29"/>
      <c r="AD434" s="29"/>
      <c r="AE434" s="29"/>
      <c r="AF434" s="29"/>
      <c r="AG434" s="29"/>
      <c r="AH434" s="29"/>
      <c r="AI434" s="29"/>
      <c r="AJ434" s="29"/>
      <c r="AK434" s="29"/>
      <c r="AL434" s="29"/>
      <c r="AM434" s="29"/>
      <c r="AN434" s="29"/>
      <c r="AO434" s="29"/>
      <c r="AP434" s="29"/>
      <c r="AQ434" s="29"/>
      <c r="AR434" s="29"/>
      <c r="AS434" s="29"/>
      <c r="AT434" s="29"/>
      <c r="AU434" s="29"/>
      <c r="AV434" s="29"/>
      <c r="AW434" s="29"/>
      <c r="AX434" s="29"/>
    </row>
    <row r="435" ht="15.75" customHeight="1">
      <c r="A435" s="29"/>
      <c r="B435" s="29"/>
      <c r="C435" s="31"/>
      <c r="D435" s="29"/>
      <c r="E435" s="29"/>
      <c r="F435" s="29"/>
      <c r="G435" s="29"/>
      <c r="H435" s="29"/>
      <c r="I435" s="29"/>
      <c r="J435" s="29"/>
      <c r="K435" s="29"/>
      <c r="L435" s="29"/>
      <c r="M435" s="29"/>
      <c r="N435" s="29"/>
      <c r="O435" s="29"/>
      <c r="P435" s="29"/>
      <c r="Q435" s="29"/>
      <c r="R435" s="29"/>
      <c r="S435" s="29"/>
      <c r="T435" s="29"/>
      <c r="U435" s="29"/>
      <c r="V435" s="29"/>
      <c r="W435" s="29"/>
      <c r="X435" s="29"/>
      <c r="Y435" s="29"/>
      <c r="Z435" s="29"/>
      <c r="AA435" s="29"/>
      <c r="AB435" s="29"/>
      <c r="AC435" s="29"/>
      <c r="AD435" s="29"/>
      <c r="AE435" s="29"/>
      <c r="AF435" s="29"/>
      <c r="AG435" s="29"/>
      <c r="AH435" s="29"/>
      <c r="AI435" s="29"/>
      <c r="AJ435" s="29"/>
      <c r="AK435" s="29"/>
      <c r="AL435" s="29"/>
      <c r="AM435" s="29"/>
      <c r="AN435" s="29"/>
      <c r="AO435" s="29"/>
      <c r="AP435" s="29"/>
      <c r="AQ435" s="29"/>
      <c r="AR435" s="29"/>
      <c r="AS435" s="29"/>
      <c r="AT435" s="29"/>
      <c r="AU435" s="29"/>
      <c r="AV435" s="29"/>
      <c r="AW435" s="29"/>
      <c r="AX435" s="29"/>
    </row>
    <row r="436" ht="15.75" customHeight="1">
      <c r="A436" s="29"/>
      <c r="B436" s="29"/>
      <c r="C436" s="31"/>
      <c r="D436" s="29"/>
      <c r="E436" s="29"/>
      <c r="F436" s="29"/>
      <c r="G436" s="29"/>
      <c r="H436" s="29"/>
      <c r="I436" s="29"/>
      <c r="J436" s="29"/>
      <c r="K436" s="29"/>
      <c r="L436" s="29"/>
      <c r="M436" s="29"/>
      <c r="N436" s="29"/>
      <c r="O436" s="29"/>
      <c r="P436" s="29"/>
      <c r="Q436" s="29"/>
      <c r="R436" s="29"/>
      <c r="S436" s="29"/>
      <c r="T436" s="29"/>
      <c r="U436" s="29"/>
      <c r="V436" s="29"/>
      <c r="W436" s="29"/>
      <c r="X436" s="29"/>
      <c r="Y436" s="29"/>
      <c r="Z436" s="29"/>
      <c r="AA436" s="29"/>
      <c r="AB436" s="29"/>
      <c r="AC436" s="29"/>
      <c r="AD436" s="29"/>
      <c r="AE436" s="29"/>
      <c r="AF436" s="29"/>
      <c r="AG436" s="29"/>
      <c r="AH436" s="29"/>
      <c r="AI436" s="29"/>
      <c r="AJ436" s="29"/>
      <c r="AK436" s="29"/>
      <c r="AL436" s="29"/>
      <c r="AM436" s="29"/>
      <c r="AN436" s="29"/>
      <c r="AO436" s="29"/>
      <c r="AP436" s="29"/>
      <c r="AQ436" s="29"/>
      <c r="AR436" s="29"/>
      <c r="AS436" s="29"/>
      <c r="AT436" s="29"/>
      <c r="AU436" s="29"/>
      <c r="AV436" s="29"/>
      <c r="AW436" s="29"/>
      <c r="AX436" s="29"/>
    </row>
    <row r="437" ht="15.75" customHeight="1">
      <c r="A437" s="29"/>
      <c r="B437" s="29"/>
      <c r="C437" s="31"/>
      <c r="D437" s="29"/>
      <c r="E437" s="29"/>
      <c r="F437" s="29"/>
      <c r="G437" s="29"/>
      <c r="H437" s="29"/>
      <c r="I437" s="29"/>
      <c r="J437" s="29"/>
      <c r="K437" s="29"/>
      <c r="L437" s="29"/>
      <c r="M437" s="29"/>
      <c r="N437" s="29"/>
      <c r="O437" s="29"/>
      <c r="P437" s="29"/>
      <c r="Q437" s="29"/>
      <c r="R437" s="29"/>
      <c r="S437" s="29"/>
      <c r="T437" s="29"/>
      <c r="U437" s="29"/>
      <c r="V437" s="29"/>
      <c r="W437" s="29"/>
      <c r="X437" s="29"/>
      <c r="Y437" s="29"/>
      <c r="Z437" s="29"/>
      <c r="AA437" s="29"/>
      <c r="AB437" s="29"/>
      <c r="AC437" s="29"/>
      <c r="AD437" s="29"/>
      <c r="AE437" s="29"/>
      <c r="AF437" s="29"/>
      <c r="AG437" s="29"/>
      <c r="AH437" s="29"/>
      <c r="AI437" s="29"/>
      <c r="AJ437" s="29"/>
      <c r="AK437" s="29"/>
      <c r="AL437" s="29"/>
      <c r="AM437" s="29"/>
      <c r="AN437" s="29"/>
      <c r="AO437" s="29"/>
      <c r="AP437" s="29"/>
      <c r="AQ437" s="29"/>
      <c r="AR437" s="29"/>
      <c r="AS437" s="29"/>
      <c r="AT437" s="29"/>
      <c r="AU437" s="29"/>
      <c r="AV437" s="29"/>
      <c r="AW437" s="29"/>
      <c r="AX437" s="29"/>
    </row>
    <row r="438" ht="15.75" customHeight="1">
      <c r="A438" s="29"/>
      <c r="B438" s="29"/>
      <c r="C438" s="31"/>
      <c r="D438" s="29"/>
      <c r="E438" s="29"/>
      <c r="F438" s="29"/>
      <c r="G438" s="29"/>
      <c r="H438" s="29"/>
      <c r="I438" s="29"/>
      <c r="J438" s="29"/>
      <c r="K438" s="29"/>
      <c r="L438" s="29"/>
      <c r="M438" s="29"/>
      <c r="N438" s="29"/>
      <c r="O438" s="29"/>
      <c r="P438" s="29"/>
      <c r="Q438" s="29"/>
      <c r="R438" s="29"/>
      <c r="S438" s="29"/>
      <c r="T438" s="29"/>
      <c r="U438" s="29"/>
      <c r="V438" s="29"/>
      <c r="W438" s="29"/>
      <c r="X438" s="29"/>
      <c r="Y438" s="29"/>
      <c r="Z438" s="29"/>
      <c r="AA438" s="29"/>
      <c r="AB438" s="29"/>
      <c r="AC438" s="29"/>
      <c r="AD438" s="29"/>
      <c r="AE438" s="29"/>
      <c r="AF438" s="29"/>
      <c r="AG438" s="29"/>
      <c r="AH438" s="29"/>
      <c r="AI438" s="29"/>
      <c r="AJ438" s="29"/>
      <c r="AK438" s="29"/>
      <c r="AL438" s="29"/>
      <c r="AM438" s="29"/>
      <c r="AN438" s="29"/>
      <c r="AO438" s="29"/>
      <c r="AP438" s="29"/>
      <c r="AQ438" s="29"/>
      <c r="AR438" s="29"/>
      <c r="AS438" s="29"/>
      <c r="AT438" s="29"/>
      <c r="AU438" s="29"/>
      <c r="AV438" s="29"/>
      <c r="AW438" s="29"/>
      <c r="AX438" s="29"/>
    </row>
    <row r="439" ht="15.75" customHeight="1">
      <c r="A439" s="29"/>
      <c r="B439" s="29"/>
      <c r="C439" s="31"/>
      <c r="D439" s="29"/>
      <c r="E439" s="29"/>
      <c r="F439" s="29"/>
      <c r="G439" s="29"/>
      <c r="H439" s="29"/>
      <c r="I439" s="29"/>
      <c r="J439" s="29"/>
      <c r="K439" s="29"/>
      <c r="L439" s="29"/>
      <c r="M439" s="29"/>
      <c r="N439" s="29"/>
      <c r="O439" s="29"/>
      <c r="P439" s="29"/>
      <c r="Q439" s="29"/>
      <c r="R439" s="29"/>
      <c r="S439" s="29"/>
      <c r="T439" s="29"/>
      <c r="U439" s="29"/>
      <c r="V439" s="29"/>
      <c r="W439" s="29"/>
      <c r="X439" s="29"/>
      <c r="Y439" s="29"/>
      <c r="Z439" s="29"/>
      <c r="AA439" s="29"/>
      <c r="AB439" s="29"/>
      <c r="AC439" s="29"/>
      <c r="AD439" s="29"/>
      <c r="AE439" s="29"/>
      <c r="AF439" s="29"/>
      <c r="AG439" s="29"/>
      <c r="AH439" s="29"/>
      <c r="AI439" s="29"/>
      <c r="AJ439" s="29"/>
      <c r="AK439" s="29"/>
      <c r="AL439" s="29"/>
      <c r="AM439" s="29"/>
      <c r="AN439" s="29"/>
      <c r="AO439" s="29"/>
      <c r="AP439" s="29"/>
      <c r="AQ439" s="29"/>
      <c r="AR439" s="29"/>
      <c r="AS439" s="29"/>
      <c r="AT439" s="29"/>
      <c r="AU439" s="29"/>
      <c r="AV439" s="29"/>
      <c r="AW439" s="29"/>
      <c r="AX439" s="29"/>
    </row>
    <row r="440" ht="15.75" customHeight="1">
      <c r="A440" s="29"/>
      <c r="B440" s="29"/>
      <c r="C440" s="31"/>
      <c r="D440" s="29"/>
      <c r="E440" s="29"/>
      <c r="F440" s="29"/>
      <c r="G440" s="29"/>
      <c r="H440" s="29"/>
      <c r="I440" s="29"/>
      <c r="J440" s="29"/>
      <c r="K440" s="29"/>
      <c r="L440" s="29"/>
      <c r="M440" s="29"/>
      <c r="N440" s="29"/>
      <c r="O440" s="29"/>
      <c r="P440" s="29"/>
      <c r="Q440" s="29"/>
      <c r="R440" s="29"/>
      <c r="S440" s="29"/>
      <c r="T440" s="29"/>
      <c r="U440" s="29"/>
      <c r="V440" s="29"/>
      <c r="W440" s="29"/>
      <c r="X440" s="29"/>
      <c r="Y440" s="29"/>
      <c r="Z440" s="29"/>
      <c r="AA440" s="29"/>
      <c r="AB440" s="29"/>
      <c r="AC440" s="29"/>
      <c r="AD440" s="29"/>
      <c r="AE440" s="29"/>
      <c r="AF440" s="29"/>
      <c r="AG440" s="29"/>
      <c r="AH440" s="29"/>
      <c r="AI440" s="29"/>
      <c r="AJ440" s="29"/>
      <c r="AK440" s="29"/>
      <c r="AL440" s="29"/>
      <c r="AM440" s="29"/>
      <c r="AN440" s="29"/>
      <c r="AO440" s="29"/>
      <c r="AP440" s="29"/>
      <c r="AQ440" s="29"/>
      <c r="AR440" s="29"/>
      <c r="AS440" s="29"/>
      <c r="AT440" s="29"/>
      <c r="AU440" s="29"/>
      <c r="AV440" s="29"/>
      <c r="AW440" s="29"/>
      <c r="AX440" s="29"/>
    </row>
    <row r="441" ht="15.75" customHeight="1">
      <c r="A441" s="29"/>
      <c r="B441" s="29"/>
      <c r="C441" s="31"/>
      <c r="D441" s="29"/>
      <c r="E441" s="29"/>
      <c r="F441" s="29"/>
      <c r="G441" s="29"/>
      <c r="H441" s="29"/>
      <c r="I441" s="29"/>
      <c r="J441" s="29"/>
      <c r="K441" s="29"/>
      <c r="L441" s="29"/>
      <c r="M441" s="29"/>
      <c r="N441" s="29"/>
      <c r="O441" s="29"/>
      <c r="P441" s="29"/>
      <c r="Q441" s="29"/>
      <c r="R441" s="29"/>
      <c r="S441" s="29"/>
      <c r="T441" s="29"/>
      <c r="U441" s="29"/>
      <c r="V441" s="29"/>
      <c r="W441" s="29"/>
      <c r="X441" s="29"/>
      <c r="Y441" s="29"/>
      <c r="Z441" s="29"/>
      <c r="AA441" s="29"/>
      <c r="AB441" s="29"/>
      <c r="AC441" s="29"/>
      <c r="AD441" s="29"/>
      <c r="AE441" s="29"/>
      <c r="AF441" s="29"/>
      <c r="AG441" s="29"/>
      <c r="AH441" s="29"/>
      <c r="AI441" s="29"/>
      <c r="AJ441" s="29"/>
      <c r="AK441" s="29"/>
      <c r="AL441" s="29"/>
      <c r="AM441" s="29"/>
      <c r="AN441" s="29"/>
      <c r="AO441" s="29"/>
      <c r="AP441" s="29"/>
      <c r="AQ441" s="29"/>
      <c r="AR441" s="29"/>
      <c r="AS441" s="29"/>
      <c r="AT441" s="29"/>
      <c r="AU441" s="29"/>
      <c r="AV441" s="29"/>
      <c r="AW441" s="29"/>
      <c r="AX441" s="29"/>
    </row>
    <row r="442" ht="15.75" customHeight="1">
      <c r="A442" s="29"/>
      <c r="B442" s="29"/>
      <c r="C442" s="31"/>
      <c r="D442" s="29"/>
      <c r="E442" s="29"/>
      <c r="F442" s="29"/>
      <c r="G442" s="29"/>
      <c r="H442" s="29"/>
      <c r="I442" s="29"/>
      <c r="J442" s="29"/>
      <c r="K442" s="29"/>
      <c r="L442" s="29"/>
      <c r="M442" s="29"/>
      <c r="N442" s="29"/>
      <c r="O442" s="29"/>
      <c r="P442" s="29"/>
      <c r="Q442" s="29"/>
      <c r="R442" s="29"/>
      <c r="S442" s="29"/>
      <c r="T442" s="29"/>
      <c r="U442" s="29"/>
      <c r="V442" s="29"/>
      <c r="W442" s="29"/>
      <c r="X442" s="29"/>
      <c r="Y442" s="29"/>
      <c r="Z442" s="29"/>
      <c r="AA442" s="29"/>
      <c r="AB442" s="29"/>
      <c r="AC442" s="29"/>
      <c r="AD442" s="29"/>
      <c r="AE442" s="29"/>
      <c r="AF442" s="29"/>
      <c r="AG442" s="29"/>
      <c r="AH442" s="29"/>
      <c r="AI442" s="29"/>
      <c r="AJ442" s="29"/>
      <c r="AK442" s="29"/>
      <c r="AL442" s="29"/>
      <c r="AM442" s="29"/>
      <c r="AN442" s="29"/>
      <c r="AO442" s="29"/>
      <c r="AP442" s="29"/>
      <c r="AQ442" s="29"/>
      <c r="AR442" s="29"/>
      <c r="AS442" s="29"/>
      <c r="AT442" s="29"/>
      <c r="AU442" s="29"/>
      <c r="AV442" s="29"/>
      <c r="AW442" s="29"/>
      <c r="AX442" s="29"/>
    </row>
    <row r="443" ht="15.75" customHeight="1">
      <c r="A443" s="29"/>
      <c r="B443" s="29"/>
      <c r="C443" s="31"/>
      <c r="D443" s="29"/>
      <c r="E443" s="29"/>
      <c r="F443" s="29"/>
      <c r="G443" s="29"/>
      <c r="H443" s="29"/>
      <c r="I443" s="29"/>
      <c r="J443" s="29"/>
      <c r="K443" s="29"/>
      <c r="L443" s="29"/>
      <c r="M443" s="29"/>
      <c r="N443" s="29"/>
      <c r="O443" s="29"/>
      <c r="P443" s="29"/>
      <c r="Q443" s="29"/>
      <c r="R443" s="29"/>
      <c r="S443" s="29"/>
      <c r="T443" s="29"/>
      <c r="U443" s="29"/>
      <c r="V443" s="29"/>
      <c r="W443" s="29"/>
      <c r="X443" s="29"/>
      <c r="Y443" s="29"/>
      <c r="Z443" s="29"/>
      <c r="AA443" s="29"/>
      <c r="AB443" s="29"/>
      <c r="AC443" s="29"/>
      <c r="AD443" s="29"/>
      <c r="AE443" s="29"/>
      <c r="AF443" s="29"/>
      <c r="AG443" s="29"/>
      <c r="AH443" s="29"/>
      <c r="AI443" s="29"/>
      <c r="AJ443" s="29"/>
      <c r="AK443" s="29"/>
      <c r="AL443" s="29"/>
      <c r="AM443" s="29"/>
      <c r="AN443" s="29"/>
      <c r="AO443" s="29"/>
      <c r="AP443" s="29"/>
      <c r="AQ443" s="29"/>
      <c r="AR443" s="29"/>
      <c r="AS443" s="29"/>
      <c r="AT443" s="29"/>
      <c r="AU443" s="29"/>
      <c r="AV443" s="29"/>
      <c r="AW443" s="29"/>
      <c r="AX443" s="29"/>
    </row>
    <row r="444" ht="15.75" customHeight="1">
      <c r="A444" s="29"/>
      <c r="B444" s="29"/>
      <c r="C444" s="31"/>
      <c r="D444" s="29"/>
      <c r="E444" s="29"/>
      <c r="F444" s="29"/>
      <c r="G444" s="29"/>
      <c r="H444" s="29"/>
      <c r="I444" s="29"/>
      <c r="J444" s="29"/>
      <c r="K444" s="29"/>
      <c r="L444" s="29"/>
      <c r="M444" s="29"/>
      <c r="N444" s="29"/>
      <c r="O444" s="29"/>
      <c r="P444" s="29"/>
      <c r="Q444" s="29"/>
      <c r="R444" s="29"/>
      <c r="S444" s="29"/>
      <c r="T444" s="29"/>
      <c r="U444" s="29"/>
      <c r="V444" s="29"/>
      <c r="W444" s="29"/>
      <c r="X444" s="29"/>
      <c r="Y444" s="29"/>
      <c r="Z444" s="29"/>
      <c r="AA444" s="29"/>
      <c r="AB444" s="29"/>
      <c r="AC444" s="29"/>
      <c r="AD444" s="29"/>
      <c r="AE444" s="29"/>
      <c r="AF444" s="29"/>
      <c r="AG444" s="29"/>
      <c r="AH444" s="29"/>
      <c r="AI444" s="29"/>
      <c r="AJ444" s="29"/>
      <c r="AK444" s="29"/>
      <c r="AL444" s="29"/>
      <c r="AM444" s="29"/>
      <c r="AN444" s="29"/>
      <c r="AO444" s="29"/>
      <c r="AP444" s="29"/>
      <c r="AQ444" s="29"/>
      <c r="AR444" s="29"/>
      <c r="AS444" s="29"/>
      <c r="AT444" s="29"/>
      <c r="AU444" s="29"/>
      <c r="AV444" s="29"/>
      <c r="AW444" s="29"/>
      <c r="AX444" s="29"/>
    </row>
    <row r="445" ht="15.75" customHeight="1">
      <c r="A445" s="29"/>
      <c r="B445" s="29"/>
      <c r="C445" s="31"/>
      <c r="D445" s="29"/>
      <c r="E445" s="29"/>
      <c r="F445" s="29"/>
      <c r="G445" s="29"/>
      <c r="H445" s="29"/>
      <c r="I445" s="29"/>
      <c r="J445" s="29"/>
      <c r="K445" s="29"/>
      <c r="L445" s="29"/>
      <c r="M445" s="29"/>
      <c r="N445" s="29"/>
      <c r="O445" s="29"/>
      <c r="P445" s="29"/>
      <c r="Q445" s="29"/>
      <c r="R445" s="29"/>
      <c r="S445" s="29"/>
      <c r="T445" s="29"/>
      <c r="U445" s="29"/>
      <c r="V445" s="29"/>
      <c r="W445" s="29"/>
      <c r="X445" s="29"/>
      <c r="Y445" s="29"/>
      <c r="Z445" s="29"/>
      <c r="AA445" s="29"/>
      <c r="AB445" s="29"/>
      <c r="AC445" s="29"/>
      <c r="AD445" s="29"/>
      <c r="AE445" s="29"/>
      <c r="AF445" s="29"/>
      <c r="AG445" s="29"/>
      <c r="AH445" s="29"/>
      <c r="AI445" s="29"/>
      <c r="AJ445" s="29"/>
      <c r="AK445" s="29"/>
      <c r="AL445" s="29"/>
      <c r="AM445" s="29"/>
      <c r="AN445" s="29"/>
      <c r="AO445" s="29"/>
      <c r="AP445" s="29"/>
      <c r="AQ445" s="29"/>
      <c r="AR445" s="29"/>
      <c r="AS445" s="29"/>
      <c r="AT445" s="29"/>
      <c r="AU445" s="29"/>
      <c r="AV445" s="29"/>
      <c r="AW445" s="29"/>
      <c r="AX445" s="29"/>
    </row>
    <row r="446" ht="15.75" customHeight="1">
      <c r="A446" s="29"/>
      <c r="B446" s="29"/>
      <c r="C446" s="31"/>
      <c r="D446" s="29"/>
      <c r="E446" s="29"/>
      <c r="F446" s="29"/>
      <c r="G446" s="29"/>
      <c r="H446" s="29"/>
      <c r="I446" s="29"/>
      <c r="J446" s="29"/>
      <c r="K446" s="29"/>
      <c r="L446" s="29"/>
      <c r="M446" s="29"/>
      <c r="N446" s="29"/>
      <c r="O446" s="29"/>
      <c r="P446" s="29"/>
      <c r="Q446" s="29"/>
      <c r="R446" s="29"/>
      <c r="S446" s="29"/>
      <c r="T446" s="29"/>
      <c r="U446" s="29"/>
      <c r="V446" s="29"/>
      <c r="W446" s="29"/>
      <c r="X446" s="29"/>
      <c r="Y446" s="29"/>
      <c r="Z446" s="29"/>
      <c r="AA446" s="29"/>
      <c r="AB446" s="29"/>
      <c r="AC446" s="29"/>
      <c r="AD446" s="29"/>
      <c r="AE446" s="29"/>
      <c r="AF446" s="29"/>
      <c r="AG446" s="29"/>
      <c r="AH446" s="29"/>
      <c r="AI446" s="29"/>
      <c r="AJ446" s="29"/>
      <c r="AK446" s="29"/>
      <c r="AL446" s="29"/>
      <c r="AM446" s="29"/>
      <c r="AN446" s="29"/>
      <c r="AO446" s="29"/>
      <c r="AP446" s="29"/>
      <c r="AQ446" s="29"/>
      <c r="AR446" s="29"/>
      <c r="AS446" s="29"/>
      <c r="AT446" s="29"/>
      <c r="AU446" s="29"/>
      <c r="AV446" s="29"/>
      <c r="AW446" s="29"/>
      <c r="AX446" s="29"/>
    </row>
    <row r="447" ht="15.75" customHeight="1">
      <c r="A447" s="29"/>
      <c r="B447" s="29"/>
      <c r="C447" s="31"/>
      <c r="D447" s="29"/>
      <c r="E447" s="29"/>
      <c r="F447" s="29"/>
      <c r="G447" s="29"/>
      <c r="H447" s="29"/>
      <c r="I447" s="29"/>
      <c r="J447" s="29"/>
      <c r="K447" s="29"/>
      <c r="L447" s="29"/>
      <c r="M447" s="29"/>
      <c r="N447" s="29"/>
      <c r="O447" s="29"/>
      <c r="P447" s="29"/>
      <c r="Q447" s="29"/>
      <c r="R447" s="29"/>
      <c r="S447" s="29"/>
      <c r="T447" s="29"/>
      <c r="U447" s="29"/>
      <c r="V447" s="29"/>
      <c r="W447" s="29"/>
      <c r="X447" s="29"/>
      <c r="Y447" s="29"/>
      <c r="Z447" s="29"/>
      <c r="AA447" s="29"/>
      <c r="AB447" s="29"/>
      <c r="AC447" s="29"/>
      <c r="AD447" s="29"/>
      <c r="AE447" s="29"/>
      <c r="AF447" s="29"/>
      <c r="AG447" s="29"/>
      <c r="AH447" s="29"/>
      <c r="AI447" s="29"/>
      <c r="AJ447" s="29"/>
      <c r="AK447" s="29"/>
      <c r="AL447" s="29"/>
      <c r="AM447" s="29"/>
      <c r="AN447" s="29"/>
      <c r="AO447" s="29"/>
      <c r="AP447" s="29"/>
      <c r="AQ447" s="29"/>
      <c r="AR447" s="29"/>
      <c r="AS447" s="29"/>
      <c r="AT447" s="29"/>
      <c r="AU447" s="29"/>
      <c r="AV447" s="29"/>
      <c r="AW447" s="29"/>
      <c r="AX447" s="29"/>
    </row>
    <row r="448" ht="15.75" customHeight="1">
      <c r="A448" s="29"/>
      <c r="B448" s="29"/>
      <c r="C448" s="31"/>
      <c r="D448" s="29"/>
      <c r="E448" s="29"/>
      <c r="F448" s="29"/>
      <c r="G448" s="29"/>
      <c r="H448" s="29"/>
      <c r="I448" s="29"/>
      <c r="J448" s="29"/>
      <c r="K448" s="29"/>
      <c r="L448" s="29"/>
      <c r="M448" s="29"/>
      <c r="N448" s="29"/>
      <c r="O448" s="29"/>
      <c r="P448" s="29"/>
      <c r="Q448" s="29"/>
      <c r="R448" s="29"/>
      <c r="S448" s="29"/>
      <c r="T448" s="29"/>
      <c r="U448" s="29"/>
      <c r="V448" s="29"/>
      <c r="W448" s="29"/>
      <c r="X448" s="29"/>
      <c r="Y448" s="29"/>
      <c r="Z448" s="29"/>
      <c r="AA448" s="29"/>
      <c r="AB448" s="29"/>
      <c r="AC448" s="29"/>
      <c r="AD448" s="29"/>
      <c r="AE448" s="29"/>
      <c r="AF448" s="29"/>
      <c r="AG448" s="29"/>
      <c r="AH448" s="29"/>
      <c r="AI448" s="29"/>
      <c r="AJ448" s="29"/>
      <c r="AK448" s="29"/>
      <c r="AL448" s="29"/>
      <c r="AM448" s="29"/>
      <c r="AN448" s="29"/>
      <c r="AO448" s="29"/>
      <c r="AP448" s="29"/>
      <c r="AQ448" s="29"/>
      <c r="AR448" s="29"/>
      <c r="AS448" s="29"/>
      <c r="AT448" s="29"/>
      <c r="AU448" s="29"/>
      <c r="AV448" s="29"/>
      <c r="AW448" s="29"/>
      <c r="AX448" s="29"/>
    </row>
    <row r="449" ht="15.75" customHeight="1">
      <c r="A449" s="29"/>
      <c r="B449" s="29"/>
      <c r="C449" s="31"/>
      <c r="D449" s="29"/>
      <c r="E449" s="29"/>
      <c r="F449" s="29"/>
      <c r="G449" s="29"/>
      <c r="H449" s="29"/>
      <c r="I449" s="29"/>
      <c r="J449" s="29"/>
      <c r="K449" s="29"/>
      <c r="L449" s="29"/>
      <c r="M449" s="29"/>
      <c r="N449" s="29"/>
      <c r="O449" s="29"/>
      <c r="P449" s="29"/>
      <c r="Q449" s="29"/>
      <c r="R449" s="29"/>
      <c r="S449" s="29"/>
      <c r="T449" s="29"/>
      <c r="U449" s="29"/>
      <c r="V449" s="29"/>
      <c r="W449" s="29"/>
      <c r="X449" s="29"/>
      <c r="Y449" s="29"/>
      <c r="Z449" s="29"/>
      <c r="AA449" s="29"/>
      <c r="AB449" s="29"/>
      <c r="AC449" s="29"/>
      <c r="AD449" s="29"/>
      <c r="AE449" s="29"/>
      <c r="AF449" s="29"/>
      <c r="AG449" s="29"/>
      <c r="AH449" s="29"/>
      <c r="AI449" s="29"/>
      <c r="AJ449" s="29"/>
      <c r="AK449" s="29"/>
      <c r="AL449" s="29"/>
      <c r="AM449" s="29"/>
      <c r="AN449" s="29"/>
      <c r="AO449" s="29"/>
      <c r="AP449" s="29"/>
      <c r="AQ449" s="29"/>
      <c r="AR449" s="29"/>
      <c r="AS449" s="29"/>
      <c r="AT449" s="29"/>
      <c r="AU449" s="29"/>
      <c r="AV449" s="29"/>
      <c r="AW449" s="29"/>
      <c r="AX449" s="29"/>
    </row>
    <row r="450" ht="15.75" customHeight="1">
      <c r="A450" s="29"/>
      <c r="B450" s="29"/>
      <c r="C450" s="31"/>
      <c r="D450" s="29"/>
      <c r="E450" s="29"/>
      <c r="F450" s="29"/>
      <c r="G450" s="29"/>
      <c r="H450" s="29"/>
      <c r="I450" s="29"/>
      <c r="J450" s="29"/>
      <c r="K450" s="29"/>
      <c r="L450" s="29"/>
      <c r="M450" s="29"/>
      <c r="N450" s="29"/>
      <c r="O450" s="29"/>
      <c r="P450" s="29"/>
      <c r="Q450" s="29"/>
      <c r="R450" s="29"/>
      <c r="S450" s="29"/>
      <c r="T450" s="29"/>
      <c r="U450" s="29"/>
      <c r="V450" s="29"/>
      <c r="W450" s="29"/>
      <c r="X450" s="29"/>
      <c r="Y450" s="29"/>
      <c r="Z450" s="29"/>
      <c r="AA450" s="29"/>
      <c r="AB450" s="29"/>
      <c r="AC450" s="29"/>
      <c r="AD450" s="29"/>
      <c r="AE450" s="29"/>
      <c r="AF450" s="29"/>
      <c r="AG450" s="29"/>
      <c r="AH450" s="29"/>
      <c r="AI450" s="29"/>
      <c r="AJ450" s="29"/>
      <c r="AK450" s="29"/>
      <c r="AL450" s="29"/>
      <c r="AM450" s="29"/>
      <c r="AN450" s="29"/>
      <c r="AO450" s="29"/>
      <c r="AP450" s="29"/>
      <c r="AQ450" s="29"/>
      <c r="AR450" s="29"/>
      <c r="AS450" s="29"/>
      <c r="AT450" s="29"/>
      <c r="AU450" s="29"/>
      <c r="AV450" s="29"/>
      <c r="AW450" s="29"/>
      <c r="AX450" s="29"/>
    </row>
    <row r="451" ht="15.75" customHeight="1">
      <c r="A451" s="29"/>
      <c r="B451" s="29"/>
      <c r="C451" s="31"/>
      <c r="D451" s="29"/>
      <c r="E451" s="29"/>
      <c r="F451" s="29"/>
      <c r="G451" s="29"/>
      <c r="H451" s="29"/>
      <c r="I451" s="29"/>
      <c r="J451" s="29"/>
      <c r="K451" s="29"/>
      <c r="L451" s="29"/>
      <c r="M451" s="29"/>
      <c r="N451" s="29"/>
      <c r="O451" s="29"/>
      <c r="P451" s="29"/>
      <c r="Q451" s="29"/>
      <c r="R451" s="29"/>
      <c r="S451" s="29"/>
      <c r="T451" s="29"/>
      <c r="U451" s="29"/>
      <c r="V451" s="29"/>
      <c r="W451" s="29"/>
      <c r="X451" s="29"/>
      <c r="Y451" s="29"/>
      <c r="Z451" s="29"/>
      <c r="AA451" s="29"/>
      <c r="AB451" s="29"/>
      <c r="AC451" s="29"/>
      <c r="AD451" s="29"/>
      <c r="AE451" s="29"/>
      <c r="AF451" s="29"/>
      <c r="AG451" s="29"/>
      <c r="AH451" s="29"/>
      <c r="AI451" s="29"/>
      <c r="AJ451" s="29"/>
      <c r="AK451" s="29"/>
      <c r="AL451" s="29"/>
      <c r="AM451" s="29"/>
      <c r="AN451" s="29"/>
      <c r="AO451" s="29"/>
      <c r="AP451" s="29"/>
      <c r="AQ451" s="29"/>
      <c r="AR451" s="29"/>
      <c r="AS451" s="29"/>
      <c r="AT451" s="29"/>
      <c r="AU451" s="29"/>
      <c r="AV451" s="29"/>
      <c r="AW451" s="29"/>
      <c r="AX451" s="29"/>
    </row>
    <row r="452" ht="15.75" customHeight="1">
      <c r="A452" s="29"/>
      <c r="B452" s="29"/>
      <c r="C452" s="31"/>
      <c r="D452" s="29"/>
      <c r="E452" s="29"/>
      <c r="F452" s="29"/>
      <c r="G452" s="29"/>
      <c r="H452" s="29"/>
      <c r="I452" s="29"/>
      <c r="J452" s="29"/>
      <c r="K452" s="29"/>
      <c r="L452" s="29"/>
      <c r="M452" s="29"/>
      <c r="N452" s="29"/>
      <c r="O452" s="29"/>
      <c r="P452" s="29"/>
      <c r="Q452" s="29"/>
      <c r="R452" s="29"/>
      <c r="S452" s="29"/>
      <c r="T452" s="29"/>
      <c r="U452" s="29"/>
      <c r="V452" s="29"/>
      <c r="W452" s="29"/>
      <c r="X452" s="29"/>
      <c r="Y452" s="29"/>
      <c r="Z452" s="29"/>
      <c r="AA452" s="29"/>
      <c r="AB452" s="29"/>
      <c r="AC452" s="29"/>
      <c r="AD452" s="29"/>
      <c r="AE452" s="29"/>
      <c r="AF452" s="29"/>
      <c r="AG452" s="29"/>
      <c r="AH452" s="29"/>
      <c r="AI452" s="29"/>
      <c r="AJ452" s="29"/>
      <c r="AK452" s="29"/>
      <c r="AL452" s="29"/>
      <c r="AM452" s="29"/>
      <c r="AN452" s="29"/>
      <c r="AO452" s="29"/>
      <c r="AP452" s="29"/>
      <c r="AQ452" s="29"/>
      <c r="AR452" s="29"/>
      <c r="AS452" s="29"/>
      <c r="AT452" s="29"/>
      <c r="AU452" s="29"/>
      <c r="AV452" s="29"/>
      <c r="AW452" s="29"/>
      <c r="AX452" s="29"/>
    </row>
    <row r="453" ht="15.75" customHeight="1">
      <c r="A453" s="29"/>
      <c r="B453" s="29"/>
      <c r="C453" s="31"/>
      <c r="D453" s="29"/>
      <c r="E453" s="29"/>
      <c r="F453" s="29"/>
      <c r="G453" s="29"/>
      <c r="H453" s="29"/>
      <c r="I453" s="29"/>
      <c r="J453" s="29"/>
      <c r="K453" s="29"/>
      <c r="L453" s="29"/>
      <c r="M453" s="29"/>
      <c r="N453" s="29"/>
      <c r="O453" s="29"/>
      <c r="P453" s="29"/>
      <c r="Q453" s="29"/>
      <c r="R453" s="29"/>
      <c r="S453" s="29"/>
      <c r="T453" s="29"/>
      <c r="U453" s="29"/>
      <c r="V453" s="29"/>
      <c r="W453" s="29"/>
      <c r="X453" s="29"/>
      <c r="Y453" s="29"/>
      <c r="Z453" s="29"/>
      <c r="AA453" s="29"/>
      <c r="AB453" s="29"/>
      <c r="AC453" s="29"/>
      <c r="AD453" s="29"/>
      <c r="AE453" s="29"/>
      <c r="AF453" s="29"/>
      <c r="AG453" s="29"/>
      <c r="AH453" s="29"/>
      <c r="AI453" s="29"/>
      <c r="AJ453" s="29"/>
      <c r="AK453" s="29"/>
      <c r="AL453" s="29"/>
      <c r="AM453" s="29"/>
      <c r="AN453" s="29"/>
      <c r="AO453" s="29"/>
      <c r="AP453" s="29"/>
      <c r="AQ453" s="29"/>
      <c r="AR453" s="29"/>
      <c r="AS453" s="29"/>
      <c r="AT453" s="29"/>
      <c r="AU453" s="29"/>
      <c r="AV453" s="29"/>
      <c r="AW453" s="29"/>
      <c r="AX453" s="29"/>
    </row>
    <row r="454" ht="15.75" customHeight="1">
      <c r="A454" s="29"/>
      <c r="B454" s="29"/>
      <c r="C454" s="31"/>
      <c r="D454" s="29"/>
      <c r="E454" s="29"/>
      <c r="F454" s="29"/>
      <c r="G454" s="29"/>
      <c r="H454" s="29"/>
      <c r="I454" s="29"/>
      <c r="J454" s="29"/>
      <c r="K454" s="29"/>
      <c r="L454" s="29"/>
      <c r="M454" s="29"/>
      <c r="N454" s="29"/>
      <c r="O454" s="29"/>
      <c r="P454" s="29"/>
      <c r="Q454" s="29"/>
      <c r="R454" s="29"/>
      <c r="S454" s="29"/>
      <c r="T454" s="29"/>
      <c r="U454" s="29"/>
      <c r="V454" s="29"/>
      <c r="W454" s="29"/>
      <c r="X454" s="29"/>
      <c r="Y454" s="29"/>
      <c r="Z454" s="29"/>
      <c r="AA454" s="29"/>
      <c r="AB454" s="29"/>
      <c r="AC454" s="29"/>
      <c r="AD454" s="29"/>
      <c r="AE454" s="29"/>
      <c r="AF454" s="29"/>
      <c r="AG454" s="29"/>
      <c r="AH454" s="29"/>
      <c r="AI454" s="29"/>
      <c r="AJ454" s="29"/>
      <c r="AK454" s="29"/>
      <c r="AL454" s="29"/>
      <c r="AM454" s="29"/>
      <c r="AN454" s="29"/>
      <c r="AO454" s="29"/>
      <c r="AP454" s="29"/>
      <c r="AQ454" s="29"/>
      <c r="AR454" s="29"/>
      <c r="AS454" s="29"/>
      <c r="AT454" s="29"/>
      <c r="AU454" s="29"/>
      <c r="AV454" s="29"/>
      <c r="AW454" s="29"/>
      <c r="AX454" s="29"/>
    </row>
    <row r="455" ht="15.75" customHeight="1">
      <c r="A455" s="29"/>
      <c r="B455" s="29"/>
      <c r="C455" s="31"/>
      <c r="D455" s="29"/>
      <c r="E455" s="29"/>
      <c r="F455" s="29"/>
      <c r="G455" s="29"/>
      <c r="H455" s="29"/>
      <c r="I455" s="29"/>
      <c r="J455" s="29"/>
      <c r="K455" s="29"/>
      <c r="L455" s="29"/>
      <c r="M455" s="29"/>
      <c r="N455" s="29"/>
      <c r="O455" s="29"/>
      <c r="P455" s="29"/>
      <c r="Q455" s="29"/>
      <c r="R455" s="29"/>
      <c r="S455" s="29"/>
      <c r="T455" s="29"/>
      <c r="U455" s="29"/>
      <c r="V455" s="29"/>
      <c r="W455" s="29"/>
      <c r="X455" s="29"/>
      <c r="Y455" s="29"/>
      <c r="Z455" s="29"/>
      <c r="AA455" s="29"/>
      <c r="AB455" s="29"/>
      <c r="AC455" s="29"/>
      <c r="AD455" s="29"/>
      <c r="AE455" s="29"/>
      <c r="AF455" s="29"/>
      <c r="AG455" s="29"/>
      <c r="AH455" s="29"/>
      <c r="AI455" s="29"/>
      <c r="AJ455" s="29"/>
      <c r="AK455" s="29"/>
      <c r="AL455" s="29"/>
      <c r="AM455" s="29"/>
      <c r="AN455" s="29"/>
      <c r="AO455" s="29"/>
      <c r="AP455" s="29"/>
      <c r="AQ455" s="29"/>
      <c r="AR455" s="29"/>
      <c r="AS455" s="29"/>
      <c r="AT455" s="29"/>
      <c r="AU455" s="29"/>
      <c r="AV455" s="29"/>
      <c r="AW455" s="29"/>
      <c r="AX455" s="29"/>
    </row>
    <row r="456" ht="15.75" customHeight="1">
      <c r="A456" s="29"/>
      <c r="B456" s="29"/>
      <c r="C456" s="31"/>
      <c r="D456" s="29"/>
      <c r="E456" s="29"/>
      <c r="F456" s="29"/>
      <c r="G456" s="29"/>
      <c r="H456" s="29"/>
      <c r="I456" s="29"/>
      <c r="J456" s="29"/>
      <c r="K456" s="29"/>
      <c r="L456" s="29"/>
      <c r="M456" s="29"/>
      <c r="N456" s="29"/>
      <c r="O456" s="29"/>
      <c r="P456" s="29"/>
      <c r="Q456" s="29"/>
      <c r="R456" s="29"/>
      <c r="S456" s="29"/>
      <c r="T456" s="29"/>
      <c r="U456" s="29"/>
      <c r="V456" s="29"/>
      <c r="W456" s="29"/>
      <c r="X456" s="29"/>
      <c r="Y456" s="29"/>
      <c r="Z456" s="29"/>
      <c r="AA456" s="29"/>
      <c r="AB456" s="29"/>
      <c r="AC456" s="29"/>
      <c r="AD456" s="29"/>
      <c r="AE456" s="29"/>
      <c r="AF456" s="29"/>
      <c r="AG456" s="29"/>
      <c r="AH456" s="29"/>
      <c r="AI456" s="29"/>
      <c r="AJ456" s="29"/>
      <c r="AK456" s="29"/>
      <c r="AL456" s="29"/>
      <c r="AM456" s="29"/>
      <c r="AN456" s="29"/>
      <c r="AO456" s="29"/>
      <c r="AP456" s="29"/>
      <c r="AQ456" s="29"/>
      <c r="AR456" s="29"/>
      <c r="AS456" s="29"/>
      <c r="AT456" s="29"/>
      <c r="AU456" s="29"/>
      <c r="AV456" s="29"/>
      <c r="AW456" s="29"/>
      <c r="AX456" s="29"/>
    </row>
    <row r="457" ht="15.75" customHeight="1">
      <c r="A457" s="29"/>
      <c r="B457" s="29"/>
      <c r="C457" s="31"/>
      <c r="D457" s="29"/>
      <c r="E457" s="29"/>
      <c r="F457" s="29"/>
      <c r="G457" s="29"/>
      <c r="H457" s="29"/>
      <c r="I457" s="29"/>
      <c r="J457" s="29"/>
      <c r="K457" s="29"/>
      <c r="L457" s="29"/>
      <c r="M457" s="29"/>
      <c r="N457" s="29"/>
      <c r="O457" s="29"/>
      <c r="P457" s="29"/>
      <c r="Q457" s="29"/>
      <c r="R457" s="29"/>
      <c r="S457" s="29"/>
      <c r="T457" s="29"/>
      <c r="U457" s="29"/>
      <c r="V457" s="29"/>
      <c r="W457" s="29"/>
      <c r="X457" s="29"/>
      <c r="Y457" s="29"/>
      <c r="Z457" s="29"/>
      <c r="AA457" s="29"/>
      <c r="AB457" s="29"/>
      <c r="AC457" s="29"/>
      <c r="AD457" s="29"/>
      <c r="AE457" s="29"/>
      <c r="AF457" s="29"/>
      <c r="AG457" s="29"/>
      <c r="AH457" s="29"/>
      <c r="AI457" s="29"/>
      <c r="AJ457" s="29"/>
      <c r="AK457" s="29"/>
      <c r="AL457" s="29"/>
      <c r="AM457" s="29"/>
      <c r="AN457" s="29"/>
      <c r="AO457" s="29"/>
      <c r="AP457" s="29"/>
      <c r="AQ457" s="29"/>
      <c r="AR457" s="29"/>
      <c r="AS457" s="29"/>
      <c r="AT457" s="29"/>
      <c r="AU457" s="29"/>
      <c r="AV457" s="29"/>
      <c r="AW457" s="29"/>
      <c r="AX457" s="29"/>
    </row>
    <row r="458" ht="15.75" customHeight="1">
      <c r="A458" s="29"/>
      <c r="B458" s="29"/>
      <c r="C458" s="31"/>
      <c r="D458" s="29"/>
      <c r="E458" s="29"/>
      <c r="F458" s="29"/>
      <c r="G458" s="29"/>
      <c r="H458" s="29"/>
      <c r="I458" s="29"/>
      <c r="J458" s="29"/>
      <c r="K458" s="29"/>
      <c r="L458" s="29"/>
      <c r="M458" s="29"/>
      <c r="N458" s="29"/>
      <c r="O458" s="29"/>
      <c r="P458" s="29"/>
      <c r="Q458" s="29"/>
      <c r="R458" s="29"/>
      <c r="S458" s="29"/>
      <c r="T458" s="29"/>
      <c r="U458" s="29"/>
      <c r="V458" s="29"/>
      <c r="W458" s="29"/>
      <c r="X458" s="29"/>
      <c r="Y458" s="29"/>
      <c r="Z458" s="29"/>
      <c r="AA458" s="29"/>
      <c r="AB458" s="29"/>
      <c r="AC458" s="29"/>
      <c r="AD458" s="29"/>
      <c r="AE458" s="29"/>
      <c r="AF458" s="29"/>
      <c r="AG458" s="29"/>
      <c r="AH458" s="29"/>
      <c r="AI458" s="29"/>
      <c r="AJ458" s="29"/>
      <c r="AK458" s="29"/>
      <c r="AL458" s="29"/>
      <c r="AM458" s="29"/>
      <c r="AN458" s="29"/>
      <c r="AO458" s="29"/>
      <c r="AP458" s="29"/>
      <c r="AQ458" s="29"/>
      <c r="AR458" s="29"/>
      <c r="AS458" s="29"/>
      <c r="AT458" s="29"/>
      <c r="AU458" s="29"/>
      <c r="AV458" s="29"/>
      <c r="AW458" s="29"/>
      <c r="AX458" s="29"/>
    </row>
    <row r="459" ht="15.75" customHeight="1">
      <c r="A459" s="29"/>
      <c r="B459" s="29"/>
      <c r="C459" s="31"/>
      <c r="D459" s="29"/>
      <c r="E459" s="29"/>
      <c r="F459" s="29"/>
      <c r="G459" s="29"/>
      <c r="H459" s="29"/>
      <c r="I459" s="29"/>
      <c r="J459" s="29"/>
      <c r="K459" s="29"/>
      <c r="L459" s="29"/>
      <c r="M459" s="29"/>
      <c r="N459" s="29"/>
      <c r="O459" s="29"/>
      <c r="P459" s="29"/>
      <c r="Q459" s="29"/>
      <c r="R459" s="29"/>
      <c r="S459" s="29"/>
      <c r="T459" s="29"/>
      <c r="U459" s="29"/>
      <c r="V459" s="29"/>
      <c r="W459" s="29"/>
      <c r="X459" s="29"/>
      <c r="Y459" s="29"/>
      <c r="Z459" s="29"/>
      <c r="AA459" s="29"/>
      <c r="AB459" s="29"/>
      <c r="AC459" s="29"/>
      <c r="AD459" s="29"/>
      <c r="AE459" s="29"/>
      <c r="AF459" s="29"/>
      <c r="AG459" s="29"/>
      <c r="AH459" s="29"/>
      <c r="AI459" s="29"/>
      <c r="AJ459" s="29"/>
      <c r="AK459" s="29"/>
      <c r="AL459" s="29"/>
      <c r="AM459" s="29"/>
      <c r="AN459" s="29"/>
      <c r="AO459" s="29"/>
      <c r="AP459" s="29"/>
      <c r="AQ459" s="29"/>
      <c r="AR459" s="29"/>
      <c r="AS459" s="29"/>
      <c r="AT459" s="29"/>
      <c r="AU459" s="29"/>
      <c r="AV459" s="29"/>
      <c r="AW459" s="29"/>
      <c r="AX459" s="29"/>
    </row>
    <row r="460" ht="15.75" customHeight="1">
      <c r="A460" s="29"/>
      <c r="B460" s="29"/>
      <c r="C460" s="31"/>
      <c r="D460" s="29"/>
      <c r="E460" s="29"/>
      <c r="F460" s="29"/>
      <c r="G460" s="29"/>
      <c r="H460" s="29"/>
      <c r="I460" s="29"/>
      <c r="J460" s="29"/>
      <c r="K460" s="29"/>
      <c r="L460" s="29"/>
      <c r="M460" s="29"/>
      <c r="N460" s="29"/>
      <c r="O460" s="29"/>
      <c r="P460" s="29"/>
      <c r="Q460" s="29"/>
      <c r="R460" s="29"/>
      <c r="S460" s="29"/>
      <c r="T460" s="29"/>
      <c r="U460" s="29"/>
      <c r="V460" s="29"/>
      <c r="W460" s="29"/>
      <c r="X460" s="29"/>
      <c r="Y460" s="29"/>
      <c r="Z460" s="29"/>
      <c r="AA460" s="29"/>
      <c r="AB460" s="29"/>
      <c r="AC460" s="29"/>
      <c r="AD460" s="29"/>
      <c r="AE460" s="29"/>
      <c r="AF460" s="29"/>
      <c r="AG460" s="29"/>
      <c r="AH460" s="29"/>
      <c r="AI460" s="29"/>
      <c r="AJ460" s="29"/>
      <c r="AK460" s="29"/>
      <c r="AL460" s="29"/>
      <c r="AM460" s="29"/>
      <c r="AN460" s="29"/>
      <c r="AO460" s="29"/>
      <c r="AP460" s="29"/>
      <c r="AQ460" s="29"/>
      <c r="AR460" s="29"/>
      <c r="AS460" s="29"/>
      <c r="AT460" s="29"/>
      <c r="AU460" s="29"/>
      <c r="AV460" s="29"/>
      <c r="AW460" s="29"/>
      <c r="AX460" s="29"/>
    </row>
    <row r="461" ht="15.75" customHeight="1">
      <c r="A461" s="29"/>
      <c r="B461" s="29"/>
      <c r="C461" s="31"/>
      <c r="D461" s="29"/>
      <c r="E461" s="29"/>
      <c r="F461" s="29"/>
      <c r="G461" s="29"/>
      <c r="H461" s="29"/>
      <c r="I461" s="29"/>
      <c r="J461" s="29"/>
      <c r="K461" s="29"/>
      <c r="L461" s="29"/>
      <c r="M461" s="29"/>
      <c r="N461" s="29"/>
      <c r="O461" s="29"/>
      <c r="P461" s="29"/>
      <c r="Q461" s="29"/>
      <c r="R461" s="29"/>
      <c r="S461" s="29"/>
      <c r="T461" s="29"/>
      <c r="U461" s="29"/>
      <c r="V461" s="29"/>
      <c r="W461" s="29"/>
      <c r="X461" s="29"/>
      <c r="Y461" s="29"/>
      <c r="Z461" s="29"/>
      <c r="AA461" s="29"/>
      <c r="AB461" s="29"/>
      <c r="AC461" s="29"/>
      <c r="AD461" s="29"/>
      <c r="AE461" s="29"/>
      <c r="AF461" s="29"/>
      <c r="AG461" s="29"/>
      <c r="AH461" s="29"/>
      <c r="AI461" s="29"/>
      <c r="AJ461" s="29"/>
      <c r="AK461" s="29"/>
      <c r="AL461" s="29"/>
      <c r="AM461" s="29"/>
      <c r="AN461" s="29"/>
      <c r="AO461" s="29"/>
      <c r="AP461" s="29"/>
      <c r="AQ461" s="29"/>
      <c r="AR461" s="29"/>
      <c r="AS461" s="29"/>
      <c r="AT461" s="29"/>
      <c r="AU461" s="29"/>
      <c r="AV461" s="29"/>
      <c r="AW461" s="29"/>
      <c r="AX461" s="29"/>
    </row>
    <row r="462" ht="15.75" customHeight="1">
      <c r="A462" s="29"/>
      <c r="B462" s="29"/>
      <c r="C462" s="31"/>
      <c r="D462" s="29"/>
      <c r="E462" s="29"/>
      <c r="F462" s="29"/>
      <c r="G462" s="29"/>
      <c r="H462" s="29"/>
      <c r="I462" s="29"/>
      <c r="J462" s="29"/>
      <c r="K462" s="29"/>
      <c r="L462" s="29"/>
      <c r="M462" s="29"/>
      <c r="N462" s="29"/>
      <c r="O462" s="29"/>
      <c r="P462" s="29"/>
      <c r="Q462" s="29"/>
      <c r="R462" s="29"/>
      <c r="S462" s="29"/>
      <c r="T462" s="29"/>
      <c r="U462" s="29"/>
      <c r="V462" s="29"/>
      <c r="W462" s="29"/>
      <c r="X462" s="29"/>
      <c r="Y462" s="29"/>
      <c r="Z462" s="29"/>
      <c r="AA462" s="29"/>
      <c r="AB462" s="29"/>
      <c r="AC462" s="29"/>
      <c r="AD462" s="29"/>
      <c r="AE462" s="29"/>
      <c r="AF462" s="29"/>
      <c r="AG462" s="29"/>
      <c r="AH462" s="29"/>
      <c r="AI462" s="29"/>
      <c r="AJ462" s="29"/>
      <c r="AK462" s="29"/>
      <c r="AL462" s="29"/>
      <c r="AM462" s="29"/>
      <c r="AN462" s="29"/>
      <c r="AO462" s="29"/>
      <c r="AP462" s="29"/>
      <c r="AQ462" s="29"/>
      <c r="AR462" s="29"/>
      <c r="AS462" s="29"/>
      <c r="AT462" s="29"/>
      <c r="AU462" s="29"/>
      <c r="AV462" s="29"/>
      <c r="AW462" s="29"/>
      <c r="AX462" s="29"/>
    </row>
    <row r="463" ht="15.75" customHeight="1">
      <c r="A463" s="29"/>
      <c r="B463" s="29"/>
      <c r="C463" s="31"/>
      <c r="D463" s="29"/>
      <c r="E463" s="29"/>
      <c r="F463" s="29"/>
      <c r="G463" s="29"/>
      <c r="H463" s="29"/>
      <c r="I463" s="29"/>
      <c r="J463" s="29"/>
      <c r="K463" s="29"/>
      <c r="L463" s="29"/>
      <c r="M463" s="29"/>
      <c r="N463" s="29"/>
      <c r="O463" s="29"/>
      <c r="P463" s="29"/>
      <c r="Q463" s="29"/>
      <c r="R463" s="29"/>
      <c r="S463" s="29"/>
      <c r="T463" s="29"/>
      <c r="U463" s="29"/>
      <c r="V463" s="29"/>
      <c r="W463" s="29"/>
      <c r="X463" s="29"/>
      <c r="Y463" s="29"/>
      <c r="Z463" s="29"/>
      <c r="AA463" s="29"/>
      <c r="AB463" s="29"/>
      <c r="AC463" s="29"/>
      <c r="AD463" s="29"/>
      <c r="AE463" s="29"/>
      <c r="AF463" s="29"/>
      <c r="AG463" s="29"/>
      <c r="AH463" s="29"/>
      <c r="AI463" s="29"/>
      <c r="AJ463" s="29"/>
      <c r="AK463" s="29"/>
      <c r="AL463" s="29"/>
      <c r="AM463" s="29"/>
      <c r="AN463" s="29"/>
      <c r="AO463" s="29"/>
      <c r="AP463" s="29"/>
      <c r="AQ463" s="29"/>
      <c r="AR463" s="29"/>
      <c r="AS463" s="29"/>
      <c r="AT463" s="29"/>
      <c r="AU463" s="29"/>
      <c r="AV463" s="29"/>
      <c r="AW463" s="29"/>
      <c r="AX463" s="29"/>
    </row>
    <row r="464" ht="15.75" customHeight="1">
      <c r="A464" s="29"/>
      <c r="B464" s="29"/>
      <c r="C464" s="31"/>
      <c r="D464" s="29"/>
      <c r="E464" s="29"/>
      <c r="F464" s="29"/>
      <c r="G464" s="29"/>
      <c r="H464" s="29"/>
      <c r="I464" s="29"/>
      <c r="J464" s="29"/>
      <c r="K464" s="29"/>
      <c r="L464" s="29"/>
      <c r="M464" s="29"/>
      <c r="N464" s="29"/>
      <c r="O464" s="29"/>
      <c r="P464" s="29"/>
      <c r="Q464" s="29"/>
      <c r="R464" s="29"/>
      <c r="S464" s="29"/>
      <c r="T464" s="29"/>
      <c r="U464" s="29"/>
      <c r="V464" s="29"/>
      <c r="W464" s="29"/>
      <c r="X464" s="29"/>
      <c r="Y464" s="29"/>
      <c r="Z464" s="29"/>
      <c r="AA464" s="29"/>
      <c r="AB464" s="29"/>
      <c r="AC464" s="29"/>
      <c r="AD464" s="29"/>
      <c r="AE464" s="29"/>
      <c r="AF464" s="29"/>
      <c r="AG464" s="29"/>
      <c r="AH464" s="29"/>
      <c r="AI464" s="29"/>
      <c r="AJ464" s="29"/>
      <c r="AK464" s="29"/>
      <c r="AL464" s="29"/>
      <c r="AM464" s="29"/>
      <c r="AN464" s="29"/>
      <c r="AO464" s="29"/>
      <c r="AP464" s="29"/>
      <c r="AQ464" s="29"/>
      <c r="AR464" s="29"/>
      <c r="AS464" s="29"/>
      <c r="AT464" s="29"/>
      <c r="AU464" s="29"/>
      <c r="AV464" s="29"/>
      <c r="AW464" s="29"/>
      <c r="AX464" s="29"/>
    </row>
    <row r="465" ht="15.75" customHeight="1">
      <c r="A465" s="29"/>
      <c r="B465" s="29"/>
      <c r="C465" s="31"/>
      <c r="D465" s="29"/>
      <c r="E465" s="29"/>
      <c r="F465" s="29"/>
      <c r="G465" s="29"/>
      <c r="H465" s="29"/>
      <c r="I465" s="29"/>
      <c r="J465" s="29"/>
      <c r="K465" s="29"/>
      <c r="L465" s="29"/>
      <c r="M465" s="29"/>
      <c r="N465" s="29"/>
      <c r="O465" s="29"/>
      <c r="P465" s="29"/>
      <c r="Q465" s="29"/>
      <c r="R465" s="29"/>
      <c r="S465" s="29"/>
      <c r="T465" s="29"/>
      <c r="U465" s="29"/>
      <c r="V465" s="29"/>
      <c r="W465" s="29"/>
      <c r="X465" s="29"/>
      <c r="Y465" s="29"/>
      <c r="Z465" s="29"/>
      <c r="AA465" s="29"/>
      <c r="AB465" s="29"/>
      <c r="AC465" s="29"/>
      <c r="AD465" s="29"/>
      <c r="AE465" s="29"/>
      <c r="AF465" s="29"/>
      <c r="AG465" s="29"/>
      <c r="AH465" s="29"/>
      <c r="AI465" s="29"/>
      <c r="AJ465" s="29"/>
      <c r="AK465" s="29"/>
      <c r="AL465" s="29"/>
      <c r="AM465" s="29"/>
      <c r="AN465" s="29"/>
      <c r="AO465" s="29"/>
      <c r="AP465" s="29"/>
      <c r="AQ465" s="29"/>
      <c r="AR465" s="29"/>
      <c r="AS465" s="29"/>
      <c r="AT465" s="29"/>
      <c r="AU465" s="29"/>
      <c r="AV465" s="29"/>
      <c r="AW465" s="29"/>
      <c r="AX465" s="29"/>
    </row>
    <row r="466" ht="15.75" customHeight="1">
      <c r="A466" s="29"/>
      <c r="B466" s="29"/>
      <c r="C466" s="31"/>
      <c r="D466" s="29"/>
      <c r="E466" s="29"/>
      <c r="F466" s="29"/>
      <c r="G466" s="29"/>
      <c r="H466" s="29"/>
      <c r="I466" s="29"/>
      <c r="J466" s="29"/>
      <c r="K466" s="29"/>
      <c r="L466" s="29"/>
      <c r="M466" s="29"/>
      <c r="N466" s="29"/>
      <c r="O466" s="29"/>
      <c r="P466" s="29"/>
      <c r="Q466" s="29"/>
      <c r="R466" s="29"/>
      <c r="S466" s="29"/>
      <c r="T466" s="29"/>
      <c r="U466" s="29"/>
      <c r="V466" s="29"/>
      <c r="W466" s="29"/>
      <c r="X466" s="29"/>
      <c r="Y466" s="29"/>
      <c r="Z466" s="29"/>
      <c r="AA466" s="29"/>
      <c r="AB466" s="29"/>
      <c r="AC466" s="29"/>
      <c r="AD466" s="29"/>
      <c r="AE466" s="29"/>
      <c r="AF466" s="29"/>
      <c r="AG466" s="29"/>
      <c r="AH466" s="29"/>
      <c r="AI466" s="29"/>
      <c r="AJ466" s="29"/>
      <c r="AK466" s="29"/>
      <c r="AL466" s="29"/>
      <c r="AM466" s="29"/>
      <c r="AN466" s="29"/>
      <c r="AO466" s="29"/>
      <c r="AP466" s="29"/>
      <c r="AQ466" s="29"/>
      <c r="AR466" s="29"/>
      <c r="AS466" s="29"/>
      <c r="AT466" s="29"/>
      <c r="AU466" s="29"/>
      <c r="AV466" s="29"/>
      <c r="AW466" s="29"/>
      <c r="AX466" s="29"/>
    </row>
    <row r="467" ht="15.75" customHeight="1">
      <c r="A467" s="29"/>
      <c r="B467" s="29"/>
      <c r="C467" s="31"/>
      <c r="D467" s="29"/>
      <c r="E467" s="29"/>
      <c r="F467" s="29"/>
      <c r="G467" s="29"/>
      <c r="H467" s="29"/>
      <c r="I467" s="29"/>
      <c r="J467" s="29"/>
      <c r="K467" s="29"/>
      <c r="L467" s="29"/>
      <c r="M467" s="29"/>
      <c r="N467" s="29"/>
      <c r="O467" s="29"/>
      <c r="P467" s="29"/>
      <c r="Q467" s="29"/>
      <c r="R467" s="29"/>
      <c r="S467" s="29"/>
      <c r="T467" s="29"/>
      <c r="U467" s="29"/>
      <c r="V467" s="29"/>
      <c r="W467" s="29"/>
      <c r="X467" s="29"/>
      <c r="Y467" s="29"/>
      <c r="Z467" s="29"/>
      <c r="AA467" s="29"/>
      <c r="AB467" s="29"/>
      <c r="AC467" s="29"/>
      <c r="AD467" s="29"/>
      <c r="AE467" s="29"/>
      <c r="AF467" s="29"/>
      <c r="AG467" s="29"/>
      <c r="AH467" s="29"/>
      <c r="AI467" s="29"/>
      <c r="AJ467" s="29"/>
      <c r="AK467" s="29"/>
      <c r="AL467" s="29"/>
      <c r="AM467" s="29"/>
      <c r="AN467" s="29"/>
      <c r="AO467" s="29"/>
      <c r="AP467" s="29"/>
      <c r="AQ467" s="29"/>
      <c r="AR467" s="29"/>
      <c r="AS467" s="29"/>
      <c r="AT467" s="29"/>
      <c r="AU467" s="29"/>
      <c r="AV467" s="29"/>
      <c r="AW467" s="29"/>
      <c r="AX467" s="29"/>
    </row>
    <row r="468" ht="15.75" customHeight="1">
      <c r="A468" s="29"/>
      <c r="B468" s="29"/>
      <c r="C468" s="31"/>
      <c r="D468" s="29"/>
      <c r="E468" s="29"/>
      <c r="F468" s="29"/>
      <c r="G468" s="29"/>
      <c r="H468" s="29"/>
      <c r="I468" s="29"/>
      <c r="J468" s="29"/>
      <c r="K468" s="29"/>
      <c r="L468" s="29"/>
      <c r="M468" s="29"/>
      <c r="N468" s="29"/>
      <c r="O468" s="29"/>
      <c r="P468" s="29"/>
      <c r="Q468" s="29"/>
      <c r="R468" s="29"/>
      <c r="S468" s="29"/>
      <c r="T468" s="29"/>
      <c r="U468" s="29"/>
      <c r="V468" s="29"/>
      <c r="W468" s="29"/>
      <c r="X468" s="29"/>
      <c r="Y468" s="29"/>
      <c r="Z468" s="29"/>
      <c r="AA468" s="29"/>
      <c r="AB468" s="29"/>
      <c r="AC468" s="29"/>
      <c r="AD468" s="29"/>
      <c r="AE468" s="29"/>
      <c r="AF468" s="29"/>
      <c r="AG468" s="29"/>
      <c r="AH468" s="29"/>
      <c r="AI468" s="29"/>
      <c r="AJ468" s="29"/>
      <c r="AK468" s="29"/>
      <c r="AL468" s="29"/>
      <c r="AM468" s="29"/>
      <c r="AN468" s="29"/>
      <c r="AO468" s="29"/>
      <c r="AP468" s="29"/>
      <c r="AQ468" s="29"/>
      <c r="AR468" s="29"/>
      <c r="AS468" s="29"/>
      <c r="AT468" s="29"/>
      <c r="AU468" s="29"/>
      <c r="AV468" s="29"/>
      <c r="AW468" s="29"/>
      <c r="AX468" s="29"/>
    </row>
    <row r="469" ht="15.75" customHeight="1">
      <c r="A469" s="29"/>
      <c r="B469" s="29"/>
      <c r="C469" s="31"/>
      <c r="D469" s="29"/>
      <c r="E469" s="29"/>
      <c r="F469" s="29"/>
      <c r="G469" s="29"/>
      <c r="H469" s="29"/>
      <c r="I469" s="29"/>
      <c r="J469" s="29"/>
      <c r="K469" s="29"/>
      <c r="L469" s="29"/>
      <c r="M469" s="29"/>
      <c r="N469" s="29"/>
      <c r="O469" s="29"/>
      <c r="P469" s="29"/>
      <c r="Q469" s="29"/>
      <c r="R469" s="29"/>
      <c r="S469" s="29"/>
      <c r="T469" s="29"/>
      <c r="U469" s="29"/>
      <c r="V469" s="29"/>
      <c r="W469" s="29"/>
      <c r="X469" s="29"/>
      <c r="Y469" s="29"/>
      <c r="Z469" s="29"/>
      <c r="AA469" s="29"/>
      <c r="AB469" s="29"/>
      <c r="AC469" s="29"/>
      <c r="AD469" s="29"/>
      <c r="AE469" s="29"/>
      <c r="AF469" s="29"/>
      <c r="AG469" s="29"/>
      <c r="AH469" s="29"/>
      <c r="AI469" s="29"/>
      <c r="AJ469" s="29"/>
      <c r="AK469" s="29"/>
      <c r="AL469" s="29"/>
      <c r="AM469" s="29"/>
      <c r="AN469" s="29"/>
      <c r="AO469" s="29"/>
      <c r="AP469" s="29"/>
      <c r="AQ469" s="29"/>
      <c r="AR469" s="29"/>
      <c r="AS469" s="29"/>
      <c r="AT469" s="29"/>
      <c r="AU469" s="29"/>
      <c r="AV469" s="29"/>
      <c r="AW469" s="29"/>
      <c r="AX469" s="29"/>
    </row>
    <row r="470" ht="15.75" customHeight="1">
      <c r="A470" s="29"/>
      <c r="B470" s="29"/>
      <c r="C470" s="31"/>
      <c r="D470" s="29"/>
      <c r="E470" s="29"/>
      <c r="F470" s="29"/>
      <c r="G470" s="29"/>
      <c r="H470" s="29"/>
      <c r="I470" s="29"/>
      <c r="J470" s="29"/>
      <c r="K470" s="29"/>
      <c r="L470" s="29"/>
      <c r="M470" s="29"/>
      <c r="N470" s="29"/>
      <c r="O470" s="29"/>
      <c r="P470" s="29"/>
      <c r="Q470" s="29"/>
      <c r="R470" s="29"/>
      <c r="S470" s="29"/>
      <c r="T470" s="29"/>
      <c r="U470" s="29"/>
      <c r="V470" s="29"/>
      <c r="W470" s="29"/>
      <c r="X470" s="29"/>
      <c r="Y470" s="29"/>
      <c r="Z470" s="29"/>
      <c r="AA470" s="29"/>
      <c r="AB470" s="29"/>
      <c r="AC470" s="29"/>
      <c r="AD470" s="29"/>
      <c r="AE470" s="29"/>
      <c r="AF470" s="29"/>
      <c r="AG470" s="29"/>
      <c r="AH470" s="29"/>
      <c r="AI470" s="29"/>
      <c r="AJ470" s="29"/>
      <c r="AK470" s="29"/>
      <c r="AL470" s="29"/>
      <c r="AM470" s="29"/>
      <c r="AN470" s="29"/>
      <c r="AO470" s="29"/>
      <c r="AP470" s="29"/>
      <c r="AQ470" s="29"/>
      <c r="AR470" s="29"/>
      <c r="AS470" s="29"/>
      <c r="AT470" s="29"/>
      <c r="AU470" s="29"/>
      <c r="AV470" s="29"/>
      <c r="AW470" s="29"/>
      <c r="AX470" s="29"/>
    </row>
    <row r="471" ht="15.75" customHeight="1">
      <c r="A471" s="29"/>
      <c r="B471" s="29"/>
      <c r="C471" s="31"/>
      <c r="D471" s="29"/>
      <c r="E471" s="29"/>
      <c r="F471" s="29"/>
      <c r="G471" s="29"/>
      <c r="H471" s="29"/>
      <c r="I471" s="29"/>
      <c r="J471" s="29"/>
      <c r="K471" s="29"/>
      <c r="L471" s="29"/>
      <c r="M471" s="29"/>
      <c r="N471" s="29"/>
      <c r="O471" s="29"/>
      <c r="P471" s="29"/>
      <c r="Q471" s="29"/>
      <c r="R471" s="29"/>
      <c r="S471" s="29"/>
      <c r="T471" s="29"/>
      <c r="U471" s="29"/>
      <c r="V471" s="29"/>
      <c r="W471" s="29"/>
      <c r="X471" s="29"/>
      <c r="Y471" s="29"/>
      <c r="Z471" s="29"/>
      <c r="AA471" s="29"/>
      <c r="AB471" s="29"/>
      <c r="AC471" s="29"/>
      <c r="AD471" s="29"/>
      <c r="AE471" s="29"/>
      <c r="AF471" s="29"/>
      <c r="AG471" s="29"/>
      <c r="AH471" s="29"/>
      <c r="AI471" s="29"/>
      <c r="AJ471" s="29"/>
      <c r="AK471" s="29"/>
      <c r="AL471" s="29"/>
      <c r="AM471" s="29"/>
      <c r="AN471" s="29"/>
      <c r="AO471" s="29"/>
      <c r="AP471" s="29"/>
      <c r="AQ471" s="29"/>
      <c r="AR471" s="29"/>
      <c r="AS471" s="29"/>
      <c r="AT471" s="29"/>
      <c r="AU471" s="29"/>
      <c r="AV471" s="29"/>
      <c r="AW471" s="29"/>
      <c r="AX471" s="29"/>
    </row>
    <row r="472" ht="15.75" customHeight="1">
      <c r="A472" s="29"/>
      <c r="B472" s="29"/>
      <c r="C472" s="31"/>
      <c r="D472" s="29"/>
      <c r="E472" s="29"/>
      <c r="F472" s="29"/>
      <c r="G472" s="29"/>
      <c r="H472" s="29"/>
      <c r="I472" s="29"/>
      <c r="J472" s="29"/>
      <c r="K472" s="29"/>
      <c r="L472" s="29"/>
      <c r="M472" s="29"/>
      <c r="N472" s="29"/>
      <c r="O472" s="29"/>
      <c r="P472" s="29"/>
      <c r="Q472" s="29"/>
      <c r="R472" s="29"/>
      <c r="S472" s="29"/>
      <c r="T472" s="29"/>
      <c r="U472" s="29"/>
      <c r="V472" s="29"/>
      <c r="W472" s="29"/>
      <c r="X472" s="29"/>
      <c r="Y472" s="29"/>
      <c r="Z472" s="29"/>
      <c r="AA472" s="29"/>
      <c r="AB472" s="29"/>
      <c r="AC472" s="29"/>
      <c r="AD472" s="29"/>
      <c r="AE472" s="29"/>
      <c r="AF472" s="29"/>
      <c r="AG472" s="29"/>
      <c r="AH472" s="29"/>
      <c r="AI472" s="29"/>
      <c r="AJ472" s="29"/>
      <c r="AK472" s="29"/>
      <c r="AL472" s="29"/>
      <c r="AM472" s="29"/>
      <c r="AN472" s="29"/>
      <c r="AO472" s="29"/>
      <c r="AP472" s="29"/>
      <c r="AQ472" s="29"/>
      <c r="AR472" s="29"/>
      <c r="AS472" s="29"/>
      <c r="AT472" s="29"/>
      <c r="AU472" s="29"/>
      <c r="AV472" s="29"/>
      <c r="AW472" s="29"/>
      <c r="AX472" s="29"/>
    </row>
    <row r="473" ht="15.75" customHeight="1">
      <c r="A473" s="29"/>
      <c r="B473" s="29"/>
      <c r="C473" s="31"/>
      <c r="D473" s="29"/>
      <c r="E473" s="29"/>
      <c r="F473" s="29"/>
      <c r="G473" s="29"/>
      <c r="H473" s="29"/>
      <c r="I473" s="29"/>
      <c r="J473" s="29"/>
      <c r="K473" s="29"/>
      <c r="L473" s="29"/>
      <c r="M473" s="29"/>
      <c r="N473" s="29"/>
      <c r="O473" s="29"/>
      <c r="P473" s="29"/>
      <c r="Q473" s="29"/>
      <c r="R473" s="29"/>
      <c r="S473" s="29"/>
      <c r="T473" s="29"/>
      <c r="U473" s="29"/>
      <c r="V473" s="29"/>
      <c r="W473" s="29"/>
      <c r="X473" s="29"/>
      <c r="Y473" s="29"/>
      <c r="Z473" s="29"/>
      <c r="AA473" s="29"/>
      <c r="AB473" s="29"/>
      <c r="AC473" s="29"/>
      <c r="AD473" s="29"/>
      <c r="AE473" s="29"/>
      <c r="AF473" s="29"/>
      <c r="AG473" s="29"/>
      <c r="AH473" s="29"/>
      <c r="AI473" s="29"/>
      <c r="AJ473" s="29"/>
      <c r="AK473" s="29"/>
      <c r="AL473" s="29"/>
      <c r="AM473" s="29"/>
      <c r="AN473" s="29"/>
      <c r="AO473" s="29"/>
      <c r="AP473" s="29"/>
      <c r="AQ473" s="29"/>
      <c r="AR473" s="29"/>
      <c r="AS473" s="29"/>
      <c r="AT473" s="29"/>
      <c r="AU473" s="29"/>
      <c r="AV473" s="29"/>
      <c r="AW473" s="29"/>
      <c r="AX473" s="29"/>
    </row>
    <row r="474" ht="15.75" customHeight="1">
      <c r="A474" s="29"/>
      <c r="B474" s="29"/>
      <c r="C474" s="31"/>
      <c r="D474" s="29"/>
      <c r="E474" s="29"/>
      <c r="F474" s="29"/>
      <c r="G474" s="29"/>
      <c r="H474" s="29"/>
      <c r="I474" s="29"/>
      <c r="J474" s="29"/>
      <c r="K474" s="29"/>
      <c r="L474" s="29"/>
      <c r="M474" s="29"/>
      <c r="N474" s="29"/>
      <c r="O474" s="29"/>
      <c r="P474" s="29"/>
      <c r="Q474" s="29"/>
      <c r="R474" s="29"/>
      <c r="S474" s="29"/>
      <c r="T474" s="29"/>
      <c r="U474" s="29"/>
      <c r="V474" s="29"/>
      <c r="W474" s="29"/>
      <c r="X474" s="29"/>
      <c r="Y474" s="29"/>
      <c r="Z474" s="29"/>
      <c r="AA474" s="29"/>
      <c r="AB474" s="29"/>
      <c r="AC474" s="29"/>
      <c r="AD474" s="29"/>
      <c r="AE474" s="29"/>
      <c r="AF474" s="29"/>
      <c r="AG474" s="29"/>
      <c r="AH474" s="29"/>
      <c r="AI474" s="29"/>
      <c r="AJ474" s="29"/>
      <c r="AK474" s="29"/>
      <c r="AL474" s="29"/>
      <c r="AM474" s="29"/>
      <c r="AN474" s="29"/>
      <c r="AO474" s="29"/>
      <c r="AP474" s="29"/>
      <c r="AQ474" s="29"/>
      <c r="AR474" s="29"/>
      <c r="AS474" s="29"/>
      <c r="AT474" s="29"/>
      <c r="AU474" s="29"/>
      <c r="AV474" s="29"/>
      <c r="AW474" s="29"/>
      <c r="AX474" s="29"/>
    </row>
    <row r="475" ht="15.75" customHeight="1">
      <c r="A475" s="29"/>
      <c r="B475" s="29"/>
      <c r="C475" s="31"/>
      <c r="D475" s="29"/>
      <c r="E475" s="29"/>
      <c r="F475" s="29"/>
      <c r="G475" s="29"/>
      <c r="H475" s="29"/>
      <c r="I475" s="29"/>
      <c r="J475" s="29"/>
      <c r="K475" s="29"/>
      <c r="L475" s="29"/>
      <c r="M475" s="29"/>
      <c r="N475" s="29"/>
      <c r="O475" s="29"/>
      <c r="P475" s="29"/>
      <c r="Q475" s="29"/>
      <c r="R475" s="29"/>
      <c r="S475" s="29"/>
      <c r="T475" s="29"/>
      <c r="U475" s="29"/>
      <c r="V475" s="29"/>
      <c r="W475" s="29"/>
      <c r="X475" s="29"/>
      <c r="Y475" s="29"/>
      <c r="Z475" s="29"/>
      <c r="AA475" s="29"/>
      <c r="AB475" s="29"/>
      <c r="AC475" s="29"/>
      <c r="AD475" s="29"/>
      <c r="AE475" s="29"/>
      <c r="AF475" s="29"/>
      <c r="AG475" s="29"/>
      <c r="AH475" s="29"/>
      <c r="AI475" s="29"/>
      <c r="AJ475" s="29"/>
      <c r="AK475" s="29"/>
      <c r="AL475" s="29"/>
      <c r="AM475" s="29"/>
      <c r="AN475" s="29"/>
      <c r="AO475" s="29"/>
      <c r="AP475" s="29"/>
      <c r="AQ475" s="29"/>
      <c r="AR475" s="29"/>
      <c r="AS475" s="29"/>
      <c r="AT475" s="29"/>
      <c r="AU475" s="29"/>
      <c r="AV475" s="29"/>
      <c r="AW475" s="29"/>
      <c r="AX475" s="29"/>
    </row>
    <row r="476" ht="15.75" customHeight="1">
      <c r="A476" s="29"/>
      <c r="B476" s="29"/>
      <c r="C476" s="31"/>
      <c r="D476" s="29"/>
      <c r="E476" s="29"/>
      <c r="F476" s="29"/>
      <c r="G476" s="29"/>
      <c r="H476" s="29"/>
      <c r="I476" s="29"/>
      <c r="J476" s="29"/>
      <c r="K476" s="29"/>
      <c r="L476" s="29"/>
      <c r="M476" s="29"/>
      <c r="N476" s="29"/>
      <c r="O476" s="29"/>
      <c r="P476" s="29"/>
      <c r="Q476" s="29"/>
      <c r="R476" s="29"/>
      <c r="S476" s="29"/>
      <c r="T476" s="29"/>
      <c r="U476" s="29"/>
      <c r="V476" s="29"/>
      <c r="W476" s="29"/>
      <c r="X476" s="29"/>
      <c r="Y476" s="29"/>
      <c r="Z476" s="29"/>
      <c r="AA476" s="29"/>
      <c r="AB476" s="29"/>
      <c r="AC476" s="29"/>
      <c r="AD476" s="29"/>
      <c r="AE476" s="29"/>
      <c r="AF476" s="29"/>
      <c r="AG476" s="29"/>
      <c r="AH476" s="29"/>
      <c r="AI476" s="29"/>
      <c r="AJ476" s="29"/>
      <c r="AK476" s="29"/>
      <c r="AL476" s="29"/>
      <c r="AM476" s="29"/>
      <c r="AN476" s="29"/>
      <c r="AO476" s="29"/>
      <c r="AP476" s="29"/>
      <c r="AQ476" s="29"/>
      <c r="AR476" s="29"/>
      <c r="AS476" s="29"/>
      <c r="AT476" s="29"/>
      <c r="AU476" s="29"/>
      <c r="AV476" s="29"/>
      <c r="AW476" s="29"/>
      <c r="AX476" s="29"/>
    </row>
    <row r="477" ht="15.75" customHeight="1">
      <c r="A477" s="29"/>
      <c r="B477" s="29"/>
      <c r="C477" s="31"/>
      <c r="D477" s="29"/>
      <c r="E477" s="29"/>
      <c r="F477" s="29"/>
      <c r="G477" s="29"/>
      <c r="H477" s="29"/>
      <c r="I477" s="29"/>
      <c r="J477" s="29"/>
      <c r="K477" s="29"/>
      <c r="L477" s="29"/>
      <c r="M477" s="29"/>
      <c r="N477" s="29"/>
      <c r="O477" s="29"/>
      <c r="P477" s="29"/>
      <c r="Q477" s="29"/>
      <c r="R477" s="29"/>
      <c r="S477" s="29"/>
      <c r="T477" s="29"/>
      <c r="U477" s="29"/>
      <c r="V477" s="29"/>
      <c r="W477" s="29"/>
      <c r="X477" s="29"/>
      <c r="Y477" s="29"/>
      <c r="Z477" s="29"/>
      <c r="AA477" s="29"/>
      <c r="AB477" s="29"/>
      <c r="AC477" s="29"/>
      <c r="AD477" s="29"/>
      <c r="AE477" s="29"/>
      <c r="AF477" s="29"/>
      <c r="AG477" s="29"/>
      <c r="AH477" s="29"/>
      <c r="AI477" s="29"/>
      <c r="AJ477" s="29"/>
      <c r="AK477" s="29"/>
      <c r="AL477" s="29"/>
      <c r="AM477" s="29"/>
      <c r="AN477" s="29"/>
      <c r="AO477" s="29"/>
      <c r="AP477" s="29"/>
      <c r="AQ477" s="29"/>
      <c r="AR477" s="29"/>
      <c r="AS477" s="29"/>
      <c r="AT477" s="29"/>
      <c r="AU477" s="29"/>
      <c r="AV477" s="29"/>
      <c r="AW477" s="29"/>
      <c r="AX477" s="29"/>
    </row>
    <row r="478" ht="15.75" customHeight="1">
      <c r="A478" s="29"/>
      <c r="B478" s="29"/>
      <c r="C478" s="31"/>
      <c r="D478" s="29"/>
      <c r="E478" s="29"/>
      <c r="F478" s="29"/>
      <c r="G478" s="29"/>
      <c r="H478" s="29"/>
      <c r="I478" s="29"/>
      <c r="J478" s="29"/>
      <c r="K478" s="29"/>
      <c r="L478" s="29"/>
      <c r="M478" s="29"/>
      <c r="N478" s="29"/>
      <c r="O478" s="29"/>
      <c r="P478" s="29"/>
      <c r="Q478" s="29"/>
      <c r="R478" s="29"/>
      <c r="S478" s="29"/>
      <c r="T478" s="29"/>
      <c r="U478" s="29"/>
      <c r="V478" s="29"/>
      <c r="W478" s="29"/>
      <c r="X478" s="29"/>
      <c r="Y478" s="29"/>
      <c r="Z478" s="29"/>
      <c r="AA478" s="29"/>
      <c r="AB478" s="29"/>
      <c r="AC478" s="29"/>
      <c r="AD478" s="29"/>
      <c r="AE478" s="29"/>
      <c r="AF478" s="29"/>
      <c r="AG478" s="29"/>
      <c r="AH478" s="29"/>
      <c r="AI478" s="29"/>
      <c r="AJ478" s="29"/>
      <c r="AK478" s="29"/>
      <c r="AL478" s="29"/>
      <c r="AM478" s="29"/>
      <c r="AN478" s="29"/>
      <c r="AO478" s="29"/>
      <c r="AP478" s="29"/>
      <c r="AQ478" s="29"/>
      <c r="AR478" s="29"/>
      <c r="AS478" s="29"/>
      <c r="AT478" s="29"/>
      <c r="AU478" s="29"/>
      <c r="AV478" s="29"/>
      <c r="AW478" s="29"/>
      <c r="AX478" s="29"/>
    </row>
    <row r="479" ht="15.75" customHeight="1">
      <c r="A479" s="29"/>
      <c r="B479" s="29"/>
      <c r="C479" s="31"/>
      <c r="D479" s="29"/>
      <c r="E479" s="29"/>
      <c r="F479" s="29"/>
      <c r="G479" s="29"/>
      <c r="H479" s="29"/>
      <c r="I479" s="29"/>
      <c r="J479" s="29"/>
      <c r="K479" s="29"/>
      <c r="L479" s="29"/>
      <c r="M479" s="29"/>
      <c r="N479" s="29"/>
      <c r="O479" s="29"/>
      <c r="P479" s="29"/>
      <c r="Q479" s="29"/>
      <c r="R479" s="29"/>
      <c r="S479" s="29"/>
      <c r="T479" s="29"/>
      <c r="U479" s="29"/>
      <c r="V479" s="29"/>
      <c r="W479" s="29"/>
      <c r="X479" s="29"/>
      <c r="Y479" s="29"/>
      <c r="Z479" s="29"/>
      <c r="AA479" s="29"/>
      <c r="AB479" s="29"/>
      <c r="AC479" s="29"/>
      <c r="AD479" s="29"/>
      <c r="AE479" s="29"/>
      <c r="AF479" s="29"/>
      <c r="AG479" s="29"/>
      <c r="AH479" s="29"/>
      <c r="AI479" s="29"/>
      <c r="AJ479" s="29"/>
      <c r="AK479" s="29"/>
      <c r="AL479" s="29"/>
      <c r="AM479" s="29"/>
      <c r="AN479" s="29"/>
      <c r="AO479" s="29"/>
      <c r="AP479" s="29"/>
      <c r="AQ479" s="29"/>
      <c r="AR479" s="29"/>
      <c r="AS479" s="29"/>
      <c r="AT479" s="29"/>
      <c r="AU479" s="29"/>
      <c r="AV479" s="29"/>
      <c r="AW479" s="29"/>
      <c r="AX479" s="29"/>
    </row>
    <row r="480" ht="15.75" customHeight="1">
      <c r="A480" s="29"/>
      <c r="B480" s="29"/>
      <c r="C480" s="31"/>
      <c r="D480" s="29"/>
      <c r="E480" s="29"/>
      <c r="F480" s="29"/>
      <c r="G480" s="29"/>
      <c r="H480" s="29"/>
      <c r="I480" s="29"/>
      <c r="J480" s="29"/>
      <c r="K480" s="29"/>
      <c r="L480" s="29"/>
      <c r="M480" s="29"/>
      <c r="N480" s="29"/>
      <c r="O480" s="29"/>
      <c r="P480" s="29"/>
      <c r="Q480" s="29"/>
      <c r="R480" s="29"/>
      <c r="S480" s="29"/>
      <c r="T480" s="29"/>
      <c r="U480" s="29"/>
      <c r="V480" s="29"/>
      <c r="W480" s="29"/>
      <c r="X480" s="29"/>
      <c r="Y480" s="29"/>
      <c r="Z480" s="29"/>
      <c r="AA480" s="29"/>
      <c r="AB480" s="29"/>
      <c r="AC480" s="29"/>
      <c r="AD480" s="29"/>
      <c r="AE480" s="29"/>
      <c r="AF480" s="29"/>
      <c r="AG480" s="29"/>
      <c r="AH480" s="29"/>
      <c r="AI480" s="29"/>
      <c r="AJ480" s="29"/>
      <c r="AK480" s="29"/>
      <c r="AL480" s="29"/>
      <c r="AM480" s="29"/>
      <c r="AN480" s="29"/>
      <c r="AO480" s="29"/>
      <c r="AP480" s="29"/>
      <c r="AQ480" s="29"/>
      <c r="AR480" s="29"/>
      <c r="AS480" s="29"/>
      <c r="AT480" s="29"/>
      <c r="AU480" s="29"/>
      <c r="AV480" s="29"/>
      <c r="AW480" s="29"/>
      <c r="AX480" s="29"/>
    </row>
    <row r="481" ht="15.75" customHeight="1">
      <c r="A481" s="29"/>
      <c r="B481" s="29"/>
      <c r="C481" s="31"/>
      <c r="D481" s="29"/>
      <c r="E481" s="29"/>
      <c r="F481" s="29"/>
      <c r="G481" s="29"/>
      <c r="H481" s="29"/>
      <c r="I481" s="29"/>
      <c r="J481" s="29"/>
      <c r="K481" s="29"/>
      <c r="L481" s="29"/>
      <c r="M481" s="29"/>
      <c r="N481" s="29"/>
      <c r="O481" s="29"/>
      <c r="P481" s="29"/>
      <c r="Q481" s="29"/>
      <c r="R481" s="29"/>
      <c r="S481" s="29"/>
      <c r="T481" s="29"/>
      <c r="U481" s="29"/>
      <c r="V481" s="29"/>
      <c r="W481" s="29"/>
      <c r="X481" s="29"/>
      <c r="Y481" s="29"/>
      <c r="Z481" s="29"/>
      <c r="AA481" s="29"/>
      <c r="AB481" s="29"/>
      <c r="AC481" s="29"/>
      <c r="AD481" s="29"/>
      <c r="AE481" s="29"/>
      <c r="AF481" s="29"/>
      <c r="AG481" s="29"/>
      <c r="AH481" s="29"/>
      <c r="AI481" s="29"/>
      <c r="AJ481" s="29"/>
      <c r="AK481" s="29"/>
      <c r="AL481" s="29"/>
      <c r="AM481" s="29"/>
      <c r="AN481" s="29"/>
      <c r="AO481" s="29"/>
      <c r="AP481" s="29"/>
      <c r="AQ481" s="29"/>
      <c r="AR481" s="29"/>
      <c r="AS481" s="29"/>
      <c r="AT481" s="29"/>
      <c r="AU481" s="29"/>
      <c r="AV481" s="29"/>
      <c r="AW481" s="29"/>
      <c r="AX481" s="29"/>
    </row>
    <row r="482" ht="15.75" customHeight="1">
      <c r="A482" s="29"/>
      <c r="B482" s="29"/>
      <c r="C482" s="31"/>
      <c r="D482" s="29"/>
      <c r="E482" s="29"/>
      <c r="F482" s="29"/>
      <c r="G482" s="29"/>
      <c r="H482" s="29"/>
      <c r="I482" s="29"/>
      <c r="J482" s="29"/>
      <c r="K482" s="29"/>
      <c r="L482" s="29"/>
      <c r="M482" s="29"/>
      <c r="N482" s="29"/>
      <c r="O482" s="29"/>
      <c r="P482" s="29"/>
      <c r="Q482" s="29"/>
      <c r="R482" s="29"/>
      <c r="S482" s="29"/>
      <c r="T482" s="29"/>
      <c r="U482" s="29"/>
      <c r="V482" s="29"/>
      <c r="W482" s="29"/>
      <c r="X482" s="29"/>
      <c r="Y482" s="29"/>
      <c r="Z482" s="29"/>
      <c r="AA482" s="29"/>
      <c r="AB482" s="29"/>
      <c r="AC482" s="29"/>
      <c r="AD482" s="29"/>
      <c r="AE482" s="29"/>
      <c r="AF482" s="29"/>
      <c r="AG482" s="29"/>
      <c r="AH482" s="29"/>
      <c r="AI482" s="29"/>
      <c r="AJ482" s="29"/>
      <c r="AK482" s="29"/>
      <c r="AL482" s="29"/>
      <c r="AM482" s="29"/>
      <c r="AN482" s="29"/>
      <c r="AO482" s="29"/>
      <c r="AP482" s="29"/>
      <c r="AQ482" s="29"/>
      <c r="AR482" s="29"/>
      <c r="AS482" s="29"/>
      <c r="AT482" s="29"/>
      <c r="AU482" s="29"/>
      <c r="AV482" s="29"/>
      <c r="AW482" s="29"/>
      <c r="AX482" s="29"/>
    </row>
    <row r="483" ht="15.75" customHeight="1">
      <c r="A483" s="29"/>
      <c r="B483" s="29"/>
      <c r="C483" s="31"/>
      <c r="D483" s="29"/>
      <c r="E483" s="29"/>
      <c r="F483" s="29"/>
      <c r="G483" s="29"/>
      <c r="H483" s="29"/>
      <c r="I483" s="29"/>
      <c r="J483" s="29"/>
      <c r="K483" s="29"/>
      <c r="L483" s="29"/>
      <c r="M483" s="29"/>
      <c r="N483" s="29"/>
      <c r="O483" s="29"/>
      <c r="P483" s="29"/>
      <c r="Q483" s="29"/>
      <c r="R483" s="29"/>
      <c r="S483" s="29"/>
      <c r="T483" s="29"/>
      <c r="U483" s="29"/>
      <c r="V483" s="29"/>
      <c r="W483" s="29"/>
      <c r="X483" s="29"/>
      <c r="Y483" s="29"/>
      <c r="Z483" s="29"/>
      <c r="AA483" s="29"/>
      <c r="AB483" s="29"/>
      <c r="AC483" s="29"/>
      <c r="AD483" s="29"/>
      <c r="AE483" s="29"/>
      <c r="AF483" s="29"/>
      <c r="AG483" s="29"/>
      <c r="AH483" s="29"/>
      <c r="AI483" s="29"/>
      <c r="AJ483" s="29"/>
      <c r="AK483" s="29"/>
      <c r="AL483" s="29"/>
      <c r="AM483" s="29"/>
      <c r="AN483" s="29"/>
      <c r="AO483" s="29"/>
      <c r="AP483" s="29"/>
      <c r="AQ483" s="29"/>
      <c r="AR483" s="29"/>
      <c r="AS483" s="29"/>
      <c r="AT483" s="29"/>
      <c r="AU483" s="29"/>
      <c r="AV483" s="29"/>
      <c r="AW483" s="29"/>
      <c r="AX483" s="29"/>
    </row>
    <row r="484" ht="15.75" customHeight="1">
      <c r="A484" s="29"/>
      <c r="B484" s="29"/>
      <c r="C484" s="31"/>
      <c r="D484" s="29"/>
      <c r="E484" s="29"/>
      <c r="F484" s="29"/>
      <c r="G484" s="29"/>
      <c r="H484" s="29"/>
      <c r="I484" s="29"/>
      <c r="J484" s="29"/>
      <c r="K484" s="29"/>
      <c r="L484" s="29"/>
      <c r="M484" s="29"/>
      <c r="N484" s="29"/>
      <c r="O484" s="29"/>
      <c r="P484" s="29"/>
      <c r="Q484" s="29"/>
      <c r="R484" s="29"/>
      <c r="S484" s="29"/>
      <c r="T484" s="29"/>
      <c r="U484" s="29"/>
      <c r="V484" s="29"/>
      <c r="W484" s="29"/>
      <c r="X484" s="29"/>
      <c r="Y484" s="29"/>
      <c r="Z484" s="29"/>
      <c r="AA484" s="29"/>
      <c r="AB484" s="29"/>
      <c r="AC484" s="29"/>
      <c r="AD484" s="29"/>
      <c r="AE484" s="29"/>
      <c r="AF484" s="29"/>
      <c r="AG484" s="29"/>
      <c r="AH484" s="29"/>
      <c r="AI484" s="29"/>
      <c r="AJ484" s="29"/>
      <c r="AK484" s="29"/>
      <c r="AL484" s="29"/>
      <c r="AM484" s="29"/>
      <c r="AN484" s="29"/>
      <c r="AO484" s="29"/>
      <c r="AP484" s="29"/>
      <c r="AQ484" s="29"/>
      <c r="AR484" s="29"/>
      <c r="AS484" s="29"/>
      <c r="AT484" s="29"/>
      <c r="AU484" s="29"/>
      <c r="AV484" s="29"/>
      <c r="AW484" s="29"/>
      <c r="AX484" s="29"/>
    </row>
    <row r="485" ht="15.75" customHeight="1">
      <c r="A485" s="29"/>
      <c r="B485" s="29"/>
      <c r="C485" s="31"/>
      <c r="D485" s="29"/>
      <c r="E485" s="29"/>
      <c r="F485" s="29"/>
      <c r="G485" s="29"/>
      <c r="H485" s="29"/>
      <c r="I485" s="29"/>
      <c r="J485" s="29"/>
      <c r="K485" s="29"/>
      <c r="L485" s="29"/>
      <c r="M485" s="29"/>
      <c r="N485" s="29"/>
      <c r="O485" s="29"/>
      <c r="P485" s="29"/>
      <c r="Q485" s="29"/>
      <c r="R485" s="29"/>
      <c r="S485" s="29"/>
      <c r="T485" s="29"/>
      <c r="U485" s="29"/>
      <c r="V485" s="29"/>
      <c r="W485" s="29"/>
      <c r="X485" s="29"/>
      <c r="Y485" s="29"/>
      <c r="Z485" s="29"/>
      <c r="AA485" s="29"/>
      <c r="AB485" s="29"/>
      <c r="AC485" s="29"/>
      <c r="AD485" s="29"/>
      <c r="AE485" s="29"/>
      <c r="AF485" s="29"/>
      <c r="AG485" s="29"/>
      <c r="AH485" s="29"/>
      <c r="AI485" s="29"/>
      <c r="AJ485" s="29"/>
      <c r="AK485" s="29"/>
      <c r="AL485" s="29"/>
      <c r="AM485" s="29"/>
      <c r="AN485" s="29"/>
      <c r="AO485" s="29"/>
      <c r="AP485" s="29"/>
      <c r="AQ485" s="29"/>
      <c r="AR485" s="29"/>
      <c r="AS485" s="29"/>
      <c r="AT485" s="29"/>
      <c r="AU485" s="29"/>
      <c r="AV485" s="29"/>
      <c r="AW485" s="29"/>
      <c r="AX485" s="29"/>
    </row>
    <row r="486" ht="15.75" customHeight="1">
      <c r="A486" s="29"/>
      <c r="B486" s="29"/>
      <c r="C486" s="31"/>
      <c r="D486" s="29"/>
      <c r="E486" s="29"/>
      <c r="F486" s="29"/>
      <c r="G486" s="29"/>
      <c r="H486" s="29"/>
      <c r="I486" s="29"/>
      <c r="J486" s="29"/>
      <c r="K486" s="29"/>
      <c r="L486" s="29"/>
      <c r="M486" s="29"/>
      <c r="N486" s="29"/>
      <c r="O486" s="29"/>
      <c r="P486" s="29"/>
      <c r="Q486" s="29"/>
      <c r="R486" s="29"/>
      <c r="S486" s="29"/>
      <c r="T486" s="29"/>
      <c r="U486" s="29"/>
      <c r="V486" s="29"/>
      <c r="W486" s="29"/>
      <c r="X486" s="29"/>
      <c r="Y486" s="29"/>
      <c r="Z486" s="29"/>
      <c r="AA486" s="29"/>
      <c r="AB486" s="29"/>
      <c r="AC486" s="29"/>
      <c r="AD486" s="29"/>
      <c r="AE486" s="29"/>
      <c r="AF486" s="29"/>
      <c r="AG486" s="29"/>
      <c r="AH486" s="29"/>
      <c r="AI486" s="29"/>
      <c r="AJ486" s="29"/>
      <c r="AK486" s="29"/>
      <c r="AL486" s="29"/>
      <c r="AM486" s="29"/>
      <c r="AN486" s="29"/>
      <c r="AO486" s="29"/>
      <c r="AP486" s="29"/>
      <c r="AQ486" s="29"/>
      <c r="AR486" s="29"/>
      <c r="AS486" s="29"/>
      <c r="AT486" s="29"/>
      <c r="AU486" s="29"/>
      <c r="AV486" s="29"/>
      <c r="AW486" s="29"/>
      <c r="AX486" s="29"/>
    </row>
    <row r="487" ht="15.75" customHeight="1">
      <c r="A487" s="29"/>
      <c r="B487" s="29"/>
      <c r="C487" s="31"/>
      <c r="D487" s="29"/>
      <c r="E487" s="29"/>
      <c r="F487" s="29"/>
      <c r="G487" s="29"/>
      <c r="H487" s="29"/>
      <c r="I487" s="29"/>
      <c r="J487" s="29"/>
      <c r="K487" s="29"/>
      <c r="L487" s="29"/>
      <c r="M487" s="29"/>
      <c r="N487" s="29"/>
      <c r="O487" s="29"/>
      <c r="P487" s="29"/>
      <c r="Q487" s="29"/>
      <c r="R487" s="29"/>
      <c r="S487" s="29"/>
      <c r="T487" s="29"/>
      <c r="U487" s="29"/>
      <c r="V487" s="29"/>
      <c r="W487" s="29"/>
      <c r="X487" s="29"/>
      <c r="Y487" s="29"/>
      <c r="Z487" s="29"/>
      <c r="AA487" s="29"/>
      <c r="AB487" s="29"/>
      <c r="AC487" s="29"/>
      <c r="AD487" s="29"/>
      <c r="AE487" s="29"/>
      <c r="AF487" s="29"/>
      <c r="AG487" s="29"/>
      <c r="AH487" s="29"/>
      <c r="AI487" s="29"/>
      <c r="AJ487" s="29"/>
      <c r="AK487" s="29"/>
      <c r="AL487" s="29"/>
      <c r="AM487" s="29"/>
      <c r="AN487" s="29"/>
      <c r="AO487" s="29"/>
      <c r="AP487" s="29"/>
      <c r="AQ487" s="29"/>
      <c r="AR487" s="29"/>
      <c r="AS487" s="29"/>
      <c r="AT487" s="29"/>
      <c r="AU487" s="29"/>
      <c r="AV487" s="29"/>
      <c r="AW487" s="29"/>
      <c r="AX487" s="29"/>
    </row>
    <row r="488" ht="15.75" customHeight="1">
      <c r="A488" s="29"/>
      <c r="B488" s="29"/>
      <c r="C488" s="31"/>
      <c r="D488" s="29"/>
      <c r="E488" s="29"/>
      <c r="F488" s="29"/>
      <c r="G488" s="29"/>
      <c r="H488" s="29"/>
      <c r="I488" s="29"/>
      <c r="J488" s="29"/>
      <c r="K488" s="29"/>
      <c r="L488" s="29"/>
      <c r="M488" s="29"/>
      <c r="N488" s="29"/>
      <c r="O488" s="29"/>
      <c r="P488" s="29"/>
      <c r="Q488" s="29"/>
      <c r="R488" s="29"/>
      <c r="S488" s="29"/>
      <c r="T488" s="29"/>
      <c r="U488" s="29"/>
      <c r="V488" s="29"/>
      <c r="W488" s="29"/>
      <c r="X488" s="29"/>
      <c r="Y488" s="29"/>
      <c r="Z488" s="29"/>
      <c r="AA488" s="29"/>
      <c r="AB488" s="29"/>
      <c r="AC488" s="29"/>
      <c r="AD488" s="29"/>
      <c r="AE488" s="29"/>
      <c r="AF488" s="29"/>
      <c r="AG488" s="29"/>
      <c r="AH488" s="29"/>
      <c r="AI488" s="29"/>
      <c r="AJ488" s="29"/>
      <c r="AK488" s="29"/>
      <c r="AL488" s="29"/>
      <c r="AM488" s="29"/>
      <c r="AN488" s="29"/>
      <c r="AO488" s="29"/>
      <c r="AP488" s="29"/>
      <c r="AQ488" s="29"/>
      <c r="AR488" s="29"/>
      <c r="AS488" s="29"/>
      <c r="AT488" s="29"/>
      <c r="AU488" s="29"/>
      <c r="AV488" s="29"/>
      <c r="AW488" s="29"/>
      <c r="AX488" s="29"/>
    </row>
    <row r="489" ht="15.75" customHeight="1">
      <c r="A489" s="29"/>
      <c r="B489" s="29"/>
      <c r="C489" s="31"/>
      <c r="D489" s="29"/>
      <c r="E489" s="29"/>
      <c r="F489" s="29"/>
      <c r="G489" s="29"/>
      <c r="H489" s="29"/>
      <c r="I489" s="29"/>
      <c r="J489" s="29"/>
      <c r="K489" s="29"/>
      <c r="L489" s="29"/>
      <c r="M489" s="29"/>
      <c r="N489" s="29"/>
      <c r="O489" s="29"/>
      <c r="P489" s="29"/>
      <c r="Q489" s="29"/>
      <c r="R489" s="29"/>
      <c r="S489" s="29"/>
      <c r="T489" s="29"/>
      <c r="U489" s="29"/>
      <c r="V489" s="29"/>
      <c r="W489" s="29"/>
      <c r="X489" s="29"/>
      <c r="Y489" s="29"/>
      <c r="Z489" s="29"/>
      <c r="AA489" s="29"/>
      <c r="AB489" s="29"/>
      <c r="AC489" s="29"/>
      <c r="AD489" s="29"/>
      <c r="AE489" s="29"/>
      <c r="AF489" s="29"/>
      <c r="AG489" s="29"/>
      <c r="AH489" s="29"/>
      <c r="AI489" s="29"/>
      <c r="AJ489" s="29"/>
      <c r="AK489" s="29"/>
      <c r="AL489" s="29"/>
      <c r="AM489" s="29"/>
      <c r="AN489" s="29"/>
      <c r="AO489" s="29"/>
      <c r="AP489" s="29"/>
      <c r="AQ489" s="29"/>
      <c r="AR489" s="29"/>
      <c r="AS489" s="29"/>
      <c r="AT489" s="29"/>
      <c r="AU489" s="29"/>
      <c r="AV489" s="29"/>
      <c r="AW489" s="29"/>
      <c r="AX489" s="29"/>
    </row>
    <row r="490" ht="15.75" customHeight="1">
      <c r="A490" s="29"/>
      <c r="B490" s="29"/>
      <c r="C490" s="31"/>
      <c r="D490" s="29"/>
      <c r="E490" s="29"/>
      <c r="F490" s="29"/>
      <c r="G490" s="29"/>
      <c r="H490" s="29"/>
      <c r="I490" s="29"/>
      <c r="J490" s="29"/>
      <c r="K490" s="29"/>
      <c r="L490" s="29"/>
      <c r="M490" s="29"/>
      <c r="N490" s="29"/>
      <c r="O490" s="29"/>
      <c r="P490" s="29"/>
      <c r="Q490" s="29"/>
      <c r="R490" s="29"/>
      <c r="S490" s="29"/>
      <c r="T490" s="29"/>
      <c r="U490" s="29"/>
      <c r="V490" s="29"/>
      <c r="W490" s="29"/>
      <c r="X490" s="29"/>
      <c r="Y490" s="29"/>
      <c r="Z490" s="29"/>
      <c r="AA490" s="29"/>
      <c r="AB490" s="29"/>
      <c r="AC490" s="29"/>
      <c r="AD490" s="29"/>
      <c r="AE490" s="29"/>
      <c r="AF490" s="29"/>
      <c r="AG490" s="29"/>
      <c r="AH490" s="29"/>
      <c r="AI490" s="29"/>
      <c r="AJ490" s="29"/>
      <c r="AK490" s="29"/>
      <c r="AL490" s="29"/>
      <c r="AM490" s="29"/>
      <c r="AN490" s="29"/>
      <c r="AO490" s="29"/>
      <c r="AP490" s="29"/>
      <c r="AQ490" s="29"/>
      <c r="AR490" s="29"/>
      <c r="AS490" s="29"/>
      <c r="AT490" s="29"/>
      <c r="AU490" s="29"/>
      <c r="AV490" s="29"/>
      <c r="AW490" s="29"/>
      <c r="AX490" s="29"/>
    </row>
    <row r="491" ht="15.75" customHeight="1">
      <c r="A491" s="29"/>
      <c r="B491" s="29"/>
      <c r="C491" s="31"/>
      <c r="D491" s="29"/>
      <c r="E491" s="29"/>
      <c r="F491" s="29"/>
      <c r="G491" s="29"/>
      <c r="H491" s="29"/>
      <c r="I491" s="29"/>
      <c r="J491" s="29"/>
      <c r="K491" s="29"/>
      <c r="L491" s="29"/>
      <c r="M491" s="29"/>
      <c r="N491" s="29"/>
      <c r="O491" s="29"/>
      <c r="P491" s="29"/>
      <c r="Q491" s="29"/>
      <c r="R491" s="29"/>
      <c r="S491" s="29"/>
      <c r="T491" s="29"/>
      <c r="U491" s="29"/>
      <c r="V491" s="29"/>
      <c r="W491" s="29"/>
      <c r="X491" s="29"/>
      <c r="Y491" s="29"/>
      <c r="Z491" s="29"/>
      <c r="AA491" s="29"/>
      <c r="AB491" s="29"/>
      <c r="AC491" s="29"/>
      <c r="AD491" s="29"/>
      <c r="AE491" s="29"/>
      <c r="AF491" s="29"/>
      <c r="AG491" s="29"/>
      <c r="AH491" s="29"/>
      <c r="AI491" s="29"/>
      <c r="AJ491" s="29"/>
      <c r="AK491" s="29"/>
      <c r="AL491" s="29"/>
      <c r="AM491" s="29"/>
      <c r="AN491" s="29"/>
      <c r="AO491" s="29"/>
      <c r="AP491" s="29"/>
      <c r="AQ491" s="29"/>
      <c r="AR491" s="29"/>
      <c r="AS491" s="29"/>
      <c r="AT491" s="29"/>
      <c r="AU491" s="29"/>
      <c r="AV491" s="29"/>
      <c r="AW491" s="29"/>
      <c r="AX491" s="29"/>
    </row>
    <row r="492" ht="15.75" customHeight="1">
      <c r="A492" s="29"/>
      <c r="B492" s="29"/>
      <c r="C492" s="31"/>
      <c r="D492" s="29"/>
      <c r="E492" s="29"/>
      <c r="F492" s="29"/>
      <c r="G492" s="29"/>
      <c r="H492" s="29"/>
      <c r="I492" s="29"/>
      <c r="J492" s="29"/>
      <c r="K492" s="29"/>
      <c r="L492" s="29"/>
      <c r="M492" s="29"/>
      <c r="N492" s="29"/>
      <c r="O492" s="29"/>
      <c r="P492" s="29"/>
      <c r="Q492" s="29"/>
      <c r="R492" s="29"/>
      <c r="S492" s="29"/>
      <c r="T492" s="29"/>
      <c r="U492" s="29"/>
      <c r="V492" s="29"/>
      <c r="W492" s="29"/>
      <c r="X492" s="29"/>
      <c r="Y492" s="29"/>
      <c r="Z492" s="29"/>
      <c r="AA492" s="29"/>
      <c r="AB492" s="29"/>
      <c r="AC492" s="29"/>
      <c r="AD492" s="29"/>
      <c r="AE492" s="29"/>
      <c r="AF492" s="29"/>
      <c r="AG492" s="29"/>
      <c r="AH492" s="29"/>
      <c r="AI492" s="29"/>
      <c r="AJ492" s="29"/>
      <c r="AK492" s="29"/>
      <c r="AL492" s="29"/>
      <c r="AM492" s="29"/>
      <c r="AN492" s="29"/>
      <c r="AO492" s="29"/>
      <c r="AP492" s="29"/>
      <c r="AQ492" s="29"/>
      <c r="AR492" s="29"/>
      <c r="AS492" s="29"/>
      <c r="AT492" s="29"/>
      <c r="AU492" s="29"/>
      <c r="AV492" s="29"/>
      <c r="AW492" s="29"/>
      <c r="AX492" s="29"/>
    </row>
    <row r="493" ht="15.75" customHeight="1">
      <c r="A493" s="29"/>
      <c r="B493" s="29"/>
      <c r="C493" s="31"/>
      <c r="D493" s="29"/>
      <c r="E493" s="29"/>
      <c r="F493" s="29"/>
      <c r="G493" s="29"/>
      <c r="H493" s="29"/>
      <c r="I493" s="29"/>
      <c r="J493" s="29"/>
      <c r="K493" s="29"/>
      <c r="L493" s="29"/>
      <c r="M493" s="29"/>
      <c r="N493" s="29"/>
      <c r="O493" s="29"/>
      <c r="P493" s="29"/>
      <c r="Q493" s="29"/>
      <c r="R493" s="29"/>
      <c r="S493" s="29"/>
      <c r="T493" s="29"/>
      <c r="U493" s="29"/>
      <c r="V493" s="29"/>
      <c r="W493" s="29"/>
      <c r="X493" s="29"/>
      <c r="Y493" s="29"/>
      <c r="Z493" s="29"/>
      <c r="AA493" s="29"/>
      <c r="AB493" s="29"/>
      <c r="AC493" s="29"/>
      <c r="AD493" s="29"/>
      <c r="AE493" s="29"/>
      <c r="AF493" s="29"/>
      <c r="AG493" s="29"/>
      <c r="AH493" s="29"/>
      <c r="AI493" s="29"/>
      <c r="AJ493" s="29"/>
      <c r="AK493" s="29"/>
      <c r="AL493" s="29"/>
      <c r="AM493" s="29"/>
      <c r="AN493" s="29"/>
      <c r="AO493" s="29"/>
      <c r="AP493" s="29"/>
      <c r="AQ493" s="29"/>
      <c r="AR493" s="29"/>
      <c r="AS493" s="29"/>
      <c r="AT493" s="29"/>
      <c r="AU493" s="29"/>
      <c r="AV493" s="29"/>
      <c r="AW493" s="29"/>
      <c r="AX493" s="29"/>
    </row>
    <row r="494" ht="15.75" customHeight="1">
      <c r="A494" s="29"/>
      <c r="B494" s="29"/>
      <c r="C494" s="31"/>
      <c r="D494" s="29"/>
      <c r="E494" s="29"/>
      <c r="F494" s="29"/>
      <c r="G494" s="29"/>
      <c r="H494" s="29"/>
      <c r="I494" s="29"/>
      <c r="J494" s="29"/>
      <c r="K494" s="29"/>
      <c r="L494" s="29"/>
      <c r="M494" s="29"/>
      <c r="N494" s="29"/>
      <c r="O494" s="29"/>
      <c r="P494" s="29"/>
      <c r="Q494" s="29"/>
      <c r="R494" s="29"/>
      <c r="S494" s="29"/>
      <c r="T494" s="29"/>
      <c r="U494" s="29"/>
      <c r="V494" s="29"/>
      <c r="W494" s="29"/>
      <c r="X494" s="29"/>
      <c r="Y494" s="29"/>
      <c r="Z494" s="29"/>
      <c r="AA494" s="29"/>
      <c r="AB494" s="29"/>
      <c r="AC494" s="29"/>
      <c r="AD494" s="29"/>
      <c r="AE494" s="29"/>
      <c r="AF494" s="29"/>
      <c r="AG494" s="29"/>
      <c r="AH494" s="29"/>
      <c r="AI494" s="29"/>
      <c r="AJ494" s="29"/>
      <c r="AK494" s="29"/>
      <c r="AL494" s="29"/>
      <c r="AM494" s="29"/>
      <c r="AN494" s="29"/>
      <c r="AO494" s="29"/>
      <c r="AP494" s="29"/>
      <c r="AQ494" s="29"/>
      <c r="AR494" s="29"/>
      <c r="AS494" s="29"/>
      <c r="AT494" s="29"/>
      <c r="AU494" s="29"/>
      <c r="AV494" s="29"/>
      <c r="AW494" s="29"/>
      <c r="AX494" s="29"/>
    </row>
    <row r="495" ht="15.75" customHeight="1">
      <c r="A495" s="29"/>
      <c r="B495" s="29"/>
      <c r="C495" s="31"/>
      <c r="D495" s="29"/>
      <c r="E495" s="29"/>
      <c r="F495" s="29"/>
      <c r="G495" s="29"/>
      <c r="H495" s="29"/>
      <c r="I495" s="29"/>
      <c r="J495" s="29"/>
      <c r="K495" s="29"/>
      <c r="L495" s="29"/>
      <c r="M495" s="29"/>
      <c r="N495" s="29"/>
      <c r="O495" s="29"/>
      <c r="P495" s="29"/>
      <c r="Q495" s="29"/>
      <c r="R495" s="29"/>
      <c r="S495" s="29"/>
      <c r="T495" s="29"/>
      <c r="U495" s="29"/>
      <c r="V495" s="29"/>
      <c r="W495" s="29"/>
      <c r="X495" s="29"/>
      <c r="Y495" s="29"/>
      <c r="Z495" s="29"/>
      <c r="AA495" s="29"/>
      <c r="AB495" s="29"/>
      <c r="AC495" s="29"/>
      <c r="AD495" s="29"/>
      <c r="AE495" s="29"/>
      <c r="AF495" s="29"/>
      <c r="AG495" s="29"/>
      <c r="AH495" s="29"/>
      <c r="AI495" s="29"/>
      <c r="AJ495" s="29"/>
      <c r="AK495" s="29"/>
      <c r="AL495" s="29"/>
      <c r="AM495" s="29"/>
      <c r="AN495" s="29"/>
      <c r="AO495" s="29"/>
      <c r="AP495" s="29"/>
      <c r="AQ495" s="29"/>
      <c r="AR495" s="29"/>
      <c r="AS495" s="29"/>
      <c r="AT495" s="29"/>
      <c r="AU495" s="29"/>
      <c r="AV495" s="29"/>
      <c r="AW495" s="29"/>
      <c r="AX495" s="29"/>
    </row>
    <row r="496" ht="15.75" customHeight="1">
      <c r="A496" s="29"/>
      <c r="B496" s="29"/>
      <c r="C496" s="31"/>
      <c r="D496" s="29"/>
      <c r="E496" s="29"/>
      <c r="F496" s="29"/>
      <c r="G496" s="29"/>
      <c r="H496" s="29"/>
      <c r="I496" s="29"/>
      <c r="J496" s="29"/>
      <c r="K496" s="29"/>
      <c r="L496" s="29"/>
      <c r="M496" s="29"/>
      <c r="N496" s="29"/>
      <c r="O496" s="29"/>
      <c r="P496" s="29"/>
      <c r="Q496" s="29"/>
      <c r="R496" s="29"/>
      <c r="S496" s="29"/>
      <c r="T496" s="29"/>
      <c r="U496" s="29"/>
      <c r="V496" s="29"/>
      <c r="W496" s="29"/>
      <c r="X496" s="29"/>
      <c r="Y496" s="29"/>
      <c r="Z496" s="29"/>
      <c r="AA496" s="29"/>
      <c r="AB496" s="29"/>
      <c r="AC496" s="29"/>
      <c r="AD496" s="29"/>
      <c r="AE496" s="29"/>
      <c r="AF496" s="29"/>
      <c r="AG496" s="29"/>
      <c r="AH496" s="29"/>
      <c r="AI496" s="29"/>
      <c r="AJ496" s="29"/>
      <c r="AK496" s="29"/>
      <c r="AL496" s="29"/>
      <c r="AM496" s="29"/>
      <c r="AN496" s="29"/>
      <c r="AO496" s="29"/>
      <c r="AP496" s="29"/>
      <c r="AQ496" s="29"/>
      <c r="AR496" s="29"/>
      <c r="AS496" s="29"/>
      <c r="AT496" s="29"/>
      <c r="AU496" s="29"/>
      <c r="AV496" s="29"/>
      <c r="AW496" s="29"/>
      <c r="AX496" s="29"/>
    </row>
    <row r="497" ht="15.75" customHeight="1">
      <c r="A497" s="29"/>
      <c r="B497" s="29"/>
      <c r="C497" s="31"/>
      <c r="D497" s="29"/>
      <c r="E497" s="29"/>
      <c r="F497" s="29"/>
      <c r="G497" s="29"/>
      <c r="H497" s="29"/>
      <c r="I497" s="29"/>
      <c r="J497" s="29"/>
      <c r="K497" s="29"/>
      <c r="L497" s="29"/>
      <c r="M497" s="29"/>
      <c r="N497" s="29"/>
      <c r="O497" s="29"/>
      <c r="P497" s="29"/>
      <c r="Q497" s="29"/>
      <c r="R497" s="29"/>
      <c r="S497" s="29"/>
      <c r="T497" s="29"/>
      <c r="U497" s="29"/>
      <c r="V497" s="29"/>
      <c r="W497" s="29"/>
      <c r="X497" s="29"/>
      <c r="Y497" s="29"/>
      <c r="Z497" s="29"/>
      <c r="AA497" s="29"/>
      <c r="AB497" s="29"/>
      <c r="AC497" s="29"/>
      <c r="AD497" s="29"/>
      <c r="AE497" s="29"/>
      <c r="AF497" s="29"/>
      <c r="AG497" s="29"/>
      <c r="AH497" s="29"/>
      <c r="AI497" s="29"/>
      <c r="AJ497" s="29"/>
      <c r="AK497" s="29"/>
      <c r="AL497" s="29"/>
      <c r="AM497" s="29"/>
      <c r="AN497" s="29"/>
      <c r="AO497" s="29"/>
      <c r="AP497" s="29"/>
      <c r="AQ497" s="29"/>
      <c r="AR497" s="29"/>
      <c r="AS497" s="29"/>
      <c r="AT497" s="29"/>
      <c r="AU497" s="29"/>
      <c r="AV497" s="29"/>
      <c r="AW497" s="29"/>
      <c r="AX497" s="29"/>
    </row>
    <row r="498" ht="15.75" customHeight="1">
      <c r="A498" s="29"/>
      <c r="B498" s="29"/>
      <c r="C498" s="31"/>
      <c r="D498" s="29"/>
      <c r="E498" s="29"/>
      <c r="F498" s="29"/>
      <c r="G498" s="29"/>
      <c r="H498" s="29"/>
      <c r="I498" s="29"/>
      <c r="J498" s="29"/>
      <c r="K498" s="29"/>
      <c r="L498" s="29"/>
      <c r="M498" s="29"/>
      <c r="N498" s="29"/>
      <c r="O498" s="29"/>
      <c r="P498" s="29"/>
      <c r="Q498" s="29"/>
      <c r="R498" s="29"/>
      <c r="S498" s="29"/>
      <c r="T498" s="29"/>
      <c r="U498" s="29"/>
      <c r="V498" s="29"/>
      <c r="W498" s="29"/>
      <c r="X498" s="29"/>
      <c r="Y498" s="29"/>
      <c r="Z498" s="29"/>
      <c r="AA498" s="29"/>
      <c r="AB498" s="29"/>
      <c r="AC498" s="29"/>
      <c r="AD498" s="29"/>
      <c r="AE498" s="29"/>
      <c r="AF498" s="29"/>
      <c r="AG498" s="29"/>
      <c r="AH498" s="29"/>
      <c r="AI498" s="29"/>
      <c r="AJ498" s="29"/>
      <c r="AK498" s="29"/>
      <c r="AL498" s="29"/>
      <c r="AM498" s="29"/>
      <c r="AN498" s="29"/>
      <c r="AO498" s="29"/>
      <c r="AP498" s="29"/>
      <c r="AQ498" s="29"/>
      <c r="AR498" s="29"/>
      <c r="AS498" s="29"/>
      <c r="AT498" s="29"/>
      <c r="AU498" s="29"/>
      <c r="AV498" s="29"/>
      <c r="AW498" s="29"/>
      <c r="AX498" s="29"/>
    </row>
    <row r="499" ht="15.75" customHeight="1">
      <c r="A499" s="29"/>
      <c r="B499" s="29"/>
      <c r="C499" s="31"/>
      <c r="D499" s="29"/>
      <c r="E499" s="29"/>
      <c r="F499" s="29"/>
      <c r="G499" s="29"/>
      <c r="H499" s="29"/>
      <c r="I499" s="29"/>
      <c r="J499" s="29"/>
      <c r="K499" s="29"/>
      <c r="L499" s="29"/>
      <c r="M499" s="29"/>
      <c r="N499" s="29"/>
      <c r="O499" s="29"/>
      <c r="P499" s="29"/>
      <c r="Q499" s="29"/>
      <c r="R499" s="29"/>
      <c r="S499" s="29"/>
      <c r="T499" s="29"/>
      <c r="U499" s="29"/>
      <c r="V499" s="29"/>
      <c r="W499" s="29"/>
      <c r="X499" s="29"/>
      <c r="Y499" s="29"/>
      <c r="Z499" s="29"/>
      <c r="AA499" s="29"/>
      <c r="AB499" s="29"/>
      <c r="AC499" s="29"/>
      <c r="AD499" s="29"/>
      <c r="AE499" s="29"/>
      <c r="AF499" s="29"/>
      <c r="AG499" s="29"/>
      <c r="AH499" s="29"/>
      <c r="AI499" s="29"/>
      <c r="AJ499" s="29"/>
      <c r="AK499" s="29"/>
      <c r="AL499" s="29"/>
      <c r="AM499" s="29"/>
      <c r="AN499" s="29"/>
      <c r="AO499" s="29"/>
      <c r="AP499" s="29"/>
      <c r="AQ499" s="29"/>
      <c r="AR499" s="29"/>
      <c r="AS499" s="29"/>
      <c r="AT499" s="29"/>
      <c r="AU499" s="29"/>
      <c r="AV499" s="29"/>
      <c r="AW499" s="29"/>
      <c r="AX499" s="29"/>
    </row>
    <row r="500" ht="15.75" customHeight="1">
      <c r="A500" s="29"/>
      <c r="B500" s="29"/>
      <c r="C500" s="31"/>
      <c r="D500" s="29"/>
      <c r="E500" s="29"/>
      <c r="F500" s="29"/>
      <c r="G500" s="29"/>
      <c r="H500" s="29"/>
      <c r="I500" s="29"/>
      <c r="J500" s="29"/>
      <c r="K500" s="29"/>
      <c r="L500" s="29"/>
      <c r="M500" s="29"/>
      <c r="N500" s="29"/>
      <c r="O500" s="29"/>
      <c r="P500" s="29"/>
      <c r="Q500" s="29"/>
      <c r="R500" s="29"/>
      <c r="S500" s="29"/>
      <c r="T500" s="29"/>
      <c r="U500" s="29"/>
      <c r="V500" s="29"/>
      <c r="W500" s="29"/>
      <c r="X500" s="29"/>
      <c r="Y500" s="29"/>
      <c r="Z500" s="29"/>
      <c r="AA500" s="29"/>
      <c r="AB500" s="29"/>
      <c r="AC500" s="29"/>
      <c r="AD500" s="29"/>
      <c r="AE500" s="29"/>
      <c r="AF500" s="29"/>
      <c r="AG500" s="29"/>
      <c r="AH500" s="29"/>
      <c r="AI500" s="29"/>
      <c r="AJ500" s="29"/>
      <c r="AK500" s="29"/>
      <c r="AL500" s="29"/>
      <c r="AM500" s="29"/>
      <c r="AN500" s="29"/>
      <c r="AO500" s="29"/>
      <c r="AP500" s="29"/>
      <c r="AQ500" s="29"/>
      <c r="AR500" s="29"/>
      <c r="AS500" s="29"/>
      <c r="AT500" s="29"/>
      <c r="AU500" s="29"/>
      <c r="AV500" s="29"/>
      <c r="AW500" s="29"/>
      <c r="AX500" s="29"/>
    </row>
    <row r="501" ht="15.75" customHeight="1">
      <c r="A501" s="29"/>
      <c r="B501" s="29"/>
      <c r="C501" s="31"/>
      <c r="D501" s="29"/>
      <c r="E501" s="29"/>
      <c r="F501" s="29"/>
      <c r="G501" s="29"/>
      <c r="H501" s="29"/>
      <c r="I501" s="29"/>
      <c r="J501" s="29"/>
      <c r="K501" s="29"/>
      <c r="L501" s="29"/>
      <c r="M501" s="29"/>
      <c r="N501" s="29"/>
      <c r="O501" s="29"/>
      <c r="P501" s="29"/>
      <c r="Q501" s="29"/>
      <c r="R501" s="29"/>
      <c r="S501" s="29"/>
      <c r="T501" s="29"/>
      <c r="U501" s="29"/>
      <c r="V501" s="29"/>
      <c r="W501" s="29"/>
      <c r="X501" s="29"/>
      <c r="Y501" s="29"/>
      <c r="Z501" s="29"/>
      <c r="AA501" s="29"/>
      <c r="AB501" s="29"/>
      <c r="AC501" s="29"/>
      <c r="AD501" s="29"/>
      <c r="AE501" s="29"/>
      <c r="AF501" s="29"/>
      <c r="AG501" s="29"/>
      <c r="AH501" s="29"/>
      <c r="AI501" s="29"/>
      <c r="AJ501" s="29"/>
      <c r="AK501" s="29"/>
      <c r="AL501" s="29"/>
      <c r="AM501" s="29"/>
      <c r="AN501" s="29"/>
      <c r="AO501" s="29"/>
      <c r="AP501" s="29"/>
      <c r="AQ501" s="29"/>
      <c r="AR501" s="29"/>
      <c r="AS501" s="29"/>
      <c r="AT501" s="29"/>
      <c r="AU501" s="29"/>
      <c r="AV501" s="29"/>
      <c r="AW501" s="29"/>
      <c r="AX501" s="29"/>
    </row>
    <row r="502" ht="15.75" customHeight="1">
      <c r="A502" s="29"/>
      <c r="B502" s="29"/>
      <c r="C502" s="31"/>
      <c r="D502" s="29"/>
      <c r="E502" s="29"/>
      <c r="F502" s="29"/>
      <c r="G502" s="29"/>
      <c r="H502" s="29"/>
      <c r="I502" s="29"/>
      <c r="J502" s="29"/>
      <c r="K502" s="29"/>
      <c r="L502" s="29"/>
      <c r="M502" s="29"/>
      <c r="N502" s="29"/>
      <c r="O502" s="29"/>
      <c r="P502" s="29"/>
      <c r="Q502" s="29"/>
      <c r="R502" s="29"/>
      <c r="S502" s="29"/>
      <c r="T502" s="29"/>
      <c r="U502" s="29"/>
      <c r="V502" s="29"/>
      <c r="W502" s="29"/>
      <c r="X502" s="29"/>
      <c r="Y502" s="29"/>
      <c r="Z502" s="29"/>
      <c r="AA502" s="29"/>
      <c r="AB502" s="29"/>
      <c r="AC502" s="29"/>
      <c r="AD502" s="29"/>
      <c r="AE502" s="29"/>
      <c r="AF502" s="29"/>
      <c r="AG502" s="29"/>
      <c r="AH502" s="29"/>
      <c r="AI502" s="29"/>
      <c r="AJ502" s="29"/>
      <c r="AK502" s="29"/>
      <c r="AL502" s="29"/>
      <c r="AM502" s="29"/>
      <c r="AN502" s="29"/>
      <c r="AO502" s="29"/>
      <c r="AP502" s="29"/>
      <c r="AQ502" s="29"/>
      <c r="AR502" s="29"/>
      <c r="AS502" s="29"/>
      <c r="AT502" s="29"/>
      <c r="AU502" s="29"/>
      <c r="AV502" s="29"/>
      <c r="AW502" s="29"/>
      <c r="AX502" s="29"/>
    </row>
    <row r="503" ht="15.75" customHeight="1">
      <c r="A503" s="29"/>
      <c r="B503" s="29"/>
      <c r="C503" s="31"/>
      <c r="D503" s="29"/>
      <c r="E503" s="29"/>
      <c r="F503" s="29"/>
      <c r="G503" s="29"/>
      <c r="H503" s="29"/>
      <c r="I503" s="29"/>
      <c r="J503" s="29"/>
      <c r="K503" s="29"/>
      <c r="L503" s="29"/>
      <c r="M503" s="29"/>
      <c r="N503" s="29"/>
      <c r="O503" s="29"/>
      <c r="P503" s="29"/>
      <c r="Q503" s="29"/>
      <c r="R503" s="29"/>
      <c r="S503" s="29"/>
      <c r="T503" s="29"/>
      <c r="U503" s="29"/>
      <c r="V503" s="29"/>
      <c r="W503" s="29"/>
      <c r="X503" s="29"/>
      <c r="Y503" s="29"/>
      <c r="Z503" s="29"/>
      <c r="AA503" s="29"/>
      <c r="AB503" s="29"/>
      <c r="AC503" s="29"/>
      <c r="AD503" s="29"/>
      <c r="AE503" s="29"/>
      <c r="AF503" s="29"/>
      <c r="AG503" s="29"/>
      <c r="AH503" s="29"/>
      <c r="AI503" s="29"/>
      <c r="AJ503" s="29"/>
      <c r="AK503" s="29"/>
      <c r="AL503" s="29"/>
      <c r="AM503" s="29"/>
      <c r="AN503" s="29"/>
      <c r="AO503" s="29"/>
      <c r="AP503" s="29"/>
      <c r="AQ503" s="29"/>
      <c r="AR503" s="29"/>
      <c r="AS503" s="29"/>
      <c r="AT503" s="29"/>
      <c r="AU503" s="29"/>
      <c r="AV503" s="29"/>
      <c r="AW503" s="29"/>
      <c r="AX503" s="29"/>
    </row>
    <row r="504" ht="15.75" customHeight="1">
      <c r="A504" s="29"/>
      <c r="B504" s="29"/>
      <c r="C504" s="31"/>
      <c r="D504" s="29"/>
      <c r="E504" s="29"/>
      <c r="F504" s="29"/>
      <c r="G504" s="29"/>
      <c r="H504" s="29"/>
      <c r="I504" s="29"/>
      <c r="J504" s="29"/>
      <c r="K504" s="29"/>
      <c r="L504" s="29"/>
      <c r="M504" s="29"/>
      <c r="N504" s="29"/>
      <c r="O504" s="29"/>
      <c r="P504" s="29"/>
      <c r="Q504" s="29"/>
      <c r="R504" s="29"/>
      <c r="S504" s="29"/>
      <c r="T504" s="29"/>
      <c r="U504" s="29"/>
      <c r="V504" s="29"/>
      <c r="W504" s="29"/>
      <c r="X504" s="29"/>
      <c r="Y504" s="29"/>
      <c r="Z504" s="29"/>
      <c r="AA504" s="29"/>
      <c r="AB504" s="29"/>
      <c r="AC504" s="29"/>
      <c r="AD504" s="29"/>
      <c r="AE504" s="29"/>
      <c r="AF504" s="29"/>
      <c r="AG504" s="29"/>
      <c r="AH504" s="29"/>
      <c r="AI504" s="29"/>
      <c r="AJ504" s="29"/>
      <c r="AK504" s="29"/>
      <c r="AL504" s="29"/>
      <c r="AM504" s="29"/>
      <c r="AN504" s="29"/>
      <c r="AO504" s="29"/>
      <c r="AP504" s="29"/>
      <c r="AQ504" s="29"/>
      <c r="AR504" s="29"/>
      <c r="AS504" s="29"/>
      <c r="AT504" s="29"/>
      <c r="AU504" s="29"/>
      <c r="AV504" s="29"/>
      <c r="AW504" s="29"/>
      <c r="AX504" s="29"/>
    </row>
    <row r="505" ht="15.75" customHeight="1">
      <c r="A505" s="29"/>
      <c r="B505" s="29"/>
      <c r="C505" s="31"/>
      <c r="D505" s="29"/>
      <c r="E505" s="29"/>
      <c r="F505" s="29"/>
      <c r="G505" s="29"/>
      <c r="H505" s="29"/>
      <c r="I505" s="29"/>
      <c r="J505" s="29"/>
      <c r="K505" s="29"/>
      <c r="L505" s="29"/>
      <c r="M505" s="29"/>
      <c r="N505" s="29"/>
      <c r="O505" s="29"/>
      <c r="P505" s="29"/>
      <c r="Q505" s="29"/>
      <c r="R505" s="29"/>
      <c r="S505" s="29"/>
      <c r="T505" s="29"/>
      <c r="U505" s="29"/>
      <c r="V505" s="29"/>
      <c r="W505" s="29"/>
      <c r="X505" s="29"/>
      <c r="Y505" s="29"/>
      <c r="Z505" s="29"/>
      <c r="AA505" s="29"/>
      <c r="AB505" s="29"/>
      <c r="AC505" s="29"/>
      <c r="AD505" s="29"/>
      <c r="AE505" s="29"/>
      <c r="AF505" s="29"/>
      <c r="AG505" s="29"/>
      <c r="AH505" s="29"/>
      <c r="AI505" s="29"/>
      <c r="AJ505" s="29"/>
      <c r="AK505" s="29"/>
      <c r="AL505" s="29"/>
      <c r="AM505" s="29"/>
      <c r="AN505" s="29"/>
      <c r="AO505" s="29"/>
      <c r="AP505" s="29"/>
      <c r="AQ505" s="29"/>
      <c r="AR505" s="29"/>
      <c r="AS505" s="29"/>
      <c r="AT505" s="29"/>
      <c r="AU505" s="29"/>
      <c r="AV505" s="29"/>
      <c r="AW505" s="29"/>
      <c r="AX505" s="29"/>
    </row>
    <row r="506" ht="15.75" customHeight="1">
      <c r="A506" s="29"/>
      <c r="B506" s="29"/>
      <c r="C506" s="31"/>
      <c r="D506" s="29"/>
      <c r="E506" s="29"/>
      <c r="F506" s="29"/>
      <c r="G506" s="29"/>
      <c r="H506" s="29"/>
      <c r="I506" s="29"/>
      <c r="J506" s="29"/>
      <c r="K506" s="29"/>
      <c r="L506" s="29"/>
      <c r="M506" s="29"/>
      <c r="N506" s="29"/>
      <c r="O506" s="29"/>
      <c r="P506" s="29"/>
      <c r="Q506" s="29"/>
      <c r="R506" s="29"/>
      <c r="S506" s="29"/>
      <c r="T506" s="29"/>
      <c r="U506" s="29"/>
      <c r="V506" s="29"/>
      <c r="W506" s="29"/>
      <c r="X506" s="29"/>
      <c r="Y506" s="29"/>
      <c r="Z506" s="29"/>
      <c r="AA506" s="29"/>
      <c r="AB506" s="29"/>
      <c r="AC506" s="29"/>
      <c r="AD506" s="29"/>
      <c r="AE506" s="29"/>
      <c r="AF506" s="29"/>
      <c r="AG506" s="29"/>
      <c r="AH506" s="29"/>
      <c r="AI506" s="29"/>
      <c r="AJ506" s="29"/>
      <c r="AK506" s="29"/>
      <c r="AL506" s="29"/>
      <c r="AM506" s="29"/>
      <c r="AN506" s="29"/>
      <c r="AO506" s="29"/>
      <c r="AP506" s="29"/>
      <c r="AQ506" s="29"/>
      <c r="AR506" s="29"/>
      <c r="AS506" s="29"/>
      <c r="AT506" s="29"/>
      <c r="AU506" s="29"/>
      <c r="AV506" s="29"/>
      <c r="AW506" s="29"/>
      <c r="AX506" s="29"/>
    </row>
    <row r="507" ht="15.75" customHeight="1">
      <c r="A507" s="29"/>
      <c r="B507" s="29"/>
      <c r="C507" s="31"/>
      <c r="D507" s="29"/>
      <c r="E507" s="29"/>
      <c r="F507" s="29"/>
      <c r="G507" s="29"/>
      <c r="H507" s="29"/>
      <c r="I507" s="29"/>
      <c r="J507" s="29"/>
      <c r="K507" s="29"/>
      <c r="L507" s="29"/>
      <c r="M507" s="29"/>
      <c r="N507" s="29"/>
      <c r="O507" s="29"/>
      <c r="P507" s="29"/>
      <c r="Q507" s="29"/>
      <c r="R507" s="29"/>
      <c r="S507" s="29"/>
      <c r="T507" s="29"/>
      <c r="U507" s="29"/>
      <c r="V507" s="29"/>
      <c r="W507" s="29"/>
      <c r="X507" s="29"/>
      <c r="Y507" s="29"/>
      <c r="Z507" s="29"/>
      <c r="AA507" s="29"/>
      <c r="AB507" s="29"/>
      <c r="AC507" s="29"/>
      <c r="AD507" s="29"/>
      <c r="AE507" s="29"/>
      <c r="AF507" s="29"/>
      <c r="AG507" s="29"/>
      <c r="AH507" s="29"/>
      <c r="AI507" s="29"/>
      <c r="AJ507" s="29"/>
      <c r="AK507" s="29"/>
      <c r="AL507" s="29"/>
      <c r="AM507" s="29"/>
      <c r="AN507" s="29"/>
      <c r="AO507" s="29"/>
      <c r="AP507" s="29"/>
      <c r="AQ507" s="29"/>
      <c r="AR507" s="29"/>
      <c r="AS507" s="29"/>
      <c r="AT507" s="29"/>
      <c r="AU507" s="29"/>
      <c r="AV507" s="29"/>
      <c r="AW507" s="29"/>
      <c r="AX507" s="29"/>
    </row>
    <row r="508" ht="15.75" customHeight="1">
      <c r="A508" s="29"/>
      <c r="B508" s="29"/>
      <c r="C508" s="31"/>
      <c r="D508" s="29"/>
      <c r="E508" s="29"/>
      <c r="F508" s="29"/>
      <c r="G508" s="29"/>
      <c r="H508" s="29"/>
      <c r="I508" s="29"/>
      <c r="J508" s="29"/>
      <c r="K508" s="29"/>
      <c r="L508" s="29"/>
      <c r="M508" s="29"/>
      <c r="N508" s="29"/>
      <c r="O508" s="29"/>
      <c r="P508" s="29"/>
      <c r="Q508" s="29"/>
      <c r="R508" s="29"/>
      <c r="S508" s="29"/>
      <c r="T508" s="29"/>
      <c r="U508" s="29"/>
      <c r="V508" s="29"/>
      <c r="W508" s="29"/>
      <c r="X508" s="29"/>
      <c r="Y508" s="29"/>
      <c r="Z508" s="29"/>
      <c r="AA508" s="29"/>
      <c r="AB508" s="29"/>
      <c r="AC508" s="29"/>
      <c r="AD508" s="29"/>
      <c r="AE508" s="29"/>
      <c r="AF508" s="29"/>
      <c r="AG508" s="29"/>
      <c r="AH508" s="29"/>
      <c r="AI508" s="29"/>
      <c r="AJ508" s="29"/>
      <c r="AK508" s="29"/>
      <c r="AL508" s="29"/>
      <c r="AM508" s="29"/>
      <c r="AN508" s="29"/>
      <c r="AO508" s="29"/>
      <c r="AP508" s="29"/>
      <c r="AQ508" s="29"/>
      <c r="AR508" s="29"/>
      <c r="AS508" s="29"/>
      <c r="AT508" s="29"/>
      <c r="AU508" s="29"/>
      <c r="AV508" s="29"/>
      <c r="AW508" s="29"/>
      <c r="AX508" s="29"/>
    </row>
    <row r="509" ht="15.75" customHeight="1">
      <c r="A509" s="29"/>
      <c r="B509" s="29"/>
      <c r="C509" s="31"/>
      <c r="D509" s="29"/>
      <c r="E509" s="29"/>
      <c r="F509" s="29"/>
      <c r="G509" s="29"/>
      <c r="H509" s="29"/>
      <c r="I509" s="29"/>
      <c r="J509" s="29"/>
      <c r="K509" s="29"/>
      <c r="L509" s="29"/>
      <c r="M509" s="29"/>
      <c r="N509" s="29"/>
      <c r="O509" s="29"/>
      <c r="P509" s="29"/>
      <c r="Q509" s="29"/>
      <c r="R509" s="29"/>
      <c r="S509" s="29"/>
      <c r="T509" s="29"/>
      <c r="U509" s="29"/>
      <c r="V509" s="29"/>
      <c r="W509" s="29"/>
      <c r="X509" s="29"/>
      <c r="Y509" s="29"/>
      <c r="Z509" s="29"/>
      <c r="AA509" s="29"/>
      <c r="AB509" s="29"/>
      <c r="AC509" s="29"/>
      <c r="AD509" s="29"/>
      <c r="AE509" s="29"/>
      <c r="AF509" s="29"/>
      <c r="AG509" s="29"/>
      <c r="AH509" s="29"/>
      <c r="AI509" s="29"/>
      <c r="AJ509" s="29"/>
      <c r="AK509" s="29"/>
      <c r="AL509" s="29"/>
      <c r="AM509" s="29"/>
      <c r="AN509" s="29"/>
      <c r="AO509" s="29"/>
      <c r="AP509" s="29"/>
      <c r="AQ509" s="29"/>
      <c r="AR509" s="29"/>
      <c r="AS509" s="29"/>
      <c r="AT509" s="29"/>
      <c r="AU509" s="29"/>
      <c r="AV509" s="29"/>
      <c r="AW509" s="29"/>
      <c r="AX509" s="29"/>
    </row>
    <row r="510" ht="15.75" customHeight="1">
      <c r="A510" s="29"/>
      <c r="B510" s="29"/>
      <c r="C510" s="31"/>
      <c r="D510" s="29"/>
      <c r="E510" s="29"/>
      <c r="F510" s="29"/>
      <c r="G510" s="29"/>
      <c r="H510" s="29"/>
      <c r="I510" s="29"/>
      <c r="J510" s="29"/>
      <c r="K510" s="29"/>
      <c r="L510" s="29"/>
      <c r="M510" s="29"/>
      <c r="N510" s="29"/>
      <c r="O510" s="29"/>
      <c r="P510" s="29"/>
      <c r="Q510" s="29"/>
      <c r="R510" s="29"/>
      <c r="S510" s="29"/>
      <c r="T510" s="29"/>
      <c r="U510" s="29"/>
      <c r="V510" s="29"/>
      <c r="W510" s="29"/>
      <c r="X510" s="29"/>
      <c r="Y510" s="29"/>
      <c r="Z510" s="29"/>
      <c r="AA510" s="29"/>
      <c r="AB510" s="29"/>
      <c r="AC510" s="29"/>
      <c r="AD510" s="29"/>
      <c r="AE510" s="29"/>
      <c r="AF510" s="29"/>
      <c r="AG510" s="29"/>
      <c r="AH510" s="29"/>
      <c r="AI510" s="29"/>
      <c r="AJ510" s="29"/>
      <c r="AK510" s="29"/>
      <c r="AL510" s="29"/>
      <c r="AM510" s="29"/>
      <c r="AN510" s="29"/>
      <c r="AO510" s="29"/>
      <c r="AP510" s="29"/>
      <c r="AQ510" s="29"/>
      <c r="AR510" s="29"/>
      <c r="AS510" s="29"/>
      <c r="AT510" s="29"/>
      <c r="AU510" s="29"/>
      <c r="AV510" s="29"/>
      <c r="AW510" s="29"/>
      <c r="AX510" s="29"/>
    </row>
    <row r="511" ht="15.75" customHeight="1">
      <c r="A511" s="29"/>
      <c r="B511" s="29"/>
      <c r="C511" s="31"/>
      <c r="D511" s="29"/>
      <c r="E511" s="29"/>
      <c r="F511" s="29"/>
      <c r="G511" s="29"/>
      <c r="H511" s="29"/>
      <c r="I511" s="29"/>
      <c r="J511" s="29"/>
      <c r="K511" s="29"/>
      <c r="L511" s="29"/>
      <c r="M511" s="29"/>
      <c r="N511" s="29"/>
      <c r="O511" s="29"/>
      <c r="P511" s="29"/>
      <c r="Q511" s="29"/>
      <c r="R511" s="29"/>
      <c r="S511" s="29"/>
      <c r="T511" s="29"/>
      <c r="U511" s="29"/>
      <c r="V511" s="29"/>
      <c r="W511" s="29"/>
      <c r="X511" s="29"/>
      <c r="Y511" s="29"/>
      <c r="Z511" s="29"/>
      <c r="AA511" s="29"/>
      <c r="AB511" s="29"/>
      <c r="AC511" s="29"/>
      <c r="AD511" s="29"/>
      <c r="AE511" s="29"/>
      <c r="AF511" s="29"/>
      <c r="AG511" s="29"/>
      <c r="AH511" s="29"/>
      <c r="AI511" s="29"/>
      <c r="AJ511" s="29"/>
      <c r="AK511" s="29"/>
      <c r="AL511" s="29"/>
      <c r="AM511" s="29"/>
      <c r="AN511" s="29"/>
      <c r="AO511" s="29"/>
      <c r="AP511" s="29"/>
      <c r="AQ511" s="29"/>
      <c r="AR511" s="29"/>
      <c r="AS511" s="29"/>
      <c r="AT511" s="29"/>
      <c r="AU511" s="29"/>
      <c r="AV511" s="29"/>
      <c r="AW511" s="29"/>
      <c r="AX511" s="29"/>
    </row>
    <row r="512" ht="15.75" customHeight="1">
      <c r="A512" s="29"/>
      <c r="B512" s="29"/>
      <c r="C512" s="31"/>
      <c r="D512" s="29"/>
      <c r="E512" s="29"/>
      <c r="F512" s="29"/>
      <c r="G512" s="29"/>
      <c r="H512" s="29"/>
      <c r="I512" s="29"/>
      <c r="J512" s="29"/>
      <c r="K512" s="29"/>
      <c r="L512" s="29"/>
      <c r="M512" s="29"/>
      <c r="N512" s="29"/>
      <c r="O512" s="29"/>
      <c r="P512" s="29"/>
      <c r="Q512" s="29"/>
      <c r="R512" s="29"/>
      <c r="S512" s="29"/>
      <c r="T512" s="29"/>
      <c r="U512" s="29"/>
      <c r="V512" s="29"/>
      <c r="W512" s="29"/>
      <c r="X512" s="29"/>
      <c r="Y512" s="29"/>
      <c r="Z512" s="29"/>
      <c r="AA512" s="29"/>
      <c r="AB512" s="29"/>
      <c r="AC512" s="29"/>
      <c r="AD512" s="29"/>
      <c r="AE512" s="29"/>
      <c r="AF512" s="29"/>
      <c r="AG512" s="29"/>
      <c r="AH512" s="29"/>
      <c r="AI512" s="29"/>
      <c r="AJ512" s="29"/>
      <c r="AK512" s="29"/>
      <c r="AL512" s="29"/>
      <c r="AM512" s="29"/>
      <c r="AN512" s="29"/>
      <c r="AO512" s="29"/>
      <c r="AP512" s="29"/>
      <c r="AQ512" s="29"/>
      <c r="AR512" s="29"/>
      <c r="AS512" s="29"/>
      <c r="AT512" s="29"/>
      <c r="AU512" s="29"/>
      <c r="AV512" s="29"/>
      <c r="AW512" s="29"/>
      <c r="AX512" s="29"/>
    </row>
    <row r="513" ht="15.75" customHeight="1">
      <c r="A513" s="29"/>
      <c r="B513" s="29"/>
      <c r="C513" s="31"/>
      <c r="D513" s="29"/>
      <c r="E513" s="29"/>
      <c r="F513" s="29"/>
      <c r="G513" s="29"/>
      <c r="H513" s="29"/>
      <c r="I513" s="29"/>
      <c r="J513" s="29"/>
      <c r="K513" s="29"/>
      <c r="L513" s="29"/>
      <c r="M513" s="29"/>
      <c r="N513" s="29"/>
      <c r="O513" s="29"/>
      <c r="P513" s="29"/>
      <c r="Q513" s="29"/>
      <c r="R513" s="29"/>
      <c r="S513" s="29"/>
      <c r="T513" s="29"/>
      <c r="U513" s="29"/>
      <c r="V513" s="29"/>
      <c r="W513" s="29"/>
      <c r="X513" s="29"/>
      <c r="Y513" s="29"/>
      <c r="Z513" s="29"/>
      <c r="AA513" s="29"/>
      <c r="AB513" s="29"/>
      <c r="AC513" s="29"/>
      <c r="AD513" s="29"/>
      <c r="AE513" s="29"/>
      <c r="AF513" s="29"/>
      <c r="AG513" s="29"/>
      <c r="AH513" s="29"/>
      <c r="AI513" s="29"/>
      <c r="AJ513" s="29"/>
      <c r="AK513" s="29"/>
      <c r="AL513" s="29"/>
      <c r="AM513" s="29"/>
      <c r="AN513" s="29"/>
      <c r="AO513" s="29"/>
      <c r="AP513" s="29"/>
      <c r="AQ513" s="29"/>
      <c r="AR513" s="29"/>
      <c r="AS513" s="29"/>
      <c r="AT513" s="29"/>
      <c r="AU513" s="29"/>
      <c r="AV513" s="29"/>
      <c r="AW513" s="29"/>
      <c r="AX513" s="29"/>
    </row>
    <row r="514" ht="15.75" customHeight="1">
      <c r="A514" s="29"/>
      <c r="B514" s="29"/>
      <c r="C514" s="31"/>
      <c r="D514" s="29"/>
      <c r="E514" s="29"/>
      <c r="F514" s="29"/>
      <c r="G514" s="29"/>
      <c r="H514" s="29"/>
      <c r="I514" s="29"/>
      <c r="J514" s="29"/>
      <c r="K514" s="29"/>
      <c r="L514" s="29"/>
      <c r="M514" s="29"/>
      <c r="N514" s="29"/>
      <c r="O514" s="29"/>
      <c r="P514" s="29"/>
      <c r="Q514" s="29"/>
      <c r="R514" s="29"/>
      <c r="S514" s="29"/>
      <c r="T514" s="29"/>
      <c r="U514" s="29"/>
      <c r="V514" s="29"/>
      <c r="W514" s="29"/>
      <c r="X514" s="29"/>
      <c r="Y514" s="29"/>
      <c r="Z514" s="29"/>
      <c r="AA514" s="29"/>
      <c r="AB514" s="29"/>
      <c r="AC514" s="29"/>
      <c r="AD514" s="29"/>
      <c r="AE514" s="29"/>
      <c r="AF514" s="29"/>
      <c r="AG514" s="29"/>
      <c r="AH514" s="29"/>
      <c r="AI514" s="29"/>
      <c r="AJ514" s="29"/>
      <c r="AK514" s="29"/>
      <c r="AL514" s="29"/>
      <c r="AM514" s="29"/>
      <c r="AN514" s="29"/>
      <c r="AO514" s="29"/>
      <c r="AP514" s="29"/>
      <c r="AQ514" s="29"/>
      <c r="AR514" s="29"/>
      <c r="AS514" s="29"/>
      <c r="AT514" s="29"/>
      <c r="AU514" s="29"/>
      <c r="AV514" s="29"/>
      <c r="AW514" s="29"/>
      <c r="AX514" s="29"/>
    </row>
    <row r="515" ht="15.75" customHeight="1">
      <c r="A515" s="29"/>
      <c r="B515" s="29"/>
      <c r="C515" s="31"/>
      <c r="D515" s="29"/>
      <c r="E515" s="29"/>
      <c r="F515" s="29"/>
      <c r="G515" s="29"/>
      <c r="H515" s="29"/>
      <c r="I515" s="29"/>
      <c r="J515" s="29"/>
      <c r="K515" s="29"/>
      <c r="L515" s="29"/>
      <c r="M515" s="29"/>
      <c r="N515" s="29"/>
      <c r="O515" s="29"/>
      <c r="P515" s="29"/>
      <c r="Q515" s="29"/>
      <c r="R515" s="29"/>
      <c r="S515" s="29"/>
      <c r="T515" s="29"/>
      <c r="U515" s="29"/>
      <c r="V515" s="29"/>
      <c r="W515" s="29"/>
      <c r="X515" s="29"/>
      <c r="Y515" s="29"/>
      <c r="Z515" s="29"/>
      <c r="AA515" s="29"/>
      <c r="AB515" s="29"/>
      <c r="AC515" s="29"/>
      <c r="AD515" s="29"/>
      <c r="AE515" s="29"/>
      <c r="AF515" s="29"/>
      <c r="AG515" s="29"/>
      <c r="AH515" s="29"/>
      <c r="AI515" s="29"/>
      <c r="AJ515" s="29"/>
      <c r="AK515" s="29"/>
      <c r="AL515" s="29"/>
      <c r="AM515" s="29"/>
      <c r="AN515" s="29"/>
      <c r="AO515" s="29"/>
      <c r="AP515" s="29"/>
      <c r="AQ515" s="29"/>
      <c r="AR515" s="29"/>
      <c r="AS515" s="29"/>
      <c r="AT515" s="29"/>
      <c r="AU515" s="29"/>
      <c r="AV515" s="29"/>
      <c r="AW515" s="29"/>
      <c r="AX515" s="29"/>
    </row>
    <row r="516" ht="15.75" customHeight="1">
      <c r="A516" s="29"/>
      <c r="B516" s="29"/>
      <c r="C516" s="31"/>
      <c r="D516" s="29"/>
      <c r="E516" s="29"/>
      <c r="F516" s="29"/>
      <c r="G516" s="29"/>
      <c r="H516" s="29"/>
      <c r="I516" s="29"/>
      <c r="J516" s="29"/>
      <c r="K516" s="29"/>
      <c r="L516" s="29"/>
      <c r="M516" s="29"/>
      <c r="N516" s="29"/>
      <c r="O516" s="29"/>
      <c r="P516" s="29"/>
      <c r="Q516" s="29"/>
      <c r="R516" s="29"/>
      <c r="S516" s="29"/>
      <c r="T516" s="29"/>
      <c r="U516" s="29"/>
      <c r="V516" s="29"/>
      <c r="W516" s="29"/>
      <c r="X516" s="29"/>
      <c r="Y516" s="29"/>
      <c r="Z516" s="29"/>
      <c r="AA516" s="29"/>
      <c r="AB516" s="29"/>
      <c r="AC516" s="29"/>
      <c r="AD516" s="29"/>
      <c r="AE516" s="29"/>
      <c r="AF516" s="29"/>
      <c r="AG516" s="29"/>
      <c r="AH516" s="29"/>
      <c r="AI516" s="29"/>
      <c r="AJ516" s="29"/>
      <c r="AK516" s="29"/>
      <c r="AL516" s="29"/>
      <c r="AM516" s="29"/>
      <c r="AN516" s="29"/>
      <c r="AO516" s="29"/>
      <c r="AP516" s="29"/>
      <c r="AQ516" s="29"/>
      <c r="AR516" s="29"/>
      <c r="AS516" s="29"/>
      <c r="AT516" s="29"/>
      <c r="AU516" s="29"/>
      <c r="AV516" s="29"/>
      <c r="AW516" s="29"/>
      <c r="AX516" s="29"/>
    </row>
    <row r="517" ht="15.75" customHeight="1">
      <c r="A517" s="29"/>
      <c r="B517" s="29"/>
      <c r="C517" s="31"/>
      <c r="D517" s="29"/>
      <c r="E517" s="29"/>
      <c r="F517" s="29"/>
      <c r="G517" s="29"/>
      <c r="H517" s="29"/>
      <c r="I517" s="29"/>
      <c r="J517" s="29"/>
      <c r="K517" s="29"/>
      <c r="L517" s="29"/>
      <c r="M517" s="29"/>
      <c r="N517" s="29"/>
      <c r="O517" s="29"/>
      <c r="P517" s="29"/>
      <c r="Q517" s="29"/>
      <c r="R517" s="29"/>
      <c r="S517" s="29"/>
      <c r="T517" s="29"/>
      <c r="U517" s="29"/>
      <c r="V517" s="29"/>
      <c r="W517" s="29"/>
      <c r="X517" s="29"/>
      <c r="Y517" s="29"/>
      <c r="Z517" s="29"/>
      <c r="AA517" s="29"/>
      <c r="AB517" s="29"/>
      <c r="AC517" s="29"/>
      <c r="AD517" s="29"/>
      <c r="AE517" s="29"/>
      <c r="AF517" s="29"/>
      <c r="AG517" s="29"/>
      <c r="AH517" s="29"/>
      <c r="AI517" s="29"/>
      <c r="AJ517" s="29"/>
      <c r="AK517" s="29"/>
      <c r="AL517" s="29"/>
      <c r="AM517" s="29"/>
      <c r="AN517" s="29"/>
      <c r="AO517" s="29"/>
      <c r="AP517" s="29"/>
      <c r="AQ517" s="29"/>
      <c r="AR517" s="29"/>
      <c r="AS517" s="29"/>
      <c r="AT517" s="29"/>
      <c r="AU517" s="29"/>
      <c r="AV517" s="29"/>
      <c r="AW517" s="29"/>
      <c r="AX517" s="29"/>
    </row>
    <row r="518" ht="15.75" customHeight="1">
      <c r="A518" s="29"/>
      <c r="B518" s="29"/>
      <c r="C518" s="31"/>
      <c r="D518" s="29"/>
      <c r="E518" s="29"/>
      <c r="F518" s="29"/>
      <c r="G518" s="29"/>
      <c r="H518" s="29"/>
      <c r="I518" s="29"/>
      <c r="J518" s="29"/>
      <c r="K518" s="29"/>
      <c r="L518" s="29"/>
      <c r="M518" s="29"/>
      <c r="N518" s="29"/>
      <c r="O518" s="29"/>
      <c r="P518" s="29"/>
      <c r="Q518" s="29"/>
      <c r="R518" s="29"/>
      <c r="S518" s="29"/>
      <c r="T518" s="29"/>
      <c r="U518" s="29"/>
      <c r="V518" s="29"/>
      <c r="W518" s="29"/>
      <c r="X518" s="29"/>
      <c r="Y518" s="29"/>
      <c r="Z518" s="29"/>
      <c r="AA518" s="29"/>
      <c r="AB518" s="29"/>
      <c r="AC518" s="29"/>
      <c r="AD518" s="29"/>
      <c r="AE518" s="29"/>
      <c r="AF518" s="29"/>
      <c r="AG518" s="29"/>
      <c r="AH518" s="29"/>
      <c r="AI518" s="29"/>
      <c r="AJ518" s="29"/>
      <c r="AK518" s="29"/>
      <c r="AL518" s="29"/>
      <c r="AM518" s="29"/>
      <c r="AN518" s="29"/>
      <c r="AO518" s="29"/>
      <c r="AP518" s="29"/>
      <c r="AQ518" s="29"/>
      <c r="AR518" s="29"/>
      <c r="AS518" s="29"/>
      <c r="AT518" s="29"/>
      <c r="AU518" s="29"/>
      <c r="AV518" s="29"/>
      <c r="AW518" s="29"/>
      <c r="AX518" s="29"/>
    </row>
    <row r="519" ht="15.75" customHeight="1">
      <c r="A519" s="29"/>
      <c r="B519" s="29"/>
      <c r="C519" s="31"/>
      <c r="D519" s="29"/>
      <c r="E519" s="29"/>
      <c r="F519" s="29"/>
      <c r="G519" s="29"/>
      <c r="H519" s="29"/>
      <c r="I519" s="29"/>
      <c r="J519" s="29"/>
      <c r="K519" s="29"/>
      <c r="L519" s="29"/>
      <c r="M519" s="29"/>
      <c r="N519" s="29"/>
      <c r="O519" s="29"/>
      <c r="P519" s="29"/>
      <c r="Q519" s="29"/>
      <c r="R519" s="29"/>
      <c r="S519" s="29"/>
      <c r="T519" s="29"/>
      <c r="U519" s="29"/>
      <c r="V519" s="29"/>
      <c r="W519" s="29"/>
      <c r="X519" s="29"/>
      <c r="Y519" s="29"/>
      <c r="Z519" s="29"/>
      <c r="AA519" s="29"/>
      <c r="AB519" s="29"/>
      <c r="AC519" s="29"/>
      <c r="AD519" s="29"/>
      <c r="AE519" s="29"/>
      <c r="AF519" s="29"/>
      <c r="AG519" s="29"/>
      <c r="AH519" s="29"/>
      <c r="AI519" s="29"/>
      <c r="AJ519" s="29"/>
      <c r="AK519" s="29"/>
      <c r="AL519" s="29"/>
      <c r="AM519" s="29"/>
      <c r="AN519" s="29"/>
      <c r="AO519" s="29"/>
      <c r="AP519" s="29"/>
      <c r="AQ519" s="29"/>
      <c r="AR519" s="29"/>
      <c r="AS519" s="29"/>
      <c r="AT519" s="29"/>
      <c r="AU519" s="29"/>
      <c r="AV519" s="29"/>
      <c r="AW519" s="29"/>
      <c r="AX519" s="29"/>
    </row>
    <row r="520" ht="15.75" customHeight="1">
      <c r="A520" s="29"/>
      <c r="B520" s="29"/>
      <c r="C520" s="31"/>
      <c r="D520" s="29"/>
      <c r="E520" s="29"/>
      <c r="F520" s="29"/>
      <c r="G520" s="29"/>
      <c r="H520" s="29"/>
      <c r="I520" s="29"/>
      <c r="J520" s="29"/>
      <c r="K520" s="29"/>
      <c r="L520" s="29"/>
      <c r="M520" s="29"/>
      <c r="N520" s="29"/>
      <c r="O520" s="29"/>
      <c r="P520" s="29"/>
      <c r="Q520" s="29"/>
      <c r="R520" s="29"/>
      <c r="S520" s="29"/>
      <c r="T520" s="29"/>
      <c r="U520" s="29"/>
      <c r="V520" s="29"/>
      <c r="W520" s="29"/>
      <c r="X520" s="29"/>
      <c r="Y520" s="29"/>
      <c r="Z520" s="29"/>
      <c r="AA520" s="29"/>
      <c r="AB520" s="29"/>
      <c r="AC520" s="29"/>
      <c r="AD520" s="29"/>
      <c r="AE520" s="29"/>
      <c r="AF520" s="29"/>
      <c r="AG520" s="29"/>
      <c r="AH520" s="29"/>
      <c r="AI520" s="29"/>
      <c r="AJ520" s="29"/>
      <c r="AK520" s="29"/>
      <c r="AL520" s="29"/>
      <c r="AM520" s="29"/>
      <c r="AN520" s="29"/>
      <c r="AO520" s="29"/>
      <c r="AP520" s="29"/>
      <c r="AQ520" s="29"/>
      <c r="AR520" s="29"/>
      <c r="AS520" s="29"/>
      <c r="AT520" s="29"/>
      <c r="AU520" s="29"/>
      <c r="AV520" s="29"/>
      <c r="AW520" s="29"/>
      <c r="AX520" s="29"/>
    </row>
    <row r="521" ht="15.75" customHeight="1">
      <c r="A521" s="29"/>
      <c r="B521" s="29"/>
      <c r="C521" s="31"/>
      <c r="D521" s="29"/>
      <c r="E521" s="29"/>
      <c r="F521" s="29"/>
      <c r="G521" s="29"/>
      <c r="H521" s="29"/>
      <c r="I521" s="29"/>
      <c r="J521" s="29"/>
      <c r="K521" s="29"/>
      <c r="L521" s="29"/>
      <c r="M521" s="29"/>
      <c r="N521" s="29"/>
      <c r="O521" s="29"/>
      <c r="P521" s="29"/>
      <c r="Q521" s="29"/>
      <c r="R521" s="29"/>
      <c r="S521" s="29"/>
      <c r="T521" s="29"/>
      <c r="U521" s="29"/>
      <c r="V521" s="29"/>
      <c r="W521" s="29"/>
      <c r="X521" s="29"/>
      <c r="Y521" s="29"/>
      <c r="Z521" s="29"/>
      <c r="AA521" s="29"/>
      <c r="AB521" s="29"/>
      <c r="AC521" s="29"/>
      <c r="AD521" s="29"/>
      <c r="AE521" s="29"/>
      <c r="AF521" s="29"/>
      <c r="AG521" s="29"/>
      <c r="AH521" s="29"/>
      <c r="AI521" s="29"/>
      <c r="AJ521" s="29"/>
      <c r="AK521" s="29"/>
      <c r="AL521" s="29"/>
      <c r="AM521" s="29"/>
      <c r="AN521" s="29"/>
      <c r="AO521" s="29"/>
      <c r="AP521" s="29"/>
      <c r="AQ521" s="29"/>
      <c r="AR521" s="29"/>
      <c r="AS521" s="29"/>
      <c r="AT521" s="29"/>
      <c r="AU521" s="29"/>
      <c r="AV521" s="29"/>
      <c r="AW521" s="29"/>
      <c r="AX521" s="29"/>
    </row>
    <row r="522" ht="15.75" customHeight="1">
      <c r="A522" s="29"/>
      <c r="B522" s="29"/>
      <c r="C522" s="31"/>
      <c r="D522" s="29"/>
      <c r="E522" s="29"/>
      <c r="F522" s="29"/>
      <c r="G522" s="29"/>
      <c r="H522" s="29"/>
      <c r="I522" s="29"/>
      <c r="J522" s="29"/>
      <c r="K522" s="29"/>
      <c r="L522" s="29"/>
      <c r="M522" s="29"/>
      <c r="N522" s="29"/>
      <c r="O522" s="29"/>
      <c r="P522" s="29"/>
      <c r="Q522" s="29"/>
      <c r="R522" s="29"/>
      <c r="S522" s="29"/>
      <c r="T522" s="29"/>
      <c r="U522" s="29"/>
      <c r="V522" s="29"/>
      <c r="W522" s="29"/>
      <c r="X522" s="29"/>
      <c r="Y522" s="29"/>
      <c r="Z522" s="29"/>
      <c r="AA522" s="29"/>
      <c r="AB522" s="29"/>
      <c r="AC522" s="29"/>
      <c r="AD522" s="29"/>
      <c r="AE522" s="29"/>
      <c r="AF522" s="29"/>
      <c r="AG522" s="29"/>
      <c r="AH522" s="29"/>
      <c r="AI522" s="29"/>
      <c r="AJ522" s="29"/>
      <c r="AK522" s="29"/>
      <c r="AL522" s="29"/>
      <c r="AM522" s="29"/>
      <c r="AN522" s="29"/>
      <c r="AO522" s="29"/>
      <c r="AP522" s="29"/>
      <c r="AQ522" s="29"/>
      <c r="AR522" s="29"/>
      <c r="AS522" s="29"/>
      <c r="AT522" s="29"/>
      <c r="AU522" s="29"/>
      <c r="AV522" s="29"/>
      <c r="AW522" s="29"/>
      <c r="AX522" s="29"/>
    </row>
    <row r="523" ht="15.75" customHeight="1">
      <c r="A523" s="29"/>
      <c r="B523" s="29"/>
      <c r="C523" s="31"/>
      <c r="D523" s="29"/>
      <c r="E523" s="29"/>
      <c r="F523" s="29"/>
      <c r="G523" s="29"/>
      <c r="H523" s="29"/>
      <c r="I523" s="29"/>
      <c r="J523" s="29"/>
      <c r="K523" s="29"/>
      <c r="L523" s="29"/>
      <c r="M523" s="29"/>
      <c r="N523" s="29"/>
      <c r="O523" s="29"/>
      <c r="P523" s="29"/>
      <c r="Q523" s="29"/>
      <c r="R523" s="29"/>
      <c r="S523" s="29"/>
      <c r="T523" s="29"/>
      <c r="U523" s="29"/>
      <c r="V523" s="29"/>
      <c r="W523" s="29"/>
      <c r="X523" s="29"/>
      <c r="Y523" s="29"/>
      <c r="Z523" s="29"/>
      <c r="AA523" s="29"/>
      <c r="AB523" s="29"/>
      <c r="AC523" s="29"/>
      <c r="AD523" s="29"/>
      <c r="AE523" s="29"/>
      <c r="AF523" s="29"/>
      <c r="AG523" s="29"/>
      <c r="AH523" s="29"/>
      <c r="AI523" s="29"/>
      <c r="AJ523" s="29"/>
      <c r="AK523" s="29"/>
      <c r="AL523" s="29"/>
      <c r="AM523" s="29"/>
      <c r="AN523" s="29"/>
      <c r="AO523" s="29"/>
      <c r="AP523" s="29"/>
      <c r="AQ523" s="29"/>
      <c r="AR523" s="29"/>
      <c r="AS523" s="29"/>
      <c r="AT523" s="29"/>
      <c r="AU523" s="29"/>
      <c r="AV523" s="29"/>
      <c r="AW523" s="29"/>
      <c r="AX523" s="29"/>
    </row>
    <row r="524" ht="15.75" customHeight="1">
      <c r="A524" s="29"/>
      <c r="B524" s="29"/>
      <c r="C524" s="31"/>
      <c r="D524" s="29"/>
      <c r="E524" s="29"/>
      <c r="F524" s="29"/>
      <c r="G524" s="29"/>
      <c r="H524" s="29"/>
      <c r="I524" s="29"/>
      <c r="J524" s="29"/>
      <c r="K524" s="29"/>
      <c r="L524" s="29"/>
      <c r="M524" s="29"/>
      <c r="N524" s="29"/>
      <c r="O524" s="29"/>
      <c r="P524" s="29"/>
      <c r="Q524" s="29"/>
      <c r="R524" s="29"/>
      <c r="S524" s="29"/>
      <c r="T524" s="29"/>
      <c r="U524" s="29"/>
      <c r="V524" s="29"/>
      <c r="W524" s="29"/>
      <c r="X524" s="29"/>
      <c r="Y524" s="29"/>
      <c r="Z524" s="29"/>
      <c r="AA524" s="29"/>
      <c r="AB524" s="29"/>
      <c r="AC524" s="29"/>
      <c r="AD524" s="29"/>
      <c r="AE524" s="29"/>
      <c r="AF524" s="29"/>
      <c r="AG524" s="29"/>
      <c r="AH524" s="29"/>
      <c r="AI524" s="29"/>
      <c r="AJ524" s="29"/>
      <c r="AK524" s="29"/>
      <c r="AL524" s="29"/>
      <c r="AM524" s="29"/>
      <c r="AN524" s="29"/>
      <c r="AO524" s="29"/>
      <c r="AP524" s="29"/>
      <c r="AQ524" s="29"/>
      <c r="AR524" s="29"/>
      <c r="AS524" s="29"/>
      <c r="AT524" s="29"/>
      <c r="AU524" s="29"/>
      <c r="AV524" s="29"/>
      <c r="AW524" s="29"/>
      <c r="AX524" s="29"/>
    </row>
    <row r="525" ht="15.75" customHeight="1">
      <c r="A525" s="29"/>
      <c r="B525" s="29"/>
      <c r="C525" s="31"/>
      <c r="D525" s="29"/>
      <c r="E525" s="29"/>
      <c r="F525" s="29"/>
      <c r="G525" s="29"/>
      <c r="H525" s="29"/>
      <c r="I525" s="29"/>
      <c r="J525" s="29"/>
      <c r="K525" s="29"/>
      <c r="L525" s="29"/>
      <c r="M525" s="29"/>
      <c r="N525" s="29"/>
      <c r="O525" s="29"/>
      <c r="P525" s="29"/>
      <c r="Q525" s="29"/>
      <c r="R525" s="29"/>
      <c r="S525" s="29"/>
      <c r="T525" s="29"/>
      <c r="U525" s="29"/>
      <c r="V525" s="29"/>
      <c r="W525" s="29"/>
      <c r="X525" s="29"/>
      <c r="Y525" s="29"/>
      <c r="Z525" s="29"/>
      <c r="AA525" s="29"/>
      <c r="AB525" s="29"/>
      <c r="AC525" s="29"/>
      <c r="AD525" s="29"/>
      <c r="AE525" s="29"/>
      <c r="AF525" s="29"/>
      <c r="AG525" s="29"/>
      <c r="AH525" s="29"/>
      <c r="AI525" s="29"/>
      <c r="AJ525" s="29"/>
      <c r="AK525" s="29"/>
      <c r="AL525" s="29"/>
      <c r="AM525" s="29"/>
      <c r="AN525" s="29"/>
      <c r="AO525" s="29"/>
      <c r="AP525" s="29"/>
      <c r="AQ525" s="29"/>
      <c r="AR525" s="29"/>
      <c r="AS525" s="29"/>
      <c r="AT525" s="29"/>
      <c r="AU525" s="29"/>
      <c r="AV525" s="29"/>
      <c r="AW525" s="29"/>
      <c r="AX525" s="29"/>
    </row>
    <row r="526" ht="15.75" customHeight="1">
      <c r="A526" s="29"/>
      <c r="B526" s="29"/>
      <c r="C526" s="31"/>
      <c r="D526" s="29"/>
      <c r="E526" s="29"/>
      <c r="F526" s="29"/>
      <c r="G526" s="29"/>
      <c r="H526" s="29"/>
      <c r="I526" s="29"/>
      <c r="J526" s="29"/>
      <c r="K526" s="29"/>
      <c r="L526" s="29"/>
      <c r="M526" s="29"/>
      <c r="N526" s="29"/>
      <c r="O526" s="29"/>
      <c r="P526" s="29"/>
      <c r="Q526" s="29"/>
      <c r="R526" s="29"/>
      <c r="S526" s="29"/>
      <c r="T526" s="29"/>
      <c r="U526" s="29"/>
      <c r="V526" s="29"/>
      <c r="W526" s="29"/>
      <c r="X526" s="29"/>
      <c r="Y526" s="29"/>
      <c r="Z526" s="29"/>
      <c r="AA526" s="29"/>
      <c r="AB526" s="29"/>
      <c r="AC526" s="29"/>
      <c r="AD526" s="29"/>
      <c r="AE526" s="29"/>
      <c r="AF526" s="29"/>
      <c r="AG526" s="29"/>
      <c r="AH526" s="29"/>
      <c r="AI526" s="29"/>
      <c r="AJ526" s="29"/>
      <c r="AK526" s="29"/>
      <c r="AL526" s="29"/>
      <c r="AM526" s="29"/>
      <c r="AN526" s="29"/>
      <c r="AO526" s="29"/>
      <c r="AP526" s="29"/>
      <c r="AQ526" s="29"/>
      <c r="AR526" s="29"/>
      <c r="AS526" s="29"/>
      <c r="AT526" s="29"/>
      <c r="AU526" s="29"/>
      <c r="AV526" s="29"/>
      <c r="AW526" s="29"/>
      <c r="AX526" s="29"/>
    </row>
    <row r="527" ht="15.75" customHeight="1">
      <c r="A527" s="29"/>
      <c r="B527" s="29"/>
      <c r="C527" s="31"/>
      <c r="D527" s="29"/>
      <c r="E527" s="29"/>
      <c r="F527" s="29"/>
      <c r="G527" s="29"/>
      <c r="H527" s="29"/>
      <c r="I527" s="29"/>
      <c r="J527" s="29"/>
      <c r="K527" s="29"/>
      <c r="L527" s="29"/>
      <c r="M527" s="29"/>
      <c r="N527" s="29"/>
      <c r="O527" s="29"/>
      <c r="P527" s="29"/>
      <c r="Q527" s="29"/>
      <c r="R527" s="29"/>
      <c r="S527" s="29"/>
      <c r="T527" s="29"/>
      <c r="U527" s="29"/>
      <c r="V527" s="29"/>
      <c r="W527" s="29"/>
      <c r="X527" s="29"/>
      <c r="Y527" s="29"/>
      <c r="Z527" s="29"/>
      <c r="AA527" s="29"/>
      <c r="AB527" s="29"/>
      <c r="AC527" s="29"/>
      <c r="AD527" s="29"/>
      <c r="AE527" s="29"/>
      <c r="AF527" s="29"/>
      <c r="AG527" s="29"/>
      <c r="AH527" s="29"/>
      <c r="AI527" s="29"/>
      <c r="AJ527" s="29"/>
      <c r="AK527" s="29"/>
      <c r="AL527" s="29"/>
      <c r="AM527" s="29"/>
      <c r="AN527" s="29"/>
      <c r="AO527" s="29"/>
      <c r="AP527" s="29"/>
      <c r="AQ527" s="29"/>
      <c r="AR527" s="29"/>
      <c r="AS527" s="29"/>
      <c r="AT527" s="29"/>
      <c r="AU527" s="29"/>
      <c r="AV527" s="29"/>
      <c r="AW527" s="29"/>
      <c r="AX527" s="29"/>
    </row>
    <row r="528" ht="15.75" customHeight="1">
      <c r="A528" s="29"/>
      <c r="B528" s="29"/>
      <c r="C528" s="31"/>
      <c r="D528" s="29"/>
      <c r="E528" s="29"/>
      <c r="F528" s="29"/>
      <c r="G528" s="29"/>
      <c r="H528" s="29"/>
      <c r="I528" s="29"/>
      <c r="J528" s="29"/>
      <c r="K528" s="29"/>
      <c r="L528" s="29"/>
      <c r="M528" s="29"/>
      <c r="N528" s="29"/>
      <c r="O528" s="29"/>
      <c r="P528" s="29"/>
      <c r="Q528" s="29"/>
      <c r="R528" s="29"/>
      <c r="S528" s="29"/>
      <c r="T528" s="29"/>
      <c r="U528" s="29"/>
      <c r="V528" s="29"/>
      <c r="W528" s="29"/>
      <c r="X528" s="29"/>
      <c r="Y528" s="29"/>
      <c r="Z528" s="29"/>
      <c r="AA528" s="29"/>
      <c r="AB528" s="29"/>
      <c r="AC528" s="29"/>
      <c r="AD528" s="29"/>
      <c r="AE528" s="29"/>
      <c r="AF528" s="29"/>
      <c r="AG528" s="29"/>
      <c r="AH528" s="29"/>
      <c r="AI528" s="29"/>
      <c r="AJ528" s="29"/>
      <c r="AK528" s="29"/>
      <c r="AL528" s="29"/>
      <c r="AM528" s="29"/>
      <c r="AN528" s="29"/>
      <c r="AO528" s="29"/>
      <c r="AP528" s="29"/>
      <c r="AQ528" s="29"/>
      <c r="AR528" s="29"/>
      <c r="AS528" s="29"/>
      <c r="AT528" s="29"/>
      <c r="AU528" s="29"/>
      <c r="AV528" s="29"/>
      <c r="AW528" s="29"/>
      <c r="AX528" s="29"/>
    </row>
    <row r="529" ht="15.75" customHeight="1">
      <c r="A529" s="29"/>
      <c r="B529" s="29"/>
      <c r="C529" s="31"/>
      <c r="D529" s="29"/>
      <c r="E529" s="29"/>
      <c r="F529" s="29"/>
      <c r="G529" s="29"/>
      <c r="H529" s="29"/>
      <c r="I529" s="29"/>
      <c r="J529" s="29"/>
      <c r="K529" s="29"/>
      <c r="L529" s="29"/>
      <c r="M529" s="29"/>
      <c r="N529" s="29"/>
      <c r="O529" s="29"/>
      <c r="P529" s="29"/>
      <c r="Q529" s="29"/>
      <c r="R529" s="29"/>
      <c r="S529" s="29"/>
      <c r="T529" s="29"/>
      <c r="U529" s="29"/>
      <c r="V529" s="29"/>
      <c r="W529" s="29"/>
      <c r="X529" s="29"/>
      <c r="Y529" s="29"/>
      <c r="Z529" s="29"/>
      <c r="AA529" s="29"/>
      <c r="AB529" s="29"/>
      <c r="AC529" s="29"/>
      <c r="AD529" s="29"/>
      <c r="AE529" s="29"/>
      <c r="AF529" s="29"/>
      <c r="AG529" s="29"/>
      <c r="AH529" s="29"/>
      <c r="AI529" s="29"/>
      <c r="AJ529" s="29"/>
      <c r="AK529" s="29"/>
      <c r="AL529" s="29"/>
      <c r="AM529" s="29"/>
      <c r="AN529" s="29"/>
      <c r="AO529" s="29"/>
      <c r="AP529" s="29"/>
      <c r="AQ529" s="29"/>
      <c r="AR529" s="29"/>
      <c r="AS529" s="29"/>
      <c r="AT529" s="29"/>
      <c r="AU529" s="29"/>
      <c r="AV529" s="29"/>
      <c r="AW529" s="29"/>
      <c r="AX529" s="29"/>
    </row>
    <row r="530" ht="15.75" customHeight="1">
      <c r="A530" s="29"/>
      <c r="B530" s="29"/>
      <c r="C530" s="31"/>
      <c r="D530" s="29"/>
      <c r="E530" s="29"/>
      <c r="F530" s="29"/>
      <c r="G530" s="29"/>
      <c r="H530" s="29"/>
      <c r="I530" s="29"/>
      <c r="J530" s="29"/>
      <c r="K530" s="29"/>
      <c r="L530" s="29"/>
      <c r="M530" s="29"/>
      <c r="N530" s="29"/>
      <c r="O530" s="29"/>
      <c r="P530" s="29"/>
      <c r="Q530" s="29"/>
      <c r="R530" s="29"/>
      <c r="S530" s="29"/>
      <c r="T530" s="29"/>
      <c r="U530" s="29"/>
      <c r="V530" s="29"/>
      <c r="W530" s="29"/>
      <c r="X530" s="29"/>
      <c r="Y530" s="29"/>
      <c r="Z530" s="29"/>
      <c r="AA530" s="29"/>
      <c r="AB530" s="29"/>
      <c r="AC530" s="29"/>
      <c r="AD530" s="29"/>
      <c r="AE530" s="29"/>
      <c r="AF530" s="29"/>
      <c r="AG530" s="29"/>
      <c r="AH530" s="29"/>
      <c r="AI530" s="29"/>
      <c r="AJ530" s="29"/>
      <c r="AK530" s="29"/>
      <c r="AL530" s="29"/>
      <c r="AM530" s="29"/>
      <c r="AN530" s="29"/>
      <c r="AO530" s="29"/>
      <c r="AP530" s="29"/>
      <c r="AQ530" s="29"/>
      <c r="AR530" s="29"/>
      <c r="AS530" s="29"/>
      <c r="AT530" s="29"/>
      <c r="AU530" s="29"/>
      <c r="AV530" s="29"/>
      <c r="AW530" s="29"/>
      <c r="AX530" s="29"/>
    </row>
    <row r="531" ht="15.75" customHeight="1">
      <c r="A531" s="29"/>
      <c r="B531" s="29"/>
      <c r="C531" s="31"/>
      <c r="D531" s="29"/>
      <c r="E531" s="29"/>
      <c r="F531" s="29"/>
      <c r="G531" s="29"/>
      <c r="H531" s="29"/>
      <c r="I531" s="29"/>
      <c r="J531" s="29"/>
      <c r="K531" s="29"/>
      <c r="L531" s="29"/>
      <c r="M531" s="29"/>
      <c r="N531" s="29"/>
      <c r="O531" s="29"/>
      <c r="P531" s="29"/>
      <c r="Q531" s="29"/>
      <c r="R531" s="29"/>
      <c r="S531" s="29"/>
      <c r="T531" s="29"/>
      <c r="U531" s="29"/>
      <c r="V531" s="29"/>
      <c r="W531" s="29"/>
      <c r="X531" s="29"/>
      <c r="Y531" s="29"/>
      <c r="Z531" s="29"/>
      <c r="AA531" s="29"/>
      <c r="AB531" s="29"/>
      <c r="AC531" s="29"/>
      <c r="AD531" s="29"/>
      <c r="AE531" s="29"/>
      <c r="AF531" s="29"/>
      <c r="AG531" s="29"/>
      <c r="AH531" s="29"/>
      <c r="AI531" s="29"/>
      <c r="AJ531" s="29"/>
      <c r="AK531" s="29"/>
      <c r="AL531" s="29"/>
      <c r="AM531" s="29"/>
      <c r="AN531" s="29"/>
      <c r="AO531" s="29"/>
      <c r="AP531" s="29"/>
      <c r="AQ531" s="29"/>
      <c r="AR531" s="29"/>
      <c r="AS531" s="29"/>
      <c r="AT531" s="29"/>
      <c r="AU531" s="29"/>
      <c r="AV531" s="29"/>
      <c r="AW531" s="29"/>
      <c r="AX531" s="29"/>
    </row>
    <row r="532" ht="15.75" customHeight="1">
      <c r="A532" s="29"/>
      <c r="B532" s="29"/>
      <c r="C532" s="31"/>
      <c r="D532" s="29"/>
      <c r="E532" s="29"/>
      <c r="F532" s="29"/>
      <c r="G532" s="29"/>
      <c r="H532" s="29"/>
      <c r="I532" s="29"/>
      <c r="J532" s="29"/>
      <c r="K532" s="29"/>
      <c r="L532" s="29"/>
      <c r="M532" s="29"/>
      <c r="N532" s="29"/>
      <c r="O532" s="29"/>
      <c r="P532" s="29"/>
      <c r="Q532" s="29"/>
      <c r="R532" s="29"/>
      <c r="S532" s="29"/>
      <c r="T532" s="29"/>
      <c r="U532" s="29"/>
      <c r="V532" s="29"/>
      <c r="W532" s="29"/>
      <c r="X532" s="29"/>
      <c r="Y532" s="29"/>
      <c r="Z532" s="29"/>
      <c r="AA532" s="29"/>
      <c r="AB532" s="29"/>
      <c r="AC532" s="29"/>
      <c r="AD532" s="29"/>
      <c r="AE532" s="29"/>
      <c r="AF532" s="29"/>
      <c r="AG532" s="29"/>
      <c r="AH532" s="29"/>
      <c r="AI532" s="29"/>
      <c r="AJ532" s="29"/>
      <c r="AK532" s="29"/>
      <c r="AL532" s="29"/>
      <c r="AM532" s="29"/>
      <c r="AN532" s="29"/>
      <c r="AO532" s="29"/>
      <c r="AP532" s="29"/>
      <c r="AQ532" s="29"/>
      <c r="AR532" s="29"/>
      <c r="AS532" s="29"/>
      <c r="AT532" s="29"/>
      <c r="AU532" s="29"/>
      <c r="AV532" s="29"/>
      <c r="AW532" s="29"/>
      <c r="AX532" s="29"/>
    </row>
    <row r="533" ht="15.75" customHeight="1">
      <c r="A533" s="29"/>
      <c r="B533" s="29"/>
      <c r="C533" s="31"/>
      <c r="D533" s="29"/>
      <c r="E533" s="29"/>
      <c r="F533" s="29"/>
      <c r="G533" s="29"/>
      <c r="H533" s="29"/>
      <c r="I533" s="29"/>
      <c r="J533" s="29"/>
      <c r="K533" s="29"/>
      <c r="L533" s="29"/>
      <c r="M533" s="29"/>
      <c r="N533" s="29"/>
      <c r="O533" s="29"/>
      <c r="P533" s="29"/>
      <c r="Q533" s="29"/>
      <c r="R533" s="29"/>
      <c r="S533" s="29"/>
      <c r="T533" s="29"/>
      <c r="U533" s="29"/>
      <c r="V533" s="29"/>
      <c r="W533" s="29"/>
      <c r="X533" s="29"/>
      <c r="Y533" s="29"/>
      <c r="Z533" s="29"/>
      <c r="AA533" s="29"/>
      <c r="AB533" s="29"/>
      <c r="AC533" s="29"/>
      <c r="AD533" s="29"/>
      <c r="AE533" s="29"/>
      <c r="AF533" s="29"/>
      <c r="AG533" s="29"/>
      <c r="AH533" s="29"/>
      <c r="AI533" s="29"/>
      <c r="AJ533" s="29"/>
      <c r="AK533" s="29"/>
      <c r="AL533" s="29"/>
      <c r="AM533" s="29"/>
      <c r="AN533" s="29"/>
      <c r="AO533" s="29"/>
      <c r="AP533" s="29"/>
      <c r="AQ533" s="29"/>
      <c r="AR533" s="29"/>
      <c r="AS533" s="29"/>
      <c r="AT533" s="29"/>
      <c r="AU533" s="29"/>
      <c r="AV533" s="29"/>
      <c r="AW533" s="29"/>
      <c r="AX533" s="29"/>
    </row>
    <row r="534" ht="15.75" customHeight="1">
      <c r="A534" s="29"/>
      <c r="B534" s="29"/>
      <c r="C534" s="31"/>
      <c r="D534" s="29"/>
      <c r="E534" s="29"/>
      <c r="F534" s="29"/>
      <c r="G534" s="29"/>
      <c r="H534" s="29"/>
      <c r="I534" s="29"/>
      <c r="J534" s="29"/>
      <c r="K534" s="29"/>
      <c r="L534" s="29"/>
      <c r="M534" s="29"/>
      <c r="N534" s="29"/>
      <c r="O534" s="29"/>
      <c r="P534" s="29"/>
      <c r="Q534" s="29"/>
      <c r="R534" s="29"/>
      <c r="S534" s="29"/>
      <c r="T534" s="29"/>
      <c r="U534" s="29"/>
      <c r="V534" s="29"/>
      <c r="W534" s="29"/>
      <c r="X534" s="29"/>
      <c r="Y534" s="29"/>
      <c r="Z534" s="29"/>
      <c r="AA534" s="29"/>
      <c r="AB534" s="29"/>
      <c r="AC534" s="29"/>
      <c r="AD534" s="29"/>
      <c r="AE534" s="29"/>
      <c r="AF534" s="29"/>
      <c r="AG534" s="29"/>
      <c r="AH534" s="29"/>
      <c r="AI534" s="29"/>
      <c r="AJ534" s="29"/>
      <c r="AK534" s="29"/>
      <c r="AL534" s="29"/>
      <c r="AM534" s="29"/>
      <c r="AN534" s="29"/>
      <c r="AO534" s="29"/>
      <c r="AP534" s="29"/>
      <c r="AQ534" s="29"/>
      <c r="AR534" s="29"/>
      <c r="AS534" s="29"/>
      <c r="AT534" s="29"/>
      <c r="AU534" s="29"/>
      <c r="AV534" s="29"/>
      <c r="AW534" s="29"/>
      <c r="AX534" s="29"/>
    </row>
    <row r="535" ht="15.75" customHeight="1">
      <c r="A535" s="29"/>
      <c r="B535" s="29"/>
      <c r="C535" s="31"/>
      <c r="D535" s="29"/>
      <c r="E535" s="29"/>
      <c r="F535" s="29"/>
      <c r="G535" s="29"/>
      <c r="H535" s="29"/>
      <c r="I535" s="29"/>
      <c r="J535" s="29"/>
      <c r="K535" s="29"/>
      <c r="L535" s="29"/>
      <c r="M535" s="29"/>
      <c r="N535" s="29"/>
      <c r="O535" s="29"/>
      <c r="P535" s="29"/>
      <c r="Q535" s="29"/>
      <c r="R535" s="29"/>
      <c r="S535" s="29"/>
      <c r="T535" s="29"/>
      <c r="U535" s="29"/>
      <c r="V535" s="29"/>
      <c r="W535" s="29"/>
      <c r="X535" s="29"/>
      <c r="Y535" s="29"/>
      <c r="Z535" s="29"/>
      <c r="AA535" s="29"/>
      <c r="AB535" s="29"/>
      <c r="AC535" s="29"/>
      <c r="AD535" s="29"/>
      <c r="AE535" s="29"/>
      <c r="AF535" s="29"/>
      <c r="AG535" s="29"/>
      <c r="AH535" s="29"/>
      <c r="AI535" s="29"/>
      <c r="AJ535" s="29"/>
      <c r="AK535" s="29"/>
      <c r="AL535" s="29"/>
      <c r="AM535" s="29"/>
      <c r="AN535" s="29"/>
      <c r="AO535" s="29"/>
      <c r="AP535" s="29"/>
      <c r="AQ535" s="29"/>
      <c r="AR535" s="29"/>
      <c r="AS535" s="29"/>
      <c r="AT535" s="29"/>
      <c r="AU535" s="29"/>
      <c r="AV535" s="29"/>
      <c r="AW535" s="29"/>
      <c r="AX535" s="29"/>
    </row>
    <row r="536" ht="15.75" customHeight="1">
      <c r="A536" s="29"/>
      <c r="B536" s="29"/>
      <c r="C536" s="31"/>
      <c r="D536" s="29"/>
      <c r="E536" s="29"/>
      <c r="F536" s="29"/>
      <c r="G536" s="29"/>
      <c r="H536" s="29"/>
      <c r="I536" s="29"/>
      <c r="J536" s="29"/>
      <c r="K536" s="29"/>
      <c r="L536" s="29"/>
      <c r="M536" s="29"/>
      <c r="N536" s="29"/>
      <c r="O536" s="29"/>
      <c r="P536" s="29"/>
      <c r="Q536" s="29"/>
      <c r="R536" s="29"/>
      <c r="S536" s="29"/>
      <c r="T536" s="29"/>
      <c r="U536" s="29"/>
      <c r="V536" s="29"/>
      <c r="W536" s="29"/>
      <c r="X536" s="29"/>
      <c r="Y536" s="29"/>
      <c r="Z536" s="29"/>
      <c r="AA536" s="29"/>
      <c r="AB536" s="29"/>
      <c r="AC536" s="29"/>
      <c r="AD536" s="29"/>
      <c r="AE536" s="29"/>
      <c r="AF536" s="29"/>
      <c r="AG536" s="29"/>
      <c r="AH536" s="29"/>
      <c r="AI536" s="29"/>
      <c r="AJ536" s="29"/>
      <c r="AK536" s="29"/>
      <c r="AL536" s="29"/>
      <c r="AM536" s="29"/>
      <c r="AN536" s="29"/>
      <c r="AO536" s="29"/>
      <c r="AP536" s="29"/>
      <c r="AQ536" s="29"/>
      <c r="AR536" s="29"/>
      <c r="AS536" s="29"/>
      <c r="AT536" s="29"/>
      <c r="AU536" s="29"/>
      <c r="AV536" s="29"/>
      <c r="AW536" s="29"/>
      <c r="AX536" s="29"/>
    </row>
    <row r="537" ht="15.75" customHeight="1">
      <c r="A537" s="29"/>
      <c r="B537" s="29"/>
      <c r="C537" s="31"/>
      <c r="D537" s="29"/>
      <c r="E537" s="29"/>
      <c r="F537" s="29"/>
      <c r="G537" s="29"/>
      <c r="H537" s="29"/>
      <c r="I537" s="29"/>
      <c r="J537" s="29"/>
      <c r="K537" s="29"/>
      <c r="L537" s="29"/>
      <c r="M537" s="29"/>
      <c r="N537" s="29"/>
      <c r="O537" s="29"/>
      <c r="P537" s="29"/>
      <c r="Q537" s="29"/>
      <c r="R537" s="29"/>
      <c r="S537" s="29"/>
      <c r="T537" s="29"/>
      <c r="U537" s="29"/>
      <c r="V537" s="29"/>
      <c r="W537" s="29"/>
      <c r="X537" s="29"/>
      <c r="Y537" s="29"/>
      <c r="Z537" s="29"/>
      <c r="AA537" s="29"/>
      <c r="AB537" s="29"/>
      <c r="AC537" s="29"/>
      <c r="AD537" s="29"/>
      <c r="AE537" s="29"/>
      <c r="AF537" s="29"/>
      <c r="AG537" s="29"/>
      <c r="AH537" s="29"/>
      <c r="AI537" s="29"/>
      <c r="AJ537" s="29"/>
      <c r="AK537" s="29"/>
      <c r="AL537" s="29"/>
      <c r="AM537" s="29"/>
      <c r="AN537" s="29"/>
      <c r="AO537" s="29"/>
      <c r="AP537" s="29"/>
      <c r="AQ537" s="29"/>
      <c r="AR537" s="29"/>
      <c r="AS537" s="29"/>
      <c r="AT537" s="29"/>
      <c r="AU537" s="29"/>
      <c r="AV537" s="29"/>
      <c r="AW537" s="29"/>
      <c r="AX537" s="29"/>
    </row>
    <row r="538" ht="15.75" customHeight="1">
      <c r="A538" s="29"/>
      <c r="B538" s="29"/>
      <c r="C538" s="31"/>
      <c r="D538" s="29"/>
      <c r="E538" s="29"/>
      <c r="F538" s="29"/>
      <c r="G538" s="29"/>
      <c r="H538" s="29"/>
      <c r="I538" s="29"/>
      <c r="J538" s="29"/>
      <c r="K538" s="29"/>
      <c r="L538" s="29"/>
      <c r="M538" s="29"/>
      <c r="N538" s="29"/>
      <c r="O538" s="29"/>
      <c r="P538" s="29"/>
      <c r="Q538" s="29"/>
      <c r="R538" s="29"/>
      <c r="S538" s="29"/>
      <c r="T538" s="29"/>
      <c r="U538" s="29"/>
      <c r="V538" s="29"/>
      <c r="W538" s="29"/>
      <c r="X538" s="29"/>
      <c r="Y538" s="29"/>
      <c r="Z538" s="29"/>
      <c r="AA538" s="29"/>
      <c r="AB538" s="29"/>
      <c r="AC538" s="29"/>
      <c r="AD538" s="29"/>
      <c r="AE538" s="29"/>
      <c r="AF538" s="29"/>
      <c r="AG538" s="29"/>
      <c r="AH538" s="29"/>
      <c r="AI538" s="29"/>
      <c r="AJ538" s="29"/>
      <c r="AK538" s="29"/>
      <c r="AL538" s="29"/>
      <c r="AM538" s="29"/>
      <c r="AN538" s="29"/>
      <c r="AO538" s="29"/>
      <c r="AP538" s="29"/>
      <c r="AQ538" s="29"/>
      <c r="AR538" s="29"/>
      <c r="AS538" s="29"/>
      <c r="AT538" s="29"/>
      <c r="AU538" s="29"/>
      <c r="AV538" s="29"/>
      <c r="AW538" s="29"/>
      <c r="AX538" s="29"/>
    </row>
    <row r="539" ht="15.75" customHeight="1">
      <c r="A539" s="29"/>
      <c r="B539" s="29"/>
      <c r="C539" s="31"/>
      <c r="D539" s="29"/>
      <c r="E539" s="29"/>
      <c r="F539" s="29"/>
      <c r="G539" s="29"/>
      <c r="H539" s="29"/>
      <c r="I539" s="29"/>
      <c r="J539" s="29"/>
      <c r="K539" s="29"/>
      <c r="L539" s="29"/>
      <c r="M539" s="29"/>
      <c r="N539" s="29"/>
      <c r="O539" s="29"/>
      <c r="P539" s="29"/>
      <c r="Q539" s="29"/>
      <c r="R539" s="29"/>
      <c r="S539" s="29"/>
      <c r="T539" s="29"/>
      <c r="U539" s="29"/>
      <c r="V539" s="29"/>
      <c r="W539" s="29"/>
      <c r="X539" s="29"/>
      <c r="Y539" s="29"/>
      <c r="Z539" s="29"/>
      <c r="AA539" s="29"/>
      <c r="AB539" s="29"/>
      <c r="AC539" s="29"/>
      <c r="AD539" s="29"/>
      <c r="AE539" s="29"/>
      <c r="AF539" s="29"/>
      <c r="AG539" s="29"/>
      <c r="AH539" s="29"/>
      <c r="AI539" s="29"/>
      <c r="AJ539" s="29"/>
      <c r="AK539" s="29"/>
      <c r="AL539" s="29"/>
      <c r="AM539" s="29"/>
      <c r="AN539" s="29"/>
      <c r="AO539" s="29"/>
      <c r="AP539" s="29"/>
      <c r="AQ539" s="29"/>
      <c r="AR539" s="29"/>
      <c r="AS539" s="29"/>
      <c r="AT539" s="29"/>
      <c r="AU539" s="29"/>
      <c r="AV539" s="29"/>
      <c r="AW539" s="29"/>
      <c r="AX539" s="29"/>
    </row>
    <row r="540" ht="15.75" customHeight="1">
      <c r="A540" s="29"/>
      <c r="B540" s="29"/>
      <c r="C540" s="31"/>
      <c r="D540" s="29"/>
      <c r="E540" s="29"/>
      <c r="F540" s="29"/>
      <c r="G540" s="29"/>
      <c r="H540" s="29"/>
      <c r="I540" s="29"/>
      <c r="J540" s="29"/>
      <c r="K540" s="29"/>
      <c r="L540" s="29"/>
      <c r="M540" s="29"/>
      <c r="N540" s="29"/>
      <c r="O540" s="29"/>
      <c r="P540" s="29"/>
      <c r="Q540" s="29"/>
      <c r="R540" s="29"/>
      <c r="S540" s="29"/>
      <c r="T540" s="29"/>
      <c r="U540" s="29"/>
      <c r="V540" s="29"/>
      <c r="W540" s="29"/>
      <c r="X540" s="29"/>
      <c r="Y540" s="29"/>
      <c r="Z540" s="29"/>
      <c r="AA540" s="29"/>
      <c r="AB540" s="29"/>
      <c r="AC540" s="29"/>
      <c r="AD540" s="29"/>
      <c r="AE540" s="29"/>
      <c r="AF540" s="29"/>
      <c r="AG540" s="29"/>
      <c r="AH540" s="29"/>
      <c r="AI540" s="29"/>
      <c r="AJ540" s="29"/>
      <c r="AK540" s="29"/>
      <c r="AL540" s="29"/>
      <c r="AM540" s="29"/>
      <c r="AN540" s="29"/>
      <c r="AO540" s="29"/>
      <c r="AP540" s="29"/>
      <c r="AQ540" s="29"/>
      <c r="AR540" s="29"/>
      <c r="AS540" s="29"/>
      <c r="AT540" s="29"/>
      <c r="AU540" s="29"/>
      <c r="AV540" s="29"/>
      <c r="AW540" s="29"/>
      <c r="AX540" s="29"/>
    </row>
    <row r="541" ht="15.75" customHeight="1">
      <c r="A541" s="29"/>
      <c r="B541" s="29"/>
      <c r="C541" s="31"/>
      <c r="D541" s="29"/>
      <c r="E541" s="29"/>
      <c r="F541" s="29"/>
      <c r="G541" s="29"/>
      <c r="H541" s="29"/>
      <c r="I541" s="29"/>
      <c r="J541" s="29"/>
      <c r="K541" s="29"/>
      <c r="L541" s="29"/>
      <c r="M541" s="29"/>
      <c r="N541" s="29"/>
      <c r="O541" s="29"/>
      <c r="P541" s="29"/>
      <c r="Q541" s="29"/>
      <c r="R541" s="29"/>
      <c r="S541" s="29"/>
      <c r="T541" s="29"/>
      <c r="U541" s="29"/>
      <c r="V541" s="29"/>
      <c r="W541" s="29"/>
      <c r="X541" s="29"/>
      <c r="Y541" s="29"/>
      <c r="Z541" s="29"/>
      <c r="AA541" s="29"/>
      <c r="AB541" s="29"/>
      <c r="AC541" s="29"/>
      <c r="AD541" s="29"/>
      <c r="AE541" s="29"/>
      <c r="AF541" s="29"/>
      <c r="AG541" s="29"/>
      <c r="AH541" s="29"/>
      <c r="AI541" s="29"/>
      <c r="AJ541" s="29"/>
      <c r="AK541" s="29"/>
      <c r="AL541" s="29"/>
      <c r="AM541" s="29"/>
      <c r="AN541" s="29"/>
      <c r="AO541" s="29"/>
      <c r="AP541" s="29"/>
      <c r="AQ541" s="29"/>
      <c r="AR541" s="29"/>
      <c r="AS541" s="29"/>
      <c r="AT541" s="29"/>
      <c r="AU541" s="29"/>
      <c r="AV541" s="29"/>
      <c r="AW541" s="29"/>
      <c r="AX541" s="29"/>
    </row>
    <row r="542" ht="15.75" customHeight="1">
      <c r="A542" s="29"/>
      <c r="B542" s="29"/>
      <c r="C542" s="31"/>
      <c r="D542" s="29"/>
      <c r="E542" s="29"/>
      <c r="F542" s="29"/>
      <c r="G542" s="29"/>
      <c r="H542" s="29"/>
      <c r="I542" s="29"/>
      <c r="J542" s="29"/>
      <c r="K542" s="29"/>
      <c r="L542" s="29"/>
      <c r="M542" s="29"/>
      <c r="N542" s="29"/>
      <c r="O542" s="29"/>
      <c r="P542" s="29"/>
      <c r="Q542" s="29"/>
      <c r="R542" s="29"/>
      <c r="S542" s="29"/>
      <c r="T542" s="29"/>
      <c r="U542" s="29"/>
      <c r="V542" s="29"/>
      <c r="W542" s="29"/>
      <c r="X542" s="29"/>
      <c r="Y542" s="29"/>
      <c r="Z542" s="29"/>
      <c r="AA542" s="29"/>
      <c r="AB542" s="29"/>
      <c r="AC542" s="29"/>
      <c r="AD542" s="29"/>
      <c r="AE542" s="29"/>
      <c r="AF542" s="29"/>
      <c r="AG542" s="29"/>
      <c r="AH542" s="29"/>
      <c r="AI542" s="29"/>
      <c r="AJ542" s="29"/>
      <c r="AK542" s="29"/>
      <c r="AL542" s="29"/>
      <c r="AM542" s="29"/>
      <c r="AN542" s="29"/>
      <c r="AO542" s="29"/>
      <c r="AP542" s="29"/>
      <c r="AQ542" s="29"/>
      <c r="AR542" s="29"/>
      <c r="AS542" s="29"/>
      <c r="AT542" s="29"/>
      <c r="AU542" s="29"/>
      <c r="AV542" s="29"/>
      <c r="AW542" s="29"/>
      <c r="AX542" s="29"/>
    </row>
    <row r="543" ht="15.75" customHeight="1">
      <c r="A543" s="29"/>
      <c r="B543" s="29"/>
      <c r="C543" s="31"/>
      <c r="D543" s="29"/>
      <c r="E543" s="29"/>
      <c r="F543" s="29"/>
      <c r="G543" s="29"/>
      <c r="H543" s="29"/>
      <c r="I543" s="29"/>
      <c r="J543" s="29"/>
      <c r="K543" s="29"/>
      <c r="L543" s="29"/>
      <c r="M543" s="29"/>
      <c r="N543" s="29"/>
      <c r="O543" s="29"/>
      <c r="P543" s="29"/>
      <c r="Q543" s="29"/>
      <c r="R543" s="29"/>
      <c r="S543" s="29"/>
      <c r="T543" s="29"/>
      <c r="U543" s="29"/>
      <c r="V543" s="29"/>
      <c r="W543" s="29"/>
      <c r="X543" s="29"/>
      <c r="Y543" s="29"/>
      <c r="Z543" s="29"/>
      <c r="AA543" s="29"/>
      <c r="AB543" s="29"/>
      <c r="AC543" s="29"/>
      <c r="AD543" s="29"/>
      <c r="AE543" s="29"/>
      <c r="AF543" s="29"/>
      <c r="AG543" s="29"/>
      <c r="AH543" s="29"/>
      <c r="AI543" s="29"/>
      <c r="AJ543" s="29"/>
      <c r="AK543" s="29"/>
      <c r="AL543" s="29"/>
      <c r="AM543" s="29"/>
      <c r="AN543" s="29"/>
      <c r="AO543" s="29"/>
      <c r="AP543" s="29"/>
      <c r="AQ543" s="29"/>
      <c r="AR543" s="29"/>
      <c r="AS543" s="29"/>
      <c r="AT543" s="29"/>
      <c r="AU543" s="29"/>
      <c r="AV543" s="29"/>
      <c r="AW543" s="29"/>
      <c r="AX543" s="29"/>
    </row>
    <row r="544" ht="15.75" customHeight="1">
      <c r="A544" s="29"/>
      <c r="B544" s="29"/>
      <c r="C544" s="31"/>
      <c r="D544" s="29"/>
      <c r="E544" s="29"/>
      <c r="F544" s="29"/>
      <c r="G544" s="29"/>
      <c r="H544" s="29"/>
      <c r="I544" s="29"/>
      <c r="J544" s="29"/>
      <c r="K544" s="29"/>
      <c r="L544" s="29"/>
      <c r="M544" s="29"/>
      <c r="N544" s="29"/>
      <c r="O544" s="29"/>
      <c r="P544" s="29"/>
      <c r="Q544" s="29"/>
      <c r="R544" s="29"/>
      <c r="S544" s="29"/>
      <c r="T544" s="29"/>
      <c r="U544" s="29"/>
      <c r="V544" s="29"/>
      <c r="W544" s="29"/>
      <c r="X544" s="29"/>
      <c r="Y544" s="29"/>
      <c r="Z544" s="29"/>
      <c r="AA544" s="29"/>
      <c r="AB544" s="29"/>
      <c r="AC544" s="29"/>
      <c r="AD544" s="29"/>
      <c r="AE544" s="29"/>
      <c r="AF544" s="29"/>
      <c r="AG544" s="29"/>
      <c r="AH544" s="29"/>
      <c r="AI544" s="29"/>
      <c r="AJ544" s="29"/>
      <c r="AK544" s="29"/>
      <c r="AL544" s="29"/>
      <c r="AM544" s="29"/>
      <c r="AN544" s="29"/>
      <c r="AO544" s="29"/>
      <c r="AP544" s="29"/>
      <c r="AQ544" s="29"/>
      <c r="AR544" s="29"/>
      <c r="AS544" s="29"/>
      <c r="AT544" s="29"/>
      <c r="AU544" s="29"/>
      <c r="AV544" s="29"/>
      <c r="AW544" s="29"/>
      <c r="AX544" s="29"/>
    </row>
    <row r="545" ht="15.75" customHeight="1">
      <c r="A545" s="29"/>
      <c r="B545" s="29"/>
      <c r="C545" s="31"/>
      <c r="D545" s="29"/>
      <c r="E545" s="29"/>
      <c r="F545" s="29"/>
      <c r="G545" s="29"/>
      <c r="H545" s="29"/>
      <c r="I545" s="29"/>
      <c r="J545" s="29"/>
      <c r="K545" s="29"/>
      <c r="L545" s="29"/>
      <c r="M545" s="29"/>
      <c r="N545" s="29"/>
      <c r="O545" s="29"/>
      <c r="P545" s="29"/>
      <c r="Q545" s="29"/>
      <c r="R545" s="29"/>
      <c r="S545" s="29"/>
      <c r="T545" s="29"/>
      <c r="U545" s="29"/>
      <c r="V545" s="29"/>
      <c r="W545" s="29"/>
      <c r="X545" s="29"/>
      <c r="Y545" s="29"/>
      <c r="Z545" s="29"/>
      <c r="AA545" s="29"/>
      <c r="AB545" s="29"/>
      <c r="AC545" s="29"/>
      <c r="AD545" s="29"/>
      <c r="AE545" s="29"/>
      <c r="AF545" s="29"/>
      <c r="AG545" s="29"/>
      <c r="AH545" s="29"/>
      <c r="AI545" s="29"/>
      <c r="AJ545" s="29"/>
      <c r="AK545" s="29"/>
      <c r="AL545" s="29"/>
      <c r="AM545" s="29"/>
      <c r="AN545" s="29"/>
      <c r="AO545" s="29"/>
      <c r="AP545" s="29"/>
      <c r="AQ545" s="29"/>
      <c r="AR545" s="29"/>
      <c r="AS545" s="29"/>
      <c r="AT545" s="29"/>
      <c r="AU545" s="29"/>
      <c r="AV545" s="29"/>
      <c r="AW545" s="29"/>
      <c r="AX545" s="29"/>
    </row>
    <row r="546" ht="15.75" customHeight="1">
      <c r="A546" s="29"/>
      <c r="B546" s="29"/>
      <c r="C546" s="31"/>
      <c r="D546" s="29"/>
      <c r="E546" s="29"/>
      <c r="F546" s="29"/>
      <c r="G546" s="29"/>
      <c r="H546" s="29"/>
      <c r="I546" s="29"/>
      <c r="J546" s="29"/>
      <c r="K546" s="29"/>
      <c r="L546" s="29"/>
      <c r="M546" s="29"/>
      <c r="N546" s="29"/>
      <c r="O546" s="29"/>
      <c r="P546" s="29"/>
      <c r="Q546" s="29"/>
      <c r="R546" s="29"/>
      <c r="S546" s="29"/>
      <c r="T546" s="29"/>
      <c r="U546" s="29"/>
      <c r="V546" s="29"/>
      <c r="W546" s="29"/>
      <c r="X546" s="29"/>
      <c r="Y546" s="29"/>
      <c r="Z546" s="29"/>
      <c r="AA546" s="29"/>
      <c r="AB546" s="29"/>
      <c r="AC546" s="29"/>
      <c r="AD546" s="29"/>
      <c r="AE546" s="29"/>
      <c r="AF546" s="29"/>
      <c r="AG546" s="29"/>
      <c r="AH546" s="29"/>
      <c r="AI546" s="29"/>
      <c r="AJ546" s="29"/>
      <c r="AK546" s="29"/>
      <c r="AL546" s="29"/>
      <c r="AM546" s="29"/>
      <c r="AN546" s="29"/>
      <c r="AO546" s="29"/>
      <c r="AP546" s="29"/>
      <c r="AQ546" s="29"/>
      <c r="AR546" s="29"/>
      <c r="AS546" s="29"/>
      <c r="AT546" s="29"/>
      <c r="AU546" s="29"/>
      <c r="AV546" s="29"/>
      <c r="AW546" s="29"/>
      <c r="AX546" s="29"/>
    </row>
    <row r="547" ht="15.75" customHeight="1">
      <c r="A547" s="29"/>
      <c r="B547" s="29"/>
      <c r="C547" s="31"/>
      <c r="D547" s="29"/>
      <c r="E547" s="29"/>
      <c r="F547" s="29"/>
      <c r="G547" s="29"/>
      <c r="H547" s="29"/>
      <c r="I547" s="29"/>
      <c r="J547" s="29"/>
      <c r="K547" s="29"/>
      <c r="L547" s="29"/>
      <c r="M547" s="29"/>
      <c r="N547" s="29"/>
      <c r="O547" s="29"/>
      <c r="P547" s="29"/>
      <c r="Q547" s="29"/>
      <c r="R547" s="29"/>
      <c r="S547" s="29"/>
      <c r="T547" s="29"/>
      <c r="U547" s="29"/>
      <c r="V547" s="29"/>
      <c r="W547" s="29"/>
      <c r="X547" s="29"/>
      <c r="Y547" s="29"/>
      <c r="Z547" s="29"/>
      <c r="AA547" s="29"/>
      <c r="AB547" s="29"/>
      <c r="AC547" s="29"/>
      <c r="AD547" s="29"/>
      <c r="AE547" s="29"/>
      <c r="AF547" s="29"/>
      <c r="AG547" s="29"/>
      <c r="AH547" s="29"/>
      <c r="AI547" s="29"/>
      <c r="AJ547" s="29"/>
      <c r="AK547" s="29"/>
      <c r="AL547" s="29"/>
      <c r="AM547" s="29"/>
      <c r="AN547" s="29"/>
      <c r="AO547" s="29"/>
      <c r="AP547" s="29"/>
      <c r="AQ547" s="29"/>
      <c r="AR547" s="29"/>
      <c r="AS547" s="29"/>
      <c r="AT547" s="29"/>
      <c r="AU547" s="29"/>
      <c r="AV547" s="29"/>
      <c r="AW547" s="29"/>
      <c r="AX547" s="29"/>
    </row>
    <row r="548" ht="15.75" customHeight="1">
      <c r="A548" s="29"/>
      <c r="B548" s="29"/>
      <c r="C548" s="31"/>
      <c r="D548" s="29"/>
      <c r="E548" s="29"/>
      <c r="F548" s="29"/>
      <c r="G548" s="29"/>
      <c r="H548" s="29"/>
      <c r="I548" s="29"/>
      <c r="J548" s="29"/>
      <c r="K548" s="29"/>
      <c r="L548" s="29"/>
      <c r="M548" s="29"/>
      <c r="N548" s="29"/>
      <c r="O548" s="29"/>
      <c r="P548" s="29"/>
      <c r="Q548" s="29"/>
      <c r="R548" s="29"/>
      <c r="S548" s="29"/>
      <c r="T548" s="29"/>
      <c r="U548" s="29"/>
      <c r="V548" s="29"/>
      <c r="W548" s="29"/>
      <c r="X548" s="29"/>
      <c r="Y548" s="29"/>
      <c r="Z548" s="29"/>
      <c r="AA548" s="29"/>
      <c r="AB548" s="29"/>
      <c r="AC548" s="29"/>
      <c r="AD548" s="29"/>
      <c r="AE548" s="29"/>
      <c r="AF548" s="29"/>
      <c r="AG548" s="29"/>
      <c r="AH548" s="29"/>
      <c r="AI548" s="29"/>
      <c r="AJ548" s="29"/>
      <c r="AK548" s="29"/>
      <c r="AL548" s="29"/>
      <c r="AM548" s="29"/>
      <c r="AN548" s="29"/>
      <c r="AO548" s="29"/>
      <c r="AP548" s="29"/>
      <c r="AQ548" s="29"/>
      <c r="AR548" s="29"/>
      <c r="AS548" s="29"/>
      <c r="AT548" s="29"/>
      <c r="AU548" s="29"/>
      <c r="AV548" s="29"/>
      <c r="AW548" s="29"/>
      <c r="AX548" s="29"/>
    </row>
    <row r="549" ht="15.75" customHeight="1">
      <c r="A549" s="29"/>
      <c r="B549" s="29"/>
      <c r="C549" s="31"/>
      <c r="D549" s="29"/>
      <c r="E549" s="29"/>
      <c r="F549" s="29"/>
      <c r="G549" s="29"/>
      <c r="H549" s="29"/>
      <c r="I549" s="29"/>
      <c r="J549" s="29"/>
      <c r="K549" s="29"/>
      <c r="L549" s="29"/>
      <c r="M549" s="29"/>
      <c r="N549" s="29"/>
      <c r="O549" s="29"/>
      <c r="P549" s="29"/>
      <c r="Q549" s="29"/>
      <c r="R549" s="29"/>
      <c r="S549" s="29"/>
      <c r="T549" s="29"/>
      <c r="U549" s="29"/>
      <c r="V549" s="29"/>
      <c r="W549" s="29"/>
      <c r="X549" s="29"/>
      <c r="Y549" s="29"/>
      <c r="Z549" s="29"/>
      <c r="AA549" s="29"/>
      <c r="AB549" s="29"/>
      <c r="AC549" s="29"/>
      <c r="AD549" s="29"/>
      <c r="AE549" s="29"/>
      <c r="AF549" s="29"/>
      <c r="AG549" s="29"/>
      <c r="AH549" s="29"/>
      <c r="AI549" s="29"/>
      <c r="AJ549" s="29"/>
      <c r="AK549" s="29"/>
      <c r="AL549" s="29"/>
      <c r="AM549" s="29"/>
      <c r="AN549" s="29"/>
      <c r="AO549" s="29"/>
      <c r="AP549" s="29"/>
      <c r="AQ549" s="29"/>
      <c r="AR549" s="29"/>
      <c r="AS549" s="29"/>
      <c r="AT549" s="29"/>
      <c r="AU549" s="29"/>
      <c r="AV549" s="29"/>
      <c r="AW549" s="29"/>
      <c r="AX549" s="29"/>
    </row>
    <row r="550" ht="15.75" customHeight="1">
      <c r="A550" s="29"/>
      <c r="B550" s="29"/>
      <c r="C550" s="31"/>
      <c r="D550" s="29"/>
      <c r="E550" s="29"/>
      <c r="F550" s="29"/>
      <c r="G550" s="29"/>
      <c r="H550" s="29"/>
      <c r="I550" s="29"/>
      <c r="J550" s="29"/>
      <c r="K550" s="29"/>
      <c r="L550" s="29"/>
      <c r="M550" s="29"/>
      <c r="N550" s="29"/>
      <c r="O550" s="29"/>
      <c r="P550" s="29"/>
      <c r="Q550" s="29"/>
      <c r="R550" s="29"/>
      <c r="S550" s="29"/>
      <c r="T550" s="29"/>
      <c r="U550" s="29"/>
      <c r="V550" s="29"/>
      <c r="W550" s="29"/>
      <c r="X550" s="29"/>
      <c r="Y550" s="29"/>
      <c r="Z550" s="29"/>
      <c r="AA550" s="29"/>
      <c r="AB550" s="29"/>
      <c r="AC550" s="29"/>
      <c r="AD550" s="29"/>
      <c r="AE550" s="29"/>
      <c r="AF550" s="29"/>
      <c r="AG550" s="29"/>
      <c r="AH550" s="29"/>
      <c r="AI550" s="29"/>
      <c r="AJ550" s="29"/>
      <c r="AK550" s="29"/>
      <c r="AL550" s="29"/>
      <c r="AM550" s="29"/>
      <c r="AN550" s="29"/>
      <c r="AO550" s="29"/>
      <c r="AP550" s="29"/>
      <c r="AQ550" s="29"/>
      <c r="AR550" s="29"/>
      <c r="AS550" s="29"/>
      <c r="AT550" s="29"/>
      <c r="AU550" s="29"/>
      <c r="AV550" s="29"/>
      <c r="AW550" s="29"/>
      <c r="AX550" s="29"/>
    </row>
    <row r="551" ht="15.75" customHeight="1">
      <c r="A551" s="29"/>
      <c r="B551" s="29"/>
      <c r="C551" s="31"/>
      <c r="D551" s="29"/>
      <c r="E551" s="29"/>
      <c r="F551" s="29"/>
      <c r="G551" s="29"/>
      <c r="H551" s="29"/>
      <c r="I551" s="29"/>
      <c r="J551" s="29"/>
      <c r="K551" s="29"/>
      <c r="L551" s="29"/>
      <c r="M551" s="29"/>
      <c r="N551" s="29"/>
      <c r="O551" s="29"/>
      <c r="P551" s="29"/>
      <c r="Q551" s="29"/>
      <c r="R551" s="29"/>
      <c r="S551" s="29"/>
      <c r="T551" s="29"/>
      <c r="U551" s="29"/>
      <c r="V551" s="29"/>
      <c r="W551" s="29"/>
      <c r="X551" s="29"/>
      <c r="Y551" s="29"/>
      <c r="Z551" s="29"/>
      <c r="AA551" s="29"/>
      <c r="AB551" s="29"/>
      <c r="AC551" s="29"/>
      <c r="AD551" s="29"/>
      <c r="AE551" s="29"/>
      <c r="AF551" s="29"/>
      <c r="AG551" s="29"/>
      <c r="AH551" s="29"/>
      <c r="AI551" s="29"/>
      <c r="AJ551" s="29"/>
      <c r="AK551" s="29"/>
      <c r="AL551" s="29"/>
      <c r="AM551" s="29"/>
      <c r="AN551" s="29"/>
      <c r="AO551" s="29"/>
      <c r="AP551" s="29"/>
      <c r="AQ551" s="29"/>
      <c r="AR551" s="29"/>
      <c r="AS551" s="29"/>
      <c r="AT551" s="29"/>
      <c r="AU551" s="29"/>
      <c r="AV551" s="29"/>
      <c r="AW551" s="29"/>
      <c r="AX551" s="29"/>
    </row>
    <row r="552" ht="15.75" customHeight="1">
      <c r="A552" s="29"/>
      <c r="B552" s="29"/>
      <c r="C552" s="31"/>
      <c r="D552" s="29"/>
      <c r="E552" s="29"/>
      <c r="F552" s="29"/>
      <c r="G552" s="29"/>
      <c r="H552" s="29"/>
      <c r="I552" s="29"/>
      <c r="J552" s="29"/>
      <c r="K552" s="29"/>
      <c r="L552" s="29"/>
      <c r="M552" s="29"/>
      <c r="N552" s="29"/>
      <c r="O552" s="29"/>
      <c r="P552" s="29"/>
      <c r="Q552" s="29"/>
      <c r="R552" s="29"/>
      <c r="S552" s="29"/>
      <c r="T552" s="29"/>
      <c r="U552" s="29"/>
      <c r="V552" s="29"/>
      <c r="W552" s="29"/>
      <c r="X552" s="29"/>
      <c r="Y552" s="29"/>
      <c r="Z552" s="29"/>
      <c r="AA552" s="29"/>
      <c r="AB552" s="29"/>
      <c r="AC552" s="29"/>
      <c r="AD552" s="29"/>
      <c r="AE552" s="29"/>
      <c r="AF552" s="29"/>
      <c r="AG552" s="29"/>
      <c r="AH552" s="29"/>
      <c r="AI552" s="29"/>
      <c r="AJ552" s="29"/>
      <c r="AK552" s="29"/>
      <c r="AL552" s="29"/>
      <c r="AM552" s="29"/>
      <c r="AN552" s="29"/>
      <c r="AO552" s="29"/>
      <c r="AP552" s="29"/>
      <c r="AQ552" s="29"/>
      <c r="AR552" s="29"/>
      <c r="AS552" s="29"/>
      <c r="AT552" s="29"/>
      <c r="AU552" s="29"/>
      <c r="AV552" s="29"/>
      <c r="AW552" s="29"/>
      <c r="AX552" s="29"/>
    </row>
    <row r="553" ht="15.75" customHeight="1">
      <c r="A553" s="29"/>
      <c r="B553" s="29"/>
      <c r="C553" s="31"/>
      <c r="D553" s="29"/>
      <c r="E553" s="29"/>
      <c r="F553" s="29"/>
      <c r="G553" s="29"/>
      <c r="H553" s="29"/>
      <c r="I553" s="29"/>
      <c r="J553" s="29"/>
      <c r="K553" s="29"/>
      <c r="L553" s="29"/>
      <c r="M553" s="29"/>
      <c r="N553" s="29"/>
      <c r="O553" s="29"/>
      <c r="P553" s="29"/>
      <c r="Q553" s="29"/>
      <c r="R553" s="29"/>
      <c r="S553" s="29"/>
      <c r="T553" s="29"/>
      <c r="U553" s="29"/>
      <c r="V553" s="29"/>
      <c r="W553" s="29"/>
      <c r="X553" s="29"/>
      <c r="Y553" s="29"/>
      <c r="Z553" s="29"/>
      <c r="AA553" s="29"/>
      <c r="AB553" s="29"/>
      <c r="AC553" s="29"/>
      <c r="AD553" s="29"/>
      <c r="AE553" s="29"/>
      <c r="AF553" s="29"/>
      <c r="AG553" s="29"/>
      <c r="AH553" s="29"/>
      <c r="AI553" s="29"/>
      <c r="AJ553" s="29"/>
      <c r="AK553" s="29"/>
      <c r="AL553" s="29"/>
      <c r="AM553" s="29"/>
      <c r="AN553" s="29"/>
      <c r="AO553" s="29"/>
      <c r="AP553" s="29"/>
      <c r="AQ553" s="29"/>
      <c r="AR553" s="29"/>
      <c r="AS553" s="29"/>
      <c r="AT553" s="29"/>
      <c r="AU553" s="29"/>
      <c r="AV553" s="29"/>
      <c r="AW553" s="29"/>
      <c r="AX553" s="29"/>
    </row>
    <row r="554" ht="15.75" customHeight="1">
      <c r="A554" s="29"/>
      <c r="B554" s="29"/>
      <c r="C554" s="31"/>
      <c r="D554" s="29"/>
      <c r="E554" s="29"/>
      <c r="F554" s="29"/>
      <c r="G554" s="29"/>
      <c r="H554" s="29"/>
      <c r="I554" s="29"/>
      <c r="J554" s="29"/>
      <c r="K554" s="29"/>
      <c r="L554" s="29"/>
      <c r="M554" s="29"/>
      <c r="N554" s="29"/>
      <c r="O554" s="29"/>
      <c r="P554" s="29"/>
      <c r="Q554" s="29"/>
      <c r="R554" s="29"/>
      <c r="S554" s="29"/>
      <c r="T554" s="29"/>
      <c r="U554" s="29"/>
      <c r="V554" s="29"/>
      <c r="W554" s="29"/>
      <c r="X554" s="29"/>
      <c r="Y554" s="29"/>
      <c r="Z554" s="29"/>
      <c r="AA554" s="29"/>
      <c r="AB554" s="29"/>
      <c r="AC554" s="29"/>
      <c r="AD554" s="29"/>
      <c r="AE554" s="29"/>
      <c r="AF554" s="29"/>
      <c r="AG554" s="29"/>
      <c r="AH554" s="29"/>
      <c r="AI554" s="29"/>
      <c r="AJ554" s="29"/>
      <c r="AK554" s="29"/>
      <c r="AL554" s="29"/>
      <c r="AM554" s="29"/>
      <c r="AN554" s="29"/>
      <c r="AO554" s="29"/>
      <c r="AP554" s="29"/>
      <c r="AQ554" s="29"/>
      <c r="AR554" s="29"/>
      <c r="AS554" s="29"/>
      <c r="AT554" s="29"/>
      <c r="AU554" s="29"/>
      <c r="AV554" s="29"/>
      <c r="AW554" s="29"/>
      <c r="AX554" s="29"/>
    </row>
    <row r="555" ht="15.75" customHeight="1">
      <c r="A555" s="29"/>
      <c r="B555" s="29"/>
      <c r="C555" s="31"/>
      <c r="D555" s="29"/>
      <c r="E555" s="29"/>
      <c r="F555" s="29"/>
      <c r="G555" s="29"/>
      <c r="H555" s="29"/>
      <c r="I555" s="29"/>
      <c r="J555" s="29"/>
      <c r="K555" s="29"/>
      <c r="L555" s="29"/>
      <c r="M555" s="29"/>
      <c r="N555" s="29"/>
      <c r="O555" s="29"/>
      <c r="P555" s="29"/>
      <c r="Q555" s="29"/>
      <c r="R555" s="29"/>
      <c r="S555" s="29"/>
      <c r="T555" s="29"/>
      <c r="U555" s="29"/>
      <c r="V555" s="29"/>
      <c r="W555" s="29"/>
      <c r="X555" s="29"/>
      <c r="Y555" s="29"/>
      <c r="Z555" s="29"/>
      <c r="AA555" s="29"/>
      <c r="AB555" s="29"/>
      <c r="AC555" s="29"/>
      <c r="AD555" s="29"/>
      <c r="AE555" s="29"/>
      <c r="AF555" s="29"/>
      <c r="AG555" s="29"/>
      <c r="AH555" s="29"/>
      <c r="AI555" s="29"/>
      <c r="AJ555" s="29"/>
      <c r="AK555" s="29"/>
      <c r="AL555" s="29"/>
      <c r="AM555" s="29"/>
      <c r="AN555" s="29"/>
      <c r="AO555" s="29"/>
      <c r="AP555" s="29"/>
      <c r="AQ555" s="29"/>
      <c r="AR555" s="29"/>
      <c r="AS555" s="29"/>
      <c r="AT555" s="29"/>
      <c r="AU555" s="29"/>
      <c r="AV555" s="29"/>
      <c r="AW555" s="29"/>
      <c r="AX555" s="29"/>
    </row>
    <row r="556" ht="15.75" customHeight="1">
      <c r="A556" s="29"/>
      <c r="B556" s="29"/>
      <c r="C556" s="31"/>
      <c r="D556" s="29"/>
      <c r="E556" s="29"/>
      <c r="F556" s="29"/>
      <c r="G556" s="29"/>
      <c r="H556" s="29"/>
      <c r="I556" s="29"/>
      <c r="J556" s="29"/>
      <c r="K556" s="29"/>
      <c r="L556" s="29"/>
      <c r="M556" s="29"/>
      <c r="N556" s="29"/>
      <c r="O556" s="29"/>
      <c r="P556" s="29"/>
      <c r="Q556" s="29"/>
      <c r="R556" s="29"/>
      <c r="S556" s="29"/>
      <c r="T556" s="29"/>
      <c r="U556" s="29"/>
      <c r="V556" s="29"/>
      <c r="W556" s="29"/>
      <c r="X556" s="29"/>
      <c r="Y556" s="29"/>
      <c r="Z556" s="29"/>
      <c r="AA556" s="29"/>
      <c r="AB556" s="29"/>
      <c r="AC556" s="29"/>
      <c r="AD556" s="29"/>
      <c r="AE556" s="29"/>
      <c r="AF556" s="29"/>
      <c r="AG556" s="29"/>
      <c r="AH556" s="29"/>
      <c r="AI556" s="29"/>
      <c r="AJ556" s="29"/>
      <c r="AK556" s="29"/>
      <c r="AL556" s="29"/>
      <c r="AM556" s="29"/>
      <c r="AN556" s="29"/>
      <c r="AO556" s="29"/>
      <c r="AP556" s="29"/>
      <c r="AQ556" s="29"/>
      <c r="AR556" s="29"/>
      <c r="AS556" s="29"/>
      <c r="AT556" s="29"/>
      <c r="AU556" s="29"/>
      <c r="AV556" s="29"/>
      <c r="AW556" s="29"/>
      <c r="AX556" s="29"/>
    </row>
    <row r="557" ht="15.75" customHeight="1">
      <c r="A557" s="29"/>
      <c r="B557" s="29"/>
      <c r="C557" s="31"/>
      <c r="D557" s="29"/>
      <c r="E557" s="29"/>
      <c r="F557" s="29"/>
      <c r="G557" s="29"/>
      <c r="H557" s="29"/>
      <c r="I557" s="29"/>
      <c r="J557" s="29"/>
      <c r="K557" s="29"/>
      <c r="L557" s="29"/>
      <c r="M557" s="29"/>
      <c r="N557" s="29"/>
      <c r="O557" s="29"/>
      <c r="P557" s="29"/>
      <c r="Q557" s="29"/>
      <c r="R557" s="29"/>
      <c r="S557" s="29"/>
      <c r="T557" s="29"/>
      <c r="U557" s="29"/>
      <c r="V557" s="29"/>
      <c r="W557" s="29"/>
      <c r="X557" s="29"/>
      <c r="Y557" s="29"/>
      <c r="Z557" s="29"/>
      <c r="AA557" s="29"/>
      <c r="AB557" s="29"/>
      <c r="AC557" s="29"/>
      <c r="AD557" s="29"/>
      <c r="AE557" s="29"/>
      <c r="AF557" s="29"/>
      <c r="AG557" s="29"/>
      <c r="AH557" s="29"/>
      <c r="AI557" s="29"/>
      <c r="AJ557" s="29"/>
      <c r="AK557" s="29"/>
      <c r="AL557" s="29"/>
      <c r="AM557" s="29"/>
      <c r="AN557" s="29"/>
      <c r="AO557" s="29"/>
      <c r="AP557" s="29"/>
      <c r="AQ557" s="29"/>
      <c r="AR557" s="29"/>
      <c r="AS557" s="29"/>
      <c r="AT557" s="29"/>
      <c r="AU557" s="29"/>
      <c r="AV557" s="29"/>
      <c r="AW557" s="29"/>
      <c r="AX557" s="29"/>
    </row>
    <row r="558" ht="15.75" customHeight="1">
      <c r="A558" s="29"/>
      <c r="B558" s="29"/>
      <c r="C558" s="31"/>
      <c r="D558" s="29"/>
      <c r="E558" s="29"/>
      <c r="F558" s="29"/>
      <c r="G558" s="29"/>
      <c r="H558" s="29"/>
      <c r="I558" s="29"/>
      <c r="J558" s="29"/>
      <c r="K558" s="29"/>
      <c r="L558" s="29"/>
      <c r="M558" s="29"/>
      <c r="N558" s="29"/>
      <c r="O558" s="29"/>
      <c r="P558" s="29"/>
      <c r="Q558" s="29"/>
      <c r="R558" s="29"/>
      <c r="S558" s="29"/>
      <c r="T558" s="29"/>
      <c r="U558" s="29"/>
      <c r="V558" s="29"/>
      <c r="W558" s="29"/>
      <c r="X558" s="29"/>
      <c r="Y558" s="29"/>
      <c r="Z558" s="29"/>
      <c r="AA558" s="29"/>
      <c r="AB558" s="29"/>
      <c r="AC558" s="29"/>
      <c r="AD558" s="29"/>
      <c r="AE558" s="29"/>
      <c r="AF558" s="29"/>
      <c r="AG558" s="29"/>
      <c r="AH558" s="29"/>
      <c r="AI558" s="29"/>
      <c r="AJ558" s="29"/>
      <c r="AK558" s="29"/>
      <c r="AL558" s="29"/>
      <c r="AM558" s="29"/>
      <c r="AN558" s="29"/>
      <c r="AO558" s="29"/>
      <c r="AP558" s="29"/>
      <c r="AQ558" s="29"/>
      <c r="AR558" s="29"/>
      <c r="AS558" s="29"/>
      <c r="AT558" s="29"/>
      <c r="AU558" s="29"/>
      <c r="AV558" s="29"/>
      <c r="AW558" s="29"/>
      <c r="AX558" s="29"/>
    </row>
    <row r="559" ht="15.75" customHeight="1">
      <c r="A559" s="29"/>
      <c r="B559" s="29"/>
      <c r="C559" s="31"/>
      <c r="D559" s="29"/>
      <c r="E559" s="29"/>
      <c r="F559" s="29"/>
      <c r="G559" s="29"/>
      <c r="H559" s="29"/>
      <c r="I559" s="29"/>
      <c r="J559" s="29"/>
      <c r="K559" s="29"/>
      <c r="L559" s="29"/>
      <c r="M559" s="29"/>
      <c r="N559" s="29"/>
      <c r="O559" s="29"/>
      <c r="P559" s="29"/>
      <c r="Q559" s="29"/>
      <c r="R559" s="29"/>
      <c r="S559" s="29"/>
      <c r="T559" s="29"/>
      <c r="U559" s="29"/>
      <c r="V559" s="29"/>
      <c r="W559" s="29"/>
      <c r="X559" s="29"/>
      <c r="Y559" s="29"/>
      <c r="Z559" s="29"/>
      <c r="AA559" s="29"/>
      <c r="AB559" s="29"/>
      <c r="AC559" s="29"/>
      <c r="AD559" s="29"/>
      <c r="AE559" s="29"/>
      <c r="AF559" s="29"/>
      <c r="AG559" s="29"/>
      <c r="AH559" s="29"/>
      <c r="AI559" s="29"/>
      <c r="AJ559" s="29"/>
      <c r="AK559" s="29"/>
      <c r="AL559" s="29"/>
      <c r="AM559" s="29"/>
      <c r="AN559" s="29"/>
      <c r="AO559" s="29"/>
      <c r="AP559" s="29"/>
      <c r="AQ559" s="29"/>
      <c r="AR559" s="29"/>
      <c r="AS559" s="29"/>
      <c r="AT559" s="29"/>
      <c r="AU559" s="29"/>
      <c r="AV559" s="29"/>
      <c r="AW559" s="29"/>
      <c r="AX559" s="29"/>
    </row>
    <row r="560" ht="15.75" customHeight="1">
      <c r="A560" s="29"/>
      <c r="B560" s="29"/>
      <c r="C560" s="31"/>
      <c r="D560" s="29"/>
      <c r="E560" s="29"/>
      <c r="F560" s="29"/>
      <c r="G560" s="29"/>
      <c r="H560" s="29"/>
      <c r="I560" s="29"/>
      <c r="J560" s="29"/>
      <c r="K560" s="29"/>
      <c r="L560" s="29"/>
      <c r="M560" s="29"/>
      <c r="N560" s="29"/>
      <c r="O560" s="29"/>
      <c r="P560" s="29"/>
      <c r="Q560" s="29"/>
      <c r="R560" s="29"/>
      <c r="S560" s="29"/>
      <c r="T560" s="29"/>
      <c r="U560" s="29"/>
      <c r="V560" s="29"/>
      <c r="W560" s="29"/>
      <c r="X560" s="29"/>
      <c r="Y560" s="29"/>
      <c r="Z560" s="29"/>
      <c r="AA560" s="29"/>
      <c r="AB560" s="29"/>
      <c r="AC560" s="29"/>
      <c r="AD560" s="29"/>
      <c r="AE560" s="29"/>
      <c r="AF560" s="29"/>
      <c r="AG560" s="29"/>
      <c r="AH560" s="29"/>
      <c r="AI560" s="29"/>
      <c r="AJ560" s="29"/>
      <c r="AK560" s="29"/>
      <c r="AL560" s="29"/>
      <c r="AM560" s="29"/>
      <c r="AN560" s="29"/>
      <c r="AO560" s="29"/>
      <c r="AP560" s="29"/>
      <c r="AQ560" s="29"/>
      <c r="AR560" s="29"/>
      <c r="AS560" s="29"/>
      <c r="AT560" s="29"/>
      <c r="AU560" s="29"/>
      <c r="AV560" s="29"/>
      <c r="AW560" s="29"/>
      <c r="AX560" s="29"/>
    </row>
    <row r="561" ht="15.75" customHeight="1">
      <c r="A561" s="29"/>
      <c r="B561" s="29"/>
      <c r="C561" s="31"/>
      <c r="D561" s="29"/>
      <c r="E561" s="29"/>
      <c r="F561" s="29"/>
      <c r="G561" s="29"/>
      <c r="H561" s="29"/>
      <c r="I561" s="29"/>
      <c r="J561" s="29"/>
      <c r="K561" s="29"/>
      <c r="L561" s="29"/>
      <c r="M561" s="29"/>
      <c r="N561" s="29"/>
      <c r="O561" s="29"/>
      <c r="P561" s="29"/>
      <c r="Q561" s="29"/>
      <c r="R561" s="29"/>
      <c r="S561" s="29"/>
      <c r="T561" s="29"/>
      <c r="U561" s="29"/>
      <c r="V561" s="29"/>
      <c r="W561" s="29"/>
      <c r="X561" s="29"/>
      <c r="Y561" s="29"/>
      <c r="Z561" s="29"/>
      <c r="AA561" s="29"/>
      <c r="AB561" s="29"/>
      <c r="AC561" s="29"/>
      <c r="AD561" s="29"/>
      <c r="AE561" s="29"/>
      <c r="AF561" s="29"/>
      <c r="AG561" s="29"/>
      <c r="AH561" s="29"/>
      <c r="AI561" s="29"/>
      <c r="AJ561" s="29"/>
      <c r="AK561" s="29"/>
      <c r="AL561" s="29"/>
      <c r="AM561" s="29"/>
      <c r="AN561" s="29"/>
      <c r="AO561" s="29"/>
      <c r="AP561" s="29"/>
      <c r="AQ561" s="29"/>
      <c r="AR561" s="29"/>
      <c r="AS561" s="29"/>
      <c r="AT561" s="29"/>
      <c r="AU561" s="29"/>
      <c r="AV561" s="29"/>
      <c r="AW561" s="29"/>
      <c r="AX561" s="29"/>
    </row>
    <row r="562" ht="15.75" customHeight="1">
      <c r="A562" s="29"/>
      <c r="B562" s="29"/>
      <c r="C562" s="31"/>
      <c r="D562" s="29"/>
      <c r="E562" s="29"/>
      <c r="F562" s="29"/>
      <c r="G562" s="29"/>
      <c r="H562" s="29"/>
      <c r="I562" s="29"/>
      <c r="J562" s="29"/>
      <c r="K562" s="29"/>
      <c r="L562" s="29"/>
      <c r="M562" s="29"/>
      <c r="N562" s="29"/>
      <c r="O562" s="29"/>
      <c r="P562" s="29"/>
      <c r="Q562" s="29"/>
      <c r="R562" s="29"/>
      <c r="S562" s="29"/>
      <c r="T562" s="29"/>
      <c r="U562" s="29"/>
      <c r="V562" s="29"/>
      <c r="W562" s="29"/>
      <c r="X562" s="29"/>
      <c r="Y562" s="29"/>
      <c r="Z562" s="29"/>
      <c r="AA562" s="29"/>
      <c r="AB562" s="29"/>
      <c r="AC562" s="29"/>
      <c r="AD562" s="29"/>
      <c r="AE562" s="29"/>
      <c r="AF562" s="29"/>
      <c r="AG562" s="29"/>
      <c r="AH562" s="29"/>
      <c r="AI562" s="29"/>
      <c r="AJ562" s="29"/>
      <c r="AK562" s="29"/>
      <c r="AL562" s="29"/>
      <c r="AM562" s="29"/>
      <c r="AN562" s="29"/>
      <c r="AO562" s="29"/>
      <c r="AP562" s="29"/>
      <c r="AQ562" s="29"/>
      <c r="AR562" s="29"/>
      <c r="AS562" s="29"/>
      <c r="AT562" s="29"/>
      <c r="AU562" s="29"/>
      <c r="AV562" s="29"/>
      <c r="AW562" s="29"/>
      <c r="AX562" s="29"/>
    </row>
    <row r="563" ht="15.75" customHeight="1">
      <c r="A563" s="29"/>
      <c r="B563" s="29"/>
      <c r="C563" s="31"/>
      <c r="D563" s="29"/>
      <c r="E563" s="29"/>
      <c r="F563" s="29"/>
      <c r="G563" s="29"/>
      <c r="H563" s="29"/>
      <c r="I563" s="29"/>
      <c r="J563" s="29"/>
      <c r="K563" s="29"/>
      <c r="L563" s="29"/>
      <c r="M563" s="29"/>
      <c r="N563" s="29"/>
      <c r="O563" s="29"/>
      <c r="P563" s="29"/>
      <c r="Q563" s="29"/>
      <c r="R563" s="29"/>
      <c r="S563" s="29"/>
      <c r="T563" s="29"/>
      <c r="U563" s="29"/>
      <c r="V563" s="29"/>
      <c r="W563" s="29"/>
      <c r="X563" s="29"/>
      <c r="Y563" s="29"/>
      <c r="Z563" s="29"/>
      <c r="AA563" s="29"/>
      <c r="AB563" s="29"/>
      <c r="AC563" s="29"/>
      <c r="AD563" s="29"/>
      <c r="AE563" s="29"/>
      <c r="AF563" s="29"/>
      <c r="AG563" s="29"/>
      <c r="AH563" s="29"/>
      <c r="AI563" s="29"/>
      <c r="AJ563" s="29"/>
      <c r="AK563" s="29"/>
      <c r="AL563" s="29"/>
      <c r="AM563" s="29"/>
      <c r="AN563" s="29"/>
      <c r="AO563" s="29"/>
      <c r="AP563" s="29"/>
      <c r="AQ563" s="29"/>
      <c r="AR563" s="29"/>
      <c r="AS563" s="29"/>
      <c r="AT563" s="29"/>
      <c r="AU563" s="29"/>
      <c r="AV563" s="29"/>
      <c r="AW563" s="29"/>
      <c r="AX563" s="29"/>
    </row>
    <row r="564" ht="15.75" customHeight="1">
      <c r="A564" s="29"/>
      <c r="B564" s="29"/>
      <c r="C564" s="31"/>
      <c r="D564" s="29"/>
      <c r="E564" s="29"/>
      <c r="F564" s="29"/>
      <c r="G564" s="29"/>
      <c r="H564" s="29"/>
      <c r="I564" s="29"/>
      <c r="J564" s="29"/>
      <c r="K564" s="29"/>
      <c r="L564" s="29"/>
      <c r="M564" s="29"/>
      <c r="N564" s="29"/>
      <c r="O564" s="29"/>
      <c r="P564" s="29"/>
      <c r="Q564" s="29"/>
      <c r="R564" s="29"/>
      <c r="S564" s="29"/>
      <c r="T564" s="29"/>
      <c r="U564" s="29"/>
      <c r="V564" s="29"/>
      <c r="W564" s="29"/>
      <c r="X564" s="29"/>
      <c r="Y564" s="29"/>
      <c r="Z564" s="29"/>
      <c r="AA564" s="29"/>
      <c r="AB564" s="29"/>
      <c r="AC564" s="29"/>
      <c r="AD564" s="29"/>
      <c r="AE564" s="29"/>
      <c r="AF564" s="29"/>
      <c r="AG564" s="29"/>
      <c r="AH564" s="29"/>
      <c r="AI564" s="29"/>
      <c r="AJ564" s="29"/>
      <c r="AK564" s="29"/>
      <c r="AL564" s="29"/>
      <c r="AM564" s="29"/>
      <c r="AN564" s="29"/>
      <c r="AO564" s="29"/>
      <c r="AP564" s="29"/>
      <c r="AQ564" s="29"/>
      <c r="AR564" s="29"/>
      <c r="AS564" s="29"/>
      <c r="AT564" s="29"/>
      <c r="AU564" s="29"/>
      <c r="AV564" s="29"/>
      <c r="AW564" s="29"/>
      <c r="AX564" s="29"/>
    </row>
    <row r="565" ht="15.75" customHeight="1">
      <c r="A565" s="29"/>
      <c r="B565" s="29"/>
      <c r="C565" s="31"/>
      <c r="D565" s="29"/>
      <c r="E565" s="29"/>
      <c r="F565" s="29"/>
      <c r="G565" s="29"/>
      <c r="H565" s="29"/>
      <c r="I565" s="29"/>
      <c r="J565" s="29"/>
      <c r="K565" s="29"/>
      <c r="L565" s="29"/>
      <c r="M565" s="29"/>
      <c r="N565" s="29"/>
      <c r="O565" s="29"/>
      <c r="P565" s="29"/>
      <c r="Q565" s="29"/>
      <c r="R565" s="29"/>
      <c r="S565" s="29"/>
      <c r="T565" s="29"/>
      <c r="U565" s="29"/>
      <c r="V565" s="29"/>
      <c r="W565" s="29"/>
      <c r="X565" s="29"/>
      <c r="Y565" s="29"/>
      <c r="Z565" s="29"/>
      <c r="AA565" s="29"/>
      <c r="AB565" s="29"/>
      <c r="AC565" s="29"/>
      <c r="AD565" s="29"/>
      <c r="AE565" s="29"/>
      <c r="AF565" s="29"/>
      <c r="AG565" s="29"/>
      <c r="AH565" s="29"/>
      <c r="AI565" s="29"/>
      <c r="AJ565" s="29"/>
      <c r="AK565" s="29"/>
      <c r="AL565" s="29"/>
      <c r="AM565" s="29"/>
      <c r="AN565" s="29"/>
      <c r="AO565" s="29"/>
      <c r="AP565" s="29"/>
      <c r="AQ565" s="29"/>
      <c r="AR565" s="29"/>
      <c r="AS565" s="29"/>
      <c r="AT565" s="29"/>
      <c r="AU565" s="29"/>
      <c r="AV565" s="29"/>
      <c r="AW565" s="29"/>
      <c r="AX565" s="29"/>
    </row>
    <row r="566" ht="15.75" customHeight="1">
      <c r="A566" s="29"/>
      <c r="B566" s="29"/>
      <c r="C566" s="31"/>
      <c r="D566" s="29"/>
      <c r="E566" s="29"/>
      <c r="F566" s="29"/>
      <c r="G566" s="29"/>
      <c r="H566" s="29"/>
      <c r="I566" s="29"/>
      <c r="J566" s="29"/>
      <c r="K566" s="29"/>
      <c r="L566" s="29"/>
      <c r="M566" s="29"/>
      <c r="N566" s="29"/>
      <c r="O566" s="29"/>
      <c r="P566" s="29"/>
      <c r="Q566" s="29"/>
      <c r="R566" s="29"/>
      <c r="S566" s="29"/>
      <c r="T566" s="29"/>
      <c r="U566" s="29"/>
      <c r="V566" s="29"/>
      <c r="W566" s="29"/>
      <c r="X566" s="29"/>
      <c r="Y566" s="29"/>
      <c r="Z566" s="29"/>
      <c r="AA566" s="29"/>
      <c r="AB566" s="29"/>
      <c r="AC566" s="29"/>
      <c r="AD566" s="29"/>
      <c r="AE566" s="29"/>
      <c r="AF566" s="29"/>
      <c r="AG566" s="29"/>
      <c r="AH566" s="29"/>
      <c r="AI566" s="29"/>
      <c r="AJ566" s="29"/>
      <c r="AK566" s="29"/>
      <c r="AL566" s="29"/>
      <c r="AM566" s="29"/>
      <c r="AN566" s="29"/>
      <c r="AO566" s="29"/>
      <c r="AP566" s="29"/>
      <c r="AQ566" s="29"/>
      <c r="AR566" s="29"/>
      <c r="AS566" s="29"/>
      <c r="AT566" s="29"/>
      <c r="AU566" s="29"/>
      <c r="AV566" s="29"/>
      <c r="AW566" s="29"/>
      <c r="AX566" s="29"/>
    </row>
    <row r="567" ht="15.75" customHeight="1">
      <c r="A567" s="29"/>
      <c r="B567" s="29"/>
      <c r="C567" s="31"/>
      <c r="D567" s="29"/>
      <c r="E567" s="29"/>
      <c r="F567" s="29"/>
      <c r="G567" s="29"/>
      <c r="H567" s="29"/>
      <c r="I567" s="29"/>
      <c r="J567" s="29"/>
      <c r="K567" s="29"/>
      <c r="L567" s="29"/>
      <c r="M567" s="29"/>
      <c r="N567" s="29"/>
      <c r="O567" s="29"/>
      <c r="P567" s="29"/>
      <c r="Q567" s="29"/>
      <c r="R567" s="29"/>
      <c r="S567" s="29"/>
      <c r="T567" s="29"/>
      <c r="U567" s="29"/>
      <c r="V567" s="29"/>
      <c r="W567" s="29"/>
      <c r="X567" s="29"/>
      <c r="Y567" s="29"/>
      <c r="Z567" s="29"/>
      <c r="AA567" s="29"/>
      <c r="AB567" s="29"/>
      <c r="AC567" s="29"/>
      <c r="AD567" s="29"/>
      <c r="AE567" s="29"/>
      <c r="AF567" s="29"/>
      <c r="AG567" s="29"/>
      <c r="AH567" s="29"/>
      <c r="AI567" s="29"/>
      <c r="AJ567" s="29"/>
      <c r="AK567" s="29"/>
      <c r="AL567" s="29"/>
      <c r="AM567" s="29"/>
      <c r="AN567" s="29"/>
      <c r="AO567" s="29"/>
      <c r="AP567" s="29"/>
      <c r="AQ567" s="29"/>
      <c r="AR567" s="29"/>
      <c r="AS567" s="29"/>
      <c r="AT567" s="29"/>
      <c r="AU567" s="29"/>
      <c r="AV567" s="29"/>
      <c r="AW567" s="29"/>
      <c r="AX567" s="29"/>
    </row>
    <row r="568" ht="15.75" customHeight="1">
      <c r="A568" s="29"/>
      <c r="B568" s="29"/>
      <c r="C568" s="31"/>
      <c r="D568" s="29"/>
      <c r="E568" s="29"/>
      <c r="F568" s="29"/>
      <c r="G568" s="29"/>
      <c r="H568" s="29"/>
      <c r="I568" s="29"/>
      <c r="J568" s="29"/>
      <c r="K568" s="29"/>
      <c r="L568" s="29"/>
      <c r="M568" s="29"/>
      <c r="N568" s="29"/>
      <c r="O568" s="29"/>
      <c r="P568" s="29"/>
      <c r="Q568" s="29"/>
      <c r="R568" s="29"/>
      <c r="S568" s="29"/>
      <c r="T568" s="29"/>
      <c r="U568" s="29"/>
      <c r="V568" s="29"/>
      <c r="W568" s="29"/>
      <c r="X568" s="29"/>
      <c r="Y568" s="29"/>
      <c r="Z568" s="29"/>
      <c r="AA568" s="29"/>
      <c r="AB568" s="29"/>
      <c r="AC568" s="29"/>
      <c r="AD568" s="29"/>
      <c r="AE568" s="29"/>
      <c r="AF568" s="29"/>
      <c r="AG568" s="29"/>
      <c r="AH568" s="29"/>
      <c r="AI568" s="29"/>
      <c r="AJ568" s="29"/>
      <c r="AK568" s="29"/>
      <c r="AL568" s="29"/>
      <c r="AM568" s="29"/>
      <c r="AN568" s="29"/>
      <c r="AO568" s="29"/>
      <c r="AP568" s="29"/>
      <c r="AQ568" s="29"/>
      <c r="AR568" s="29"/>
      <c r="AS568" s="29"/>
      <c r="AT568" s="29"/>
      <c r="AU568" s="29"/>
      <c r="AV568" s="29"/>
      <c r="AW568" s="29"/>
      <c r="AX568" s="29"/>
    </row>
    <row r="569" ht="15.75" customHeight="1">
      <c r="A569" s="29"/>
      <c r="B569" s="29"/>
      <c r="C569" s="31"/>
      <c r="D569" s="29"/>
      <c r="E569" s="29"/>
      <c r="F569" s="29"/>
      <c r="G569" s="29"/>
      <c r="H569" s="29"/>
      <c r="I569" s="29"/>
      <c r="J569" s="29"/>
      <c r="K569" s="29"/>
      <c r="L569" s="29"/>
      <c r="M569" s="29"/>
      <c r="N569" s="29"/>
      <c r="O569" s="29"/>
      <c r="P569" s="29"/>
      <c r="Q569" s="29"/>
      <c r="R569" s="29"/>
      <c r="S569" s="29"/>
      <c r="T569" s="29"/>
      <c r="U569" s="29"/>
      <c r="V569" s="29"/>
      <c r="W569" s="29"/>
      <c r="X569" s="29"/>
      <c r="Y569" s="29"/>
      <c r="Z569" s="29"/>
      <c r="AA569" s="29"/>
      <c r="AB569" s="29"/>
      <c r="AC569" s="29"/>
      <c r="AD569" s="29"/>
      <c r="AE569" s="29"/>
      <c r="AF569" s="29"/>
      <c r="AG569" s="29"/>
      <c r="AH569" s="29"/>
      <c r="AI569" s="29"/>
      <c r="AJ569" s="29"/>
      <c r="AK569" s="29"/>
      <c r="AL569" s="29"/>
      <c r="AM569" s="29"/>
      <c r="AN569" s="29"/>
      <c r="AO569" s="29"/>
      <c r="AP569" s="29"/>
      <c r="AQ569" s="29"/>
      <c r="AR569" s="29"/>
      <c r="AS569" s="29"/>
      <c r="AT569" s="29"/>
      <c r="AU569" s="29"/>
      <c r="AV569" s="29"/>
      <c r="AW569" s="29"/>
      <c r="AX569" s="29"/>
    </row>
    <row r="570" ht="15.75" customHeight="1">
      <c r="A570" s="29"/>
      <c r="B570" s="29"/>
      <c r="C570" s="31"/>
      <c r="D570" s="29"/>
      <c r="E570" s="29"/>
      <c r="F570" s="29"/>
      <c r="G570" s="29"/>
      <c r="H570" s="29"/>
      <c r="I570" s="29"/>
      <c r="J570" s="29"/>
      <c r="K570" s="29"/>
      <c r="L570" s="29"/>
      <c r="M570" s="29"/>
      <c r="N570" s="29"/>
      <c r="O570" s="29"/>
      <c r="P570" s="29"/>
      <c r="Q570" s="29"/>
      <c r="R570" s="29"/>
      <c r="S570" s="29"/>
      <c r="T570" s="29"/>
      <c r="U570" s="29"/>
      <c r="V570" s="29"/>
      <c r="W570" s="29"/>
      <c r="X570" s="29"/>
      <c r="Y570" s="29"/>
      <c r="Z570" s="29"/>
      <c r="AA570" s="29"/>
      <c r="AB570" s="29"/>
      <c r="AC570" s="29"/>
      <c r="AD570" s="29"/>
      <c r="AE570" s="29"/>
      <c r="AF570" s="29"/>
      <c r="AG570" s="29"/>
      <c r="AH570" s="29"/>
      <c r="AI570" s="29"/>
      <c r="AJ570" s="29"/>
      <c r="AK570" s="29"/>
      <c r="AL570" s="29"/>
      <c r="AM570" s="29"/>
      <c r="AN570" s="29"/>
      <c r="AO570" s="29"/>
      <c r="AP570" s="29"/>
      <c r="AQ570" s="29"/>
      <c r="AR570" s="29"/>
      <c r="AS570" s="29"/>
      <c r="AT570" s="29"/>
      <c r="AU570" s="29"/>
      <c r="AV570" s="29"/>
      <c r="AW570" s="29"/>
      <c r="AX570" s="29"/>
    </row>
    <row r="571" ht="15.75" customHeight="1">
      <c r="A571" s="29"/>
      <c r="B571" s="29"/>
      <c r="C571" s="31"/>
      <c r="D571" s="29"/>
      <c r="E571" s="29"/>
      <c r="F571" s="29"/>
      <c r="G571" s="29"/>
      <c r="H571" s="29"/>
      <c r="I571" s="29"/>
      <c r="J571" s="29"/>
      <c r="K571" s="29"/>
      <c r="L571" s="29"/>
      <c r="M571" s="29"/>
      <c r="N571" s="29"/>
      <c r="O571" s="29"/>
      <c r="P571" s="29"/>
      <c r="Q571" s="29"/>
      <c r="R571" s="29"/>
      <c r="S571" s="29"/>
      <c r="T571" s="29"/>
      <c r="U571" s="29"/>
      <c r="V571" s="29"/>
      <c r="W571" s="29"/>
      <c r="X571" s="29"/>
      <c r="Y571" s="29"/>
      <c r="Z571" s="29"/>
      <c r="AA571" s="29"/>
      <c r="AB571" s="29"/>
      <c r="AC571" s="29"/>
      <c r="AD571" s="29"/>
      <c r="AE571" s="29"/>
      <c r="AF571" s="29"/>
      <c r="AG571" s="29"/>
      <c r="AH571" s="29"/>
      <c r="AI571" s="29"/>
      <c r="AJ571" s="29"/>
      <c r="AK571" s="29"/>
      <c r="AL571" s="29"/>
      <c r="AM571" s="29"/>
      <c r="AN571" s="29"/>
      <c r="AO571" s="29"/>
      <c r="AP571" s="29"/>
      <c r="AQ571" s="29"/>
      <c r="AR571" s="29"/>
      <c r="AS571" s="29"/>
      <c r="AT571" s="29"/>
      <c r="AU571" s="29"/>
      <c r="AV571" s="29"/>
      <c r="AW571" s="29"/>
      <c r="AX571" s="29"/>
    </row>
    <row r="572" ht="15.75" customHeight="1">
      <c r="A572" s="29"/>
      <c r="B572" s="29"/>
      <c r="C572" s="31"/>
      <c r="D572" s="29"/>
      <c r="E572" s="29"/>
      <c r="F572" s="29"/>
      <c r="G572" s="29"/>
      <c r="H572" s="29"/>
      <c r="I572" s="29"/>
      <c r="J572" s="29"/>
      <c r="K572" s="29"/>
      <c r="L572" s="29"/>
      <c r="M572" s="29"/>
      <c r="N572" s="29"/>
      <c r="O572" s="29"/>
      <c r="P572" s="29"/>
      <c r="Q572" s="29"/>
      <c r="R572" s="29"/>
      <c r="S572" s="29"/>
      <c r="T572" s="29"/>
      <c r="U572" s="29"/>
      <c r="V572" s="29"/>
      <c r="W572" s="29"/>
      <c r="X572" s="29"/>
      <c r="Y572" s="29"/>
      <c r="Z572" s="29"/>
      <c r="AA572" s="29"/>
      <c r="AB572" s="29"/>
      <c r="AC572" s="29"/>
      <c r="AD572" s="29"/>
      <c r="AE572" s="29"/>
      <c r="AF572" s="29"/>
      <c r="AG572" s="29"/>
      <c r="AH572" s="29"/>
      <c r="AI572" s="29"/>
      <c r="AJ572" s="29"/>
      <c r="AK572" s="29"/>
      <c r="AL572" s="29"/>
      <c r="AM572" s="29"/>
      <c r="AN572" s="29"/>
      <c r="AO572" s="29"/>
      <c r="AP572" s="29"/>
      <c r="AQ572" s="29"/>
      <c r="AR572" s="29"/>
      <c r="AS572" s="29"/>
      <c r="AT572" s="29"/>
      <c r="AU572" s="29"/>
      <c r="AV572" s="29"/>
      <c r="AW572" s="29"/>
      <c r="AX572" s="29"/>
    </row>
    <row r="573" ht="15.75" customHeight="1">
      <c r="A573" s="29"/>
      <c r="B573" s="29"/>
      <c r="C573" s="31"/>
      <c r="D573" s="29"/>
      <c r="E573" s="29"/>
      <c r="F573" s="29"/>
      <c r="G573" s="29"/>
      <c r="H573" s="29"/>
      <c r="I573" s="29"/>
      <c r="J573" s="29"/>
      <c r="K573" s="29"/>
      <c r="L573" s="29"/>
      <c r="M573" s="29"/>
      <c r="N573" s="29"/>
      <c r="O573" s="29"/>
      <c r="P573" s="29"/>
      <c r="Q573" s="29"/>
      <c r="R573" s="29"/>
      <c r="S573" s="29"/>
      <c r="T573" s="29"/>
      <c r="U573" s="29"/>
      <c r="V573" s="29"/>
      <c r="W573" s="29"/>
      <c r="X573" s="29"/>
      <c r="Y573" s="29"/>
      <c r="Z573" s="29"/>
      <c r="AA573" s="29"/>
      <c r="AB573" s="29"/>
      <c r="AC573" s="29"/>
      <c r="AD573" s="29"/>
      <c r="AE573" s="29"/>
      <c r="AF573" s="29"/>
      <c r="AG573" s="29"/>
      <c r="AH573" s="29"/>
      <c r="AI573" s="29"/>
      <c r="AJ573" s="29"/>
      <c r="AK573" s="29"/>
      <c r="AL573" s="29"/>
      <c r="AM573" s="29"/>
      <c r="AN573" s="29"/>
      <c r="AO573" s="29"/>
      <c r="AP573" s="29"/>
      <c r="AQ573" s="29"/>
      <c r="AR573" s="29"/>
      <c r="AS573" s="29"/>
      <c r="AT573" s="29"/>
      <c r="AU573" s="29"/>
      <c r="AV573" s="29"/>
      <c r="AW573" s="29"/>
      <c r="AX573" s="29"/>
    </row>
    <row r="574" ht="15.75" customHeight="1">
      <c r="A574" s="29"/>
      <c r="B574" s="29"/>
      <c r="C574" s="31"/>
      <c r="D574" s="29"/>
      <c r="E574" s="29"/>
      <c r="F574" s="29"/>
      <c r="G574" s="29"/>
      <c r="H574" s="29"/>
      <c r="I574" s="29"/>
      <c r="J574" s="29"/>
      <c r="K574" s="29"/>
      <c r="L574" s="29"/>
      <c r="M574" s="29"/>
      <c r="N574" s="29"/>
      <c r="O574" s="29"/>
      <c r="P574" s="29"/>
      <c r="Q574" s="29"/>
      <c r="R574" s="29"/>
      <c r="S574" s="29"/>
      <c r="T574" s="29"/>
      <c r="U574" s="29"/>
      <c r="V574" s="29"/>
      <c r="W574" s="29"/>
      <c r="X574" s="29"/>
      <c r="Y574" s="29"/>
      <c r="Z574" s="29"/>
      <c r="AA574" s="29"/>
      <c r="AB574" s="29"/>
      <c r="AC574" s="29"/>
      <c r="AD574" s="29"/>
      <c r="AE574" s="29"/>
      <c r="AF574" s="29"/>
      <c r="AG574" s="29"/>
      <c r="AH574" s="29"/>
      <c r="AI574" s="29"/>
      <c r="AJ574" s="29"/>
      <c r="AK574" s="29"/>
      <c r="AL574" s="29"/>
      <c r="AM574" s="29"/>
      <c r="AN574" s="29"/>
      <c r="AO574" s="29"/>
      <c r="AP574" s="29"/>
      <c r="AQ574" s="29"/>
      <c r="AR574" s="29"/>
      <c r="AS574" s="29"/>
      <c r="AT574" s="29"/>
      <c r="AU574" s="29"/>
      <c r="AV574" s="29"/>
      <c r="AW574" s="29"/>
      <c r="AX574" s="29"/>
    </row>
    <row r="575" ht="15.75" customHeight="1">
      <c r="A575" s="29"/>
      <c r="B575" s="29"/>
      <c r="C575" s="31"/>
      <c r="D575" s="29"/>
      <c r="E575" s="29"/>
      <c r="F575" s="29"/>
      <c r="G575" s="29"/>
      <c r="H575" s="29"/>
      <c r="I575" s="29"/>
      <c r="J575" s="29"/>
      <c r="K575" s="29"/>
      <c r="L575" s="29"/>
      <c r="M575" s="29"/>
      <c r="N575" s="29"/>
      <c r="O575" s="29"/>
      <c r="P575" s="29"/>
      <c r="Q575" s="29"/>
      <c r="R575" s="29"/>
      <c r="S575" s="29"/>
      <c r="T575" s="29"/>
      <c r="U575" s="29"/>
      <c r="V575" s="29"/>
      <c r="W575" s="29"/>
      <c r="X575" s="29"/>
      <c r="Y575" s="29"/>
      <c r="Z575" s="29"/>
      <c r="AA575" s="29"/>
      <c r="AB575" s="29"/>
      <c r="AC575" s="29"/>
      <c r="AD575" s="29"/>
      <c r="AE575" s="29"/>
      <c r="AF575" s="29"/>
      <c r="AG575" s="29"/>
      <c r="AH575" s="29"/>
      <c r="AI575" s="29"/>
      <c r="AJ575" s="29"/>
      <c r="AK575" s="29"/>
      <c r="AL575" s="29"/>
      <c r="AM575" s="29"/>
      <c r="AN575" s="29"/>
      <c r="AO575" s="29"/>
      <c r="AP575" s="29"/>
      <c r="AQ575" s="29"/>
      <c r="AR575" s="29"/>
      <c r="AS575" s="29"/>
      <c r="AT575" s="29"/>
      <c r="AU575" s="29"/>
      <c r="AV575" s="29"/>
      <c r="AW575" s="29"/>
      <c r="AX575" s="29"/>
    </row>
    <row r="576" ht="15.75" customHeight="1">
      <c r="A576" s="29"/>
      <c r="B576" s="29"/>
      <c r="C576" s="31"/>
      <c r="D576" s="29"/>
      <c r="E576" s="29"/>
      <c r="F576" s="29"/>
      <c r="G576" s="29"/>
      <c r="H576" s="29"/>
      <c r="I576" s="29"/>
      <c r="J576" s="29"/>
      <c r="K576" s="29"/>
      <c r="L576" s="29"/>
      <c r="M576" s="29"/>
      <c r="N576" s="29"/>
      <c r="O576" s="29"/>
      <c r="P576" s="29"/>
      <c r="Q576" s="29"/>
      <c r="R576" s="29"/>
      <c r="S576" s="29"/>
      <c r="T576" s="29"/>
      <c r="U576" s="29"/>
      <c r="V576" s="29"/>
      <c r="W576" s="29"/>
      <c r="X576" s="29"/>
      <c r="Y576" s="29"/>
      <c r="Z576" s="29"/>
      <c r="AA576" s="29"/>
      <c r="AB576" s="29"/>
      <c r="AC576" s="29"/>
      <c r="AD576" s="29"/>
      <c r="AE576" s="29"/>
      <c r="AF576" s="29"/>
      <c r="AG576" s="29"/>
      <c r="AH576" s="29"/>
      <c r="AI576" s="29"/>
      <c r="AJ576" s="29"/>
      <c r="AK576" s="29"/>
      <c r="AL576" s="29"/>
      <c r="AM576" s="29"/>
      <c r="AN576" s="29"/>
      <c r="AO576" s="29"/>
      <c r="AP576" s="29"/>
      <c r="AQ576" s="29"/>
      <c r="AR576" s="29"/>
      <c r="AS576" s="29"/>
      <c r="AT576" s="29"/>
      <c r="AU576" s="29"/>
      <c r="AV576" s="29"/>
      <c r="AW576" s="29"/>
      <c r="AX576" s="29"/>
    </row>
    <row r="577" ht="15.75" customHeight="1">
      <c r="A577" s="29"/>
      <c r="B577" s="29"/>
      <c r="C577" s="31"/>
      <c r="D577" s="29"/>
      <c r="E577" s="29"/>
      <c r="F577" s="29"/>
      <c r="G577" s="29"/>
      <c r="H577" s="29"/>
      <c r="I577" s="29"/>
      <c r="J577" s="29"/>
      <c r="K577" s="29"/>
      <c r="L577" s="29"/>
      <c r="M577" s="29"/>
      <c r="N577" s="29"/>
      <c r="O577" s="29"/>
      <c r="P577" s="29"/>
      <c r="Q577" s="29"/>
      <c r="R577" s="29"/>
      <c r="S577" s="29"/>
      <c r="T577" s="29"/>
      <c r="U577" s="29"/>
      <c r="V577" s="29"/>
      <c r="W577" s="29"/>
      <c r="X577" s="29"/>
      <c r="Y577" s="29"/>
      <c r="Z577" s="29"/>
      <c r="AA577" s="29"/>
      <c r="AB577" s="29"/>
      <c r="AC577" s="29"/>
      <c r="AD577" s="29"/>
      <c r="AE577" s="29"/>
      <c r="AF577" s="29"/>
      <c r="AG577" s="29"/>
      <c r="AH577" s="29"/>
      <c r="AI577" s="29"/>
      <c r="AJ577" s="29"/>
      <c r="AK577" s="29"/>
      <c r="AL577" s="29"/>
      <c r="AM577" s="29"/>
      <c r="AN577" s="29"/>
      <c r="AO577" s="29"/>
      <c r="AP577" s="29"/>
      <c r="AQ577" s="29"/>
      <c r="AR577" s="29"/>
      <c r="AS577" s="29"/>
      <c r="AT577" s="29"/>
      <c r="AU577" s="29"/>
      <c r="AV577" s="29"/>
      <c r="AW577" s="29"/>
      <c r="AX577" s="29"/>
    </row>
    <row r="578" ht="15.75" customHeight="1">
      <c r="A578" s="29"/>
      <c r="B578" s="29"/>
      <c r="C578" s="31"/>
      <c r="D578" s="29"/>
      <c r="E578" s="29"/>
      <c r="F578" s="29"/>
      <c r="G578" s="29"/>
      <c r="H578" s="29"/>
      <c r="I578" s="29"/>
      <c r="J578" s="29"/>
      <c r="K578" s="29"/>
      <c r="L578" s="29"/>
      <c r="M578" s="29"/>
      <c r="N578" s="29"/>
      <c r="O578" s="29"/>
      <c r="P578" s="29"/>
      <c r="Q578" s="29"/>
      <c r="R578" s="29"/>
      <c r="S578" s="29"/>
      <c r="T578" s="29"/>
      <c r="U578" s="29"/>
      <c r="V578" s="29"/>
      <c r="W578" s="29"/>
      <c r="X578" s="29"/>
      <c r="Y578" s="29"/>
      <c r="Z578" s="29"/>
      <c r="AA578" s="29"/>
      <c r="AB578" s="29"/>
      <c r="AC578" s="29"/>
      <c r="AD578" s="29"/>
      <c r="AE578" s="29"/>
      <c r="AF578" s="29"/>
      <c r="AG578" s="29"/>
      <c r="AH578" s="29"/>
      <c r="AI578" s="29"/>
      <c r="AJ578" s="29"/>
      <c r="AK578" s="29"/>
      <c r="AL578" s="29"/>
      <c r="AM578" s="29"/>
      <c r="AN578" s="29"/>
      <c r="AO578" s="29"/>
      <c r="AP578" s="29"/>
      <c r="AQ578" s="29"/>
      <c r="AR578" s="29"/>
      <c r="AS578" s="29"/>
      <c r="AT578" s="29"/>
      <c r="AU578" s="29"/>
      <c r="AV578" s="29"/>
      <c r="AW578" s="29"/>
      <c r="AX578" s="29"/>
    </row>
    <row r="579" ht="15.75" customHeight="1">
      <c r="A579" s="29"/>
      <c r="B579" s="29"/>
      <c r="C579" s="31"/>
      <c r="D579" s="29"/>
      <c r="E579" s="29"/>
      <c r="F579" s="29"/>
      <c r="G579" s="29"/>
      <c r="H579" s="29"/>
      <c r="I579" s="29"/>
      <c r="J579" s="29"/>
      <c r="K579" s="29"/>
      <c r="L579" s="29"/>
      <c r="M579" s="29"/>
      <c r="N579" s="29"/>
      <c r="O579" s="29"/>
      <c r="P579" s="29"/>
      <c r="Q579" s="29"/>
      <c r="R579" s="29"/>
      <c r="S579" s="29"/>
      <c r="T579" s="29"/>
      <c r="U579" s="29"/>
      <c r="V579" s="29"/>
      <c r="W579" s="29"/>
      <c r="X579" s="29"/>
      <c r="Y579" s="29"/>
      <c r="Z579" s="29"/>
      <c r="AA579" s="29"/>
      <c r="AB579" s="29"/>
      <c r="AC579" s="29"/>
      <c r="AD579" s="29"/>
      <c r="AE579" s="29"/>
      <c r="AF579" s="29"/>
      <c r="AG579" s="29"/>
      <c r="AH579" s="29"/>
      <c r="AI579" s="29"/>
      <c r="AJ579" s="29"/>
      <c r="AK579" s="29"/>
      <c r="AL579" s="29"/>
      <c r="AM579" s="29"/>
      <c r="AN579" s="29"/>
      <c r="AO579" s="29"/>
      <c r="AP579" s="29"/>
      <c r="AQ579" s="29"/>
      <c r="AR579" s="29"/>
      <c r="AS579" s="29"/>
      <c r="AT579" s="29"/>
      <c r="AU579" s="29"/>
      <c r="AV579" s="29"/>
      <c r="AW579" s="29"/>
      <c r="AX579" s="29"/>
    </row>
    <row r="580" ht="15.75" customHeight="1">
      <c r="A580" s="29"/>
      <c r="B580" s="29"/>
      <c r="C580" s="31"/>
      <c r="D580" s="29"/>
      <c r="E580" s="29"/>
      <c r="F580" s="29"/>
      <c r="G580" s="29"/>
      <c r="H580" s="29"/>
      <c r="I580" s="29"/>
      <c r="J580" s="29"/>
      <c r="K580" s="29"/>
      <c r="L580" s="29"/>
      <c r="M580" s="29"/>
      <c r="N580" s="29"/>
      <c r="O580" s="29"/>
      <c r="P580" s="29"/>
      <c r="Q580" s="29"/>
      <c r="R580" s="29"/>
      <c r="S580" s="29"/>
      <c r="T580" s="29"/>
      <c r="U580" s="29"/>
      <c r="V580" s="29"/>
      <c r="W580" s="29"/>
      <c r="X580" s="29"/>
      <c r="Y580" s="29"/>
      <c r="Z580" s="29"/>
      <c r="AA580" s="29"/>
      <c r="AB580" s="29"/>
      <c r="AC580" s="29"/>
      <c r="AD580" s="29"/>
      <c r="AE580" s="29"/>
      <c r="AF580" s="29"/>
      <c r="AG580" s="29"/>
      <c r="AH580" s="29"/>
      <c r="AI580" s="29"/>
      <c r="AJ580" s="29"/>
      <c r="AK580" s="29"/>
      <c r="AL580" s="29"/>
      <c r="AM580" s="29"/>
      <c r="AN580" s="29"/>
      <c r="AO580" s="29"/>
      <c r="AP580" s="29"/>
      <c r="AQ580" s="29"/>
      <c r="AR580" s="29"/>
      <c r="AS580" s="29"/>
      <c r="AT580" s="29"/>
      <c r="AU580" s="29"/>
      <c r="AV580" s="29"/>
      <c r="AW580" s="29"/>
      <c r="AX580" s="29"/>
    </row>
    <row r="581" ht="15.75" customHeight="1">
      <c r="A581" s="29"/>
      <c r="B581" s="29"/>
      <c r="C581" s="31"/>
      <c r="D581" s="29"/>
      <c r="E581" s="29"/>
      <c r="F581" s="29"/>
      <c r="G581" s="29"/>
      <c r="H581" s="29"/>
      <c r="I581" s="29"/>
      <c r="J581" s="29"/>
      <c r="K581" s="29"/>
      <c r="L581" s="29"/>
      <c r="M581" s="29"/>
      <c r="N581" s="29"/>
      <c r="O581" s="29"/>
      <c r="P581" s="29"/>
      <c r="Q581" s="29"/>
      <c r="R581" s="29"/>
      <c r="S581" s="29"/>
      <c r="T581" s="29"/>
      <c r="U581" s="29"/>
      <c r="V581" s="29"/>
      <c r="W581" s="29"/>
      <c r="X581" s="29"/>
      <c r="Y581" s="29"/>
      <c r="Z581" s="29"/>
      <c r="AA581" s="29"/>
      <c r="AB581" s="29"/>
      <c r="AC581" s="29"/>
      <c r="AD581" s="29"/>
      <c r="AE581" s="29"/>
      <c r="AF581" s="29"/>
      <c r="AG581" s="29"/>
      <c r="AH581" s="29"/>
      <c r="AI581" s="29"/>
      <c r="AJ581" s="29"/>
      <c r="AK581" s="29"/>
      <c r="AL581" s="29"/>
      <c r="AM581" s="29"/>
      <c r="AN581" s="29"/>
      <c r="AO581" s="29"/>
      <c r="AP581" s="29"/>
      <c r="AQ581" s="29"/>
      <c r="AR581" s="29"/>
      <c r="AS581" s="29"/>
      <c r="AT581" s="29"/>
      <c r="AU581" s="29"/>
      <c r="AV581" s="29"/>
      <c r="AW581" s="29"/>
      <c r="AX581" s="29"/>
    </row>
    <row r="582" ht="15.75" customHeight="1">
      <c r="A582" s="29"/>
      <c r="B582" s="29"/>
      <c r="C582" s="31"/>
      <c r="D582" s="29"/>
      <c r="E582" s="29"/>
      <c r="F582" s="29"/>
      <c r="G582" s="29"/>
      <c r="H582" s="29"/>
      <c r="I582" s="29"/>
      <c r="J582" s="29"/>
      <c r="K582" s="29"/>
      <c r="L582" s="29"/>
      <c r="M582" s="29"/>
      <c r="N582" s="29"/>
      <c r="O582" s="29"/>
      <c r="P582" s="29"/>
      <c r="Q582" s="29"/>
      <c r="R582" s="29"/>
      <c r="S582" s="29"/>
      <c r="T582" s="29"/>
      <c r="U582" s="29"/>
      <c r="V582" s="29"/>
      <c r="W582" s="29"/>
      <c r="X582" s="29"/>
      <c r="Y582" s="29"/>
      <c r="Z582" s="29"/>
      <c r="AA582" s="29"/>
      <c r="AB582" s="29"/>
      <c r="AC582" s="29"/>
      <c r="AD582" s="29"/>
      <c r="AE582" s="29"/>
      <c r="AF582" s="29"/>
      <c r="AG582" s="29"/>
      <c r="AH582" s="29"/>
      <c r="AI582" s="29"/>
      <c r="AJ582" s="29"/>
      <c r="AK582" s="29"/>
      <c r="AL582" s="29"/>
      <c r="AM582" s="29"/>
      <c r="AN582" s="29"/>
      <c r="AO582" s="29"/>
      <c r="AP582" s="29"/>
      <c r="AQ582" s="29"/>
      <c r="AR582" s="29"/>
      <c r="AS582" s="29"/>
      <c r="AT582" s="29"/>
      <c r="AU582" s="29"/>
      <c r="AV582" s="29"/>
      <c r="AW582" s="29"/>
      <c r="AX582" s="29"/>
    </row>
    <row r="583" ht="15.75" customHeight="1">
      <c r="A583" s="29"/>
      <c r="B583" s="29"/>
      <c r="C583" s="31"/>
      <c r="D583" s="29"/>
      <c r="E583" s="29"/>
      <c r="F583" s="29"/>
      <c r="G583" s="29"/>
      <c r="H583" s="29"/>
      <c r="I583" s="29"/>
      <c r="J583" s="29"/>
      <c r="K583" s="29"/>
      <c r="L583" s="29"/>
      <c r="M583" s="29"/>
      <c r="N583" s="29"/>
      <c r="O583" s="29"/>
      <c r="P583" s="29"/>
      <c r="Q583" s="29"/>
      <c r="R583" s="29"/>
      <c r="S583" s="29"/>
      <c r="T583" s="29"/>
      <c r="U583" s="29"/>
      <c r="V583" s="29"/>
      <c r="W583" s="29"/>
      <c r="X583" s="29"/>
      <c r="Y583" s="29"/>
      <c r="Z583" s="29"/>
      <c r="AA583" s="29"/>
      <c r="AB583" s="29"/>
      <c r="AC583" s="29"/>
      <c r="AD583" s="29"/>
      <c r="AE583" s="29"/>
      <c r="AF583" s="29"/>
      <c r="AG583" s="29"/>
      <c r="AH583" s="29"/>
      <c r="AI583" s="29"/>
      <c r="AJ583" s="29"/>
      <c r="AK583" s="29"/>
      <c r="AL583" s="29"/>
      <c r="AM583" s="29"/>
      <c r="AN583" s="29"/>
      <c r="AO583" s="29"/>
      <c r="AP583" s="29"/>
      <c r="AQ583" s="29"/>
      <c r="AR583" s="29"/>
      <c r="AS583" s="29"/>
      <c r="AT583" s="29"/>
      <c r="AU583" s="29"/>
      <c r="AV583" s="29"/>
      <c r="AW583" s="29"/>
      <c r="AX583" s="29"/>
    </row>
    <row r="584" ht="15.75" customHeight="1">
      <c r="A584" s="29"/>
      <c r="B584" s="29"/>
      <c r="C584" s="31"/>
      <c r="D584" s="29"/>
      <c r="E584" s="29"/>
      <c r="F584" s="29"/>
      <c r="G584" s="29"/>
      <c r="H584" s="29"/>
      <c r="I584" s="29"/>
      <c r="J584" s="29"/>
      <c r="K584" s="29"/>
      <c r="L584" s="29"/>
      <c r="M584" s="29"/>
      <c r="N584" s="29"/>
      <c r="O584" s="29"/>
      <c r="P584" s="29"/>
      <c r="Q584" s="29"/>
      <c r="R584" s="29"/>
      <c r="S584" s="29"/>
      <c r="T584" s="29"/>
      <c r="U584" s="29"/>
      <c r="V584" s="29"/>
      <c r="W584" s="29"/>
      <c r="X584" s="29"/>
      <c r="Y584" s="29"/>
      <c r="Z584" s="29"/>
      <c r="AA584" s="29"/>
      <c r="AB584" s="29"/>
      <c r="AC584" s="29"/>
      <c r="AD584" s="29"/>
      <c r="AE584" s="29"/>
      <c r="AF584" s="29"/>
      <c r="AG584" s="29"/>
      <c r="AH584" s="29"/>
      <c r="AI584" s="29"/>
      <c r="AJ584" s="29"/>
      <c r="AK584" s="29"/>
      <c r="AL584" s="29"/>
      <c r="AM584" s="29"/>
      <c r="AN584" s="29"/>
      <c r="AO584" s="29"/>
      <c r="AP584" s="29"/>
      <c r="AQ584" s="29"/>
      <c r="AR584" s="29"/>
      <c r="AS584" s="29"/>
      <c r="AT584" s="29"/>
      <c r="AU584" s="29"/>
      <c r="AV584" s="29"/>
      <c r="AW584" s="29"/>
      <c r="AX584" s="29"/>
    </row>
    <row r="585" ht="15.75" customHeight="1">
      <c r="A585" s="29"/>
      <c r="B585" s="29"/>
      <c r="C585" s="31"/>
      <c r="D585" s="29"/>
      <c r="E585" s="29"/>
      <c r="F585" s="29"/>
      <c r="G585" s="29"/>
      <c r="H585" s="29"/>
      <c r="I585" s="29"/>
      <c r="J585" s="29"/>
      <c r="K585" s="29"/>
      <c r="L585" s="29"/>
      <c r="M585" s="29"/>
      <c r="N585" s="29"/>
      <c r="O585" s="29"/>
      <c r="P585" s="29"/>
      <c r="Q585" s="29"/>
      <c r="R585" s="29"/>
      <c r="S585" s="29"/>
      <c r="T585" s="29"/>
      <c r="U585" s="29"/>
      <c r="V585" s="29"/>
      <c r="W585" s="29"/>
      <c r="X585" s="29"/>
      <c r="Y585" s="29"/>
      <c r="Z585" s="29"/>
      <c r="AA585" s="29"/>
      <c r="AB585" s="29"/>
      <c r="AC585" s="29"/>
      <c r="AD585" s="29"/>
      <c r="AE585" s="29"/>
      <c r="AF585" s="29"/>
      <c r="AG585" s="29"/>
      <c r="AH585" s="29"/>
      <c r="AI585" s="29"/>
      <c r="AJ585" s="29"/>
      <c r="AK585" s="29"/>
      <c r="AL585" s="29"/>
      <c r="AM585" s="29"/>
      <c r="AN585" s="29"/>
      <c r="AO585" s="29"/>
      <c r="AP585" s="29"/>
      <c r="AQ585" s="29"/>
      <c r="AR585" s="29"/>
      <c r="AS585" s="29"/>
      <c r="AT585" s="29"/>
      <c r="AU585" s="29"/>
      <c r="AV585" s="29"/>
      <c r="AW585" s="29"/>
      <c r="AX585" s="29"/>
    </row>
  </sheetData>
  <autoFilter ref="$A$1:$A$585"/>
  <conditionalFormatting sqref="T32">
    <cfRule type="expression" dxfId="1" priority="1" stopIfTrue="1">
      <formula>$A31="begin repeat"</formula>
    </cfRule>
  </conditionalFormatting>
  <conditionalFormatting sqref="B1:C585 J1:J585 M1:O585 D10:H107 T22">
    <cfRule type="expression" dxfId="0" priority="2" stopIfTrue="1">
      <formula>$A1="begin group"</formula>
    </cfRule>
  </conditionalFormatting>
  <conditionalFormatting sqref="B1:C585 M1:O585 U1:U30 D10:H107 T22 U32:U585">
    <cfRule type="expression" dxfId="1" priority="3" stopIfTrue="1">
      <formula>$A1="begin repeat"</formula>
    </cfRule>
  </conditionalFormatting>
  <conditionalFormatting sqref="B1:F585 J1:J585 G10:H107 T22">
    <cfRule type="expression" dxfId="31" priority="4" stopIfTrue="1">
      <formula>$A1="enumerator"</formula>
    </cfRule>
  </conditionalFormatting>
  <conditionalFormatting sqref="B1:F585 J1:J585 G10:H107 T22">
    <cfRule type="expression" dxfId="2" priority="5" stopIfTrue="1">
      <formula>$A1="text"</formula>
    </cfRule>
  </conditionalFormatting>
  <conditionalFormatting sqref="B1:F585 K1:L585 G10:H107 T22">
    <cfRule type="expression" dxfId="3" priority="6" stopIfTrue="1">
      <formula>$A1="integer"</formula>
    </cfRule>
  </conditionalFormatting>
  <conditionalFormatting sqref="B1:F585 K1:L585 G10:H107 T22">
    <cfRule type="expression" dxfId="4" priority="7" stopIfTrue="1">
      <formula>$A1="decimal"</formula>
    </cfRule>
  </conditionalFormatting>
  <conditionalFormatting sqref="B1:C585 J1:J585 D10:H107 T22">
    <cfRule type="expression" dxfId="5" priority="8" stopIfTrue="1">
      <formula>OR(AND(LEFT($A1, 16)="select_multiple ", LEN($A1)&gt;16, NOT(ISNUMBER(SEARCH(" ", $A1, 17)))), AND(LEFT($A1, 11)="select_one ", LEN($A1)&gt;11, NOT(ISNUMBER(SEARCH(" ", $A1, 12)))))</formula>
    </cfRule>
  </conditionalFormatting>
  <conditionalFormatting sqref="B1:B585 J1:J585 T22 C98">
    <cfRule type="expression" dxfId="6" priority="9" stopIfTrue="1">
      <formula>OR($A1="audio audit", $A1="text audit", $A1="speed violations count", $A1="speed violations list", $A1="speed violations audit")</formula>
    </cfRule>
  </conditionalFormatting>
  <conditionalFormatting sqref="B1:C585 D10:H107 T22">
    <cfRule type="expression" dxfId="32" priority="10" stopIfTrue="1">
      <formula>$A1="file"</formula>
    </cfRule>
  </conditionalFormatting>
  <conditionalFormatting sqref="B1:C585 D10:H107 T22">
    <cfRule type="expression" dxfId="7" priority="11" stopIfTrue="1">
      <formula>$A1="note"</formula>
    </cfRule>
  </conditionalFormatting>
  <conditionalFormatting sqref="B1:C585 D10:H107 T22">
    <cfRule type="expression" dxfId="8" priority="12" stopIfTrue="1">
      <formula>$A1="barcode"</formula>
    </cfRule>
  </conditionalFormatting>
  <conditionalFormatting sqref="B1:C585 D10:H107 T22">
    <cfRule type="expression" dxfId="9" priority="13" stopIfTrue="1">
      <formula>OR($A1="geopoint", $A1="geoshape", $A1="geotrace")</formula>
    </cfRule>
  </conditionalFormatting>
  <conditionalFormatting sqref="B1:B585 T1:T585 C98">
    <cfRule type="expression" dxfId="10" priority="14" stopIfTrue="1">
      <formula>OR($A1="calculate", $A1="calculate_here")</formula>
    </cfRule>
  </conditionalFormatting>
  <conditionalFormatting sqref="B1:C585 J1:J585 D10:H107 T22">
    <cfRule type="expression" dxfId="11" priority="15" stopIfTrue="1">
      <formula>OR($A1="date", $A1="datetime", $A1="time")</formula>
    </cfRule>
  </conditionalFormatting>
  <conditionalFormatting sqref="B1:C585 J1:J585 D10:H107 T22">
    <cfRule type="expression" dxfId="12" priority="16" stopIfTrue="1">
      <formula>$A1="image"</formula>
    </cfRule>
  </conditionalFormatting>
  <conditionalFormatting sqref="B1:C585 D10:H107 T22">
    <cfRule type="expression" dxfId="13" priority="17" stopIfTrue="1">
      <formula>OR($A1="audio", $A1="video")</formula>
    </cfRule>
  </conditionalFormatting>
  <conditionalFormatting sqref="A1:AC585 AD56:AX57">
    <cfRule type="expression" dxfId="33" priority="18" stopIfTrue="1">
      <formula>$A1="file"</formula>
    </cfRule>
  </conditionalFormatting>
  <conditionalFormatting sqref="A1:AC585 AD56:AX57">
    <cfRule type="expression" dxfId="34" priority="19" stopIfTrue="1">
      <formula>$A1="enumerator"</formula>
    </cfRule>
  </conditionalFormatting>
  <conditionalFormatting sqref="A1:AC585 AD56:AX57">
    <cfRule type="expression" dxfId="35" priority="20" stopIfTrue="1">
      <formula>OR(AND(LEFT($A1, 14)="sensor_stream ", LEN($A1)&gt;14, NOT(ISNUMBER(SEARCH(" ", $A1, 15)))), AND(LEFT($A1, 17)="sensor_statistic ", LEN($A1)&gt;17, NOT(ISNUMBER(SEARCH(" ", $A1, 18)))))</formula>
    </cfRule>
  </conditionalFormatting>
  <conditionalFormatting sqref="A1:AC585 AD56:AX57">
    <cfRule type="expression" dxfId="14" priority="21" stopIfTrue="1">
      <formula>$A1="comments"</formula>
    </cfRule>
  </conditionalFormatting>
  <conditionalFormatting sqref="A1:AC585 AD56:AX57">
    <cfRule type="expression" dxfId="15" priority="22" stopIfTrue="1">
      <formula>OR($A1="audio", $A1="video")</formula>
    </cfRule>
  </conditionalFormatting>
  <conditionalFormatting sqref="A1:AC585 AD56:AX57">
    <cfRule type="expression" dxfId="16" priority="23" stopIfTrue="1">
      <formula>$A1="image"</formula>
    </cfRule>
  </conditionalFormatting>
  <conditionalFormatting sqref="A1:AC585 AD56:AX57">
    <cfRule type="expression" dxfId="17" priority="24" stopIfTrue="1">
      <formula>OR($A1="date", $A1="datetime", $A1="time")</formula>
    </cfRule>
  </conditionalFormatting>
  <conditionalFormatting sqref="A1:AC585 AD56:AX57">
    <cfRule type="expression" dxfId="18" priority="25" stopIfTrue="1">
      <formula>OR($A1="calculate", $A1="calculate_here")</formula>
    </cfRule>
  </conditionalFormatting>
  <conditionalFormatting sqref="A1:AC585 AD56:AX57">
    <cfRule type="expression" dxfId="19" priority="26" stopIfTrue="1">
      <formula>$A1="note"</formula>
    </cfRule>
  </conditionalFormatting>
  <conditionalFormatting sqref="A1:AC585 AD56:AX57">
    <cfRule type="expression" dxfId="20" priority="27" stopIfTrue="1">
      <formula>$A1="barcode"</formula>
    </cfRule>
  </conditionalFormatting>
  <conditionalFormatting sqref="A1:AC585 AD56:AX57">
    <cfRule type="expression" dxfId="21" priority="28" stopIfTrue="1">
      <formula>OR($A1="geopoint", $A1="geoshape", $A1="geotrace")</formula>
    </cfRule>
  </conditionalFormatting>
  <conditionalFormatting sqref="A1:AC585 AD56:AX57">
    <cfRule type="expression" dxfId="22" priority="29" stopIfTrue="1">
      <formula>OR($A1="audio audit", $A1="text audit", $A1="speed violations count", $A1="speed violations list", $A1="speed violations audit")</formula>
    </cfRule>
  </conditionalFormatting>
  <conditionalFormatting sqref="A1:AC585 AD56:AX57">
    <cfRule type="expression" dxfId="23" priority="30" stopIfTrue="1">
      <formula>OR($A1="username", $A1="phonenumber", $A1="start", $A1="end", $A1="deviceid", $A1="subscriberid", $A1="simserial", $A1="caseid")</formula>
    </cfRule>
  </conditionalFormatting>
  <conditionalFormatting sqref="A1:AC585 AD56:AX57">
    <cfRule type="expression" dxfId="24" priority="31" stopIfTrue="1">
      <formula>OR(AND(LEFT($A1, 16)="select_multiple ", LEN($A1)&gt;16, NOT(ISNUMBER(SEARCH(" ", $A1, 17)))), AND(LEFT($A1, 11)="select_one ", LEN($A1)&gt;11, NOT(ISNUMBER(SEARCH(" ", $A1, 12)))))</formula>
    </cfRule>
  </conditionalFormatting>
  <conditionalFormatting sqref="A1:AC585 AD56:AX57">
    <cfRule type="expression" dxfId="25" priority="32" stopIfTrue="1">
      <formula>$A1="decimal"</formula>
    </cfRule>
  </conditionalFormatting>
  <conditionalFormatting sqref="A1:AC585 AD56:AX57">
    <cfRule type="expression" dxfId="26" priority="33" stopIfTrue="1">
      <formula>$A1="integer"</formula>
    </cfRule>
  </conditionalFormatting>
  <conditionalFormatting sqref="A1:AC585 AD56:AX57">
    <cfRule type="expression" dxfId="27" priority="34" stopIfTrue="1">
      <formula>$A1="text"</formula>
    </cfRule>
  </conditionalFormatting>
  <conditionalFormatting sqref="A1:AC585 AD56:AX57">
    <cfRule type="expression" dxfId="28" priority="35" stopIfTrue="1">
      <formula>$A1="end repeat"</formula>
    </cfRule>
  </conditionalFormatting>
  <conditionalFormatting sqref="A1:AC585 AD56:AX57">
    <cfRule type="expression" dxfId="28" priority="36" stopIfTrue="1">
      <formula>$A1="begin repeat"</formula>
    </cfRule>
  </conditionalFormatting>
  <conditionalFormatting sqref="A1:AC585 AD56:AX57">
    <cfRule type="expression" dxfId="29" priority="37" stopIfTrue="1">
      <formula>$A1="end group"</formula>
    </cfRule>
  </conditionalFormatting>
  <conditionalFormatting sqref="A1:AC585 AD56:AX57">
    <cfRule type="expression" dxfId="29" priority="38" stopIfTrue="1">
      <formula>$A1="begin group"</formula>
    </cfRule>
  </conditionalFormatting>
  <conditionalFormatting sqref="B1:B585 T22 C98">
    <cfRule type="expression" dxfId="30" priority="39" stopIfTrue="1">
      <formula>$A1="comments"</formula>
    </cfRule>
  </conditionalFormatting>
  <conditionalFormatting sqref="B1:B585 J1:J585 T22 C98">
    <cfRule type="expression" dxfId="36" priority="40" stopIfTrue="1">
      <formula>OR(AND(LEFT($A1, 14)="sensor_stream ", LEN($A1)&gt;14, NOT(ISNUMBER(SEARCH(" ", $A1, 15)))), AND(LEFT($A1, 17)="sensor_statistic ", LEN($A1)&gt;17, NOT(ISNUMBER(SEARCH(" ", $A1, 18)))))</formula>
    </cfRule>
  </conditionalFormatting>
  <printOptions/>
  <pageMargins bottom="0.9840277777777777" footer="0.0" header="0.0" left="0.7479166666666667" right="0.7479166666666667" top="0.9840277777777777"/>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5.44"/>
    <col customWidth="1" min="2" max="2" width="14.44"/>
    <col customWidth="1" min="3" max="3" width="39.67"/>
    <col customWidth="1" min="4" max="4" width="21.89"/>
    <col customWidth="1" min="5" max="5" width="21.78"/>
    <col customWidth="1" min="6" max="32" width="10.78"/>
  </cols>
  <sheetData>
    <row r="1" ht="18.0" customHeight="1">
      <c r="A1" s="8" t="s">
        <v>4</v>
      </c>
      <c r="B1" s="10" t="s">
        <v>8</v>
      </c>
      <c r="C1" s="12" t="s">
        <v>6</v>
      </c>
      <c r="D1" s="15" t="s">
        <v>12</v>
      </c>
      <c r="E1" s="15" t="s">
        <v>13</v>
      </c>
      <c r="F1" s="15" t="s">
        <v>14</v>
      </c>
      <c r="G1" s="10" t="s">
        <v>15</v>
      </c>
      <c r="H1" s="16" t="s">
        <v>16</v>
      </c>
      <c r="I1" s="18" t="s">
        <v>17</v>
      </c>
      <c r="J1" s="18" t="s">
        <v>18</v>
      </c>
      <c r="K1" s="20"/>
      <c r="L1" s="20"/>
      <c r="M1" s="20"/>
      <c r="N1" s="20"/>
      <c r="O1" s="20"/>
      <c r="P1" s="20"/>
      <c r="Q1" s="20"/>
      <c r="R1" s="20"/>
      <c r="S1" s="20"/>
      <c r="T1" s="20"/>
      <c r="U1" s="20"/>
      <c r="V1" s="20"/>
      <c r="W1" s="20"/>
      <c r="X1" s="20"/>
      <c r="Y1" s="20"/>
      <c r="Z1" s="20"/>
      <c r="AA1" s="20"/>
      <c r="AB1" s="20"/>
      <c r="AC1" s="20"/>
      <c r="AD1" s="20"/>
      <c r="AE1" s="20"/>
      <c r="AF1" s="20"/>
    </row>
    <row r="2" ht="15.75" customHeight="1">
      <c r="A2" s="25" t="s">
        <v>44</v>
      </c>
      <c r="B2" s="26">
        <v>1.0</v>
      </c>
      <c r="C2" s="27" t="s">
        <v>46</v>
      </c>
      <c r="D2" s="28" t="s">
        <v>47</v>
      </c>
      <c r="E2" s="28" t="s">
        <v>48</v>
      </c>
      <c r="F2" s="27"/>
      <c r="G2" s="27"/>
      <c r="H2" s="30"/>
      <c r="I2" s="30"/>
      <c r="J2" s="30"/>
      <c r="K2" s="30"/>
      <c r="L2" s="30"/>
      <c r="M2" s="30"/>
      <c r="N2" s="30"/>
      <c r="O2" s="30"/>
      <c r="P2" s="30"/>
      <c r="Q2" s="30"/>
      <c r="R2" s="30"/>
      <c r="S2" s="30"/>
      <c r="T2" s="30"/>
      <c r="U2" s="30"/>
      <c r="V2" s="30"/>
      <c r="W2" s="30"/>
      <c r="X2" s="30"/>
      <c r="Y2" s="30"/>
      <c r="Z2" s="30"/>
      <c r="AA2" s="30"/>
      <c r="AB2" s="30"/>
      <c r="AC2" s="30"/>
      <c r="AD2" s="30"/>
      <c r="AE2" s="30"/>
      <c r="AF2" s="30"/>
    </row>
    <row r="3" ht="15.75" customHeight="1">
      <c r="A3" s="37" t="s">
        <v>44</v>
      </c>
      <c r="B3" s="39">
        <v>0.0</v>
      </c>
      <c r="C3" s="41" t="s">
        <v>55</v>
      </c>
      <c r="D3" s="42" t="s">
        <v>58</v>
      </c>
      <c r="E3" s="42" t="s">
        <v>59</v>
      </c>
      <c r="F3" s="41"/>
      <c r="G3" s="41"/>
      <c r="H3" s="20"/>
      <c r="I3" s="20"/>
      <c r="J3" s="20"/>
      <c r="K3" s="20"/>
      <c r="L3" s="20"/>
      <c r="M3" s="20"/>
      <c r="N3" s="20"/>
      <c r="O3" s="20"/>
      <c r="P3" s="20"/>
      <c r="Q3" s="20"/>
      <c r="R3" s="20"/>
      <c r="S3" s="20"/>
      <c r="T3" s="20"/>
      <c r="U3" s="20"/>
      <c r="V3" s="20"/>
      <c r="W3" s="20"/>
      <c r="X3" s="20"/>
      <c r="Y3" s="20"/>
      <c r="Z3" s="20"/>
      <c r="AA3" s="20"/>
      <c r="AB3" s="20"/>
      <c r="AC3" s="20"/>
      <c r="AD3" s="20"/>
      <c r="AE3" s="20"/>
      <c r="AF3" s="20"/>
    </row>
    <row r="4" ht="15.75" customHeight="1">
      <c r="A4" s="37"/>
      <c r="B4" s="41"/>
      <c r="C4" s="41"/>
      <c r="D4" s="41"/>
      <c r="E4" s="41"/>
      <c r="F4" s="41"/>
      <c r="G4" s="41"/>
      <c r="H4" s="20"/>
      <c r="I4" s="20"/>
      <c r="J4" s="20"/>
      <c r="K4" s="20"/>
      <c r="L4" s="20"/>
      <c r="M4" s="20"/>
      <c r="N4" s="20"/>
      <c r="O4" s="20"/>
      <c r="P4" s="20"/>
      <c r="Q4" s="20"/>
      <c r="R4" s="20"/>
      <c r="S4" s="20"/>
      <c r="T4" s="20"/>
      <c r="U4" s="20"/>
      <c r="V4" s="20"/>
      <c r="W4" s="20"/>
      <c r="X4" s="20"/>
      <c r="Y4" s="20"/>
      <c r="Z4" s="20"/>
      <c r="AA4" s="20"/>
      <c r="AB4" s="20"/>
      <c r="AC4" s="20"/>
      <c r="AD4" s="20"/>
      <c r="AE4" s="20"/>
      <c r="AF4" s="20"/>
    </row>
    <row r="5" ht="15.75" customHeight="1">
      <c r="A5" s="43" t="s">
        <v>63</v>
      </c>
      <c r="B5" s="44">
        <v>3.0</v>
      </c>
      <c r="C5" s="45" t="s">
        <v>65</v>
      </c>
      <c r="D5" s="47" t="s">
        <v>66</v>
      </c>
      <c r="E5" s="47" t="s">
        <v>67</v>
      </c>
      <c r="F5" s="49"/>
      <c r="G5" s="50">
        <v>3.0</v>
      </c>
      <c r="H5" s="49"/>
      <c r="I5" s="49"/>
      <c r="J5" s="49"/>
      <c r="K5" s="49"/>
      <c r="L5" s="49"/>
      <c r="M5" s="49"/>
      <c r="N5" s="49"/>
      <c r="O5" s="49"/>
      <c r="P5" s="49"/>
      <c r="Q5" s="49"/>
      <c r="R5" s="49"/>
      <c r="S5" s="49"/>
      <c r="T5" s="49"/>
      <c r="U5" s="49"/>
      <c r="V5" s="49"/>
      <c r="W5" s="49"/>
      <c r="X5" s="49"/>
      <c r="Y5" s="49"/>
      <c r="Z5" s="49"/>
      <c r="AA5" s="49"/>
      <c r="AB5" s="49"/>
      <c r="AC5" s="49"/>
      <c r="AD5" s="49"/>
      <c r="AE5" s="49"/>
      <c r="AF5" s="49"/>
    </row>
    <row r="6" ht="15.75" customHeight="1">
      <c r="A6" s="25" t="s">
        <v>63</v>
      </c>
      <c r="B6" s="52">
        <v>5.0</v>
      </c>
      <c r="C6" s="53" t="s">
        <v>76</v>
      </c>
      <c r="D6" s="54" t="s">
        <v>78</v>
      </c>
      <c r="E6" s="54" t="s">
        <v>80</v>
      </c>
      <c r="F6" s="30"/>
      <c r="G6" s="55">
        <v>5.0</v>
      </c>
      <c r="H6" s="30"/>
      <c r="I6" s="30"/>
      <c r="J6" s="30"/>
      <c r="K6" s="30"/>
      <c r="L6" s="30"/>
      <c r="M6" s="30"/>
      <c r="N6" s="30"/>
      <c r="O6" s="30"/>
      <c r="P6" s="30"/>
      <c r="Q6" s="30"/>
      <c r="R6" s="30"/>
      <c r="S6" s="30"/>
      <c r="T6" s="30"/>
      <c r="U6" s="30"/>
      <c r="V6" s="30"/>
      <c r="W6" s="30"/>
      <c r="X6" s="30"/>
      <c r="Y6" s="30"/>
      <c r="Z6" s="30"/>
      <c r="AA6" s="30"/>
      <c r="AB6" s="30"/>
      <c r="AC6" s="30"/>
      <c r="AD6" s="30"/>
      <c r="AE6" s="30"/>
      <c r="AF6" s="30"/>
    </row>
    <row r="7" ht="15.75" customHeight="1">
      <c r="A7" s="37"/>
      <c r="B7" s="41"/>
      <c r="C7" s="41"/>
      <c r="D7" s="41"/>
      <c r="E7" s="41"/>
      <c r="F7" s="41"/>
      <c r="G7" s="41"/>
      <c r="H7" s="20"/>
      <c r="I7" s="20"/>
      <c r="J7" s="20"/>
      <c r="K7" s="20"/>
      <c r="L7" s="20"/>
      <c r="M7" s="20"/>
      <c r="N7" s="20"/>
      <c r="O7" s="20"/>
      <c r="P7" s="20"/>
      <c r="Q7" s="20"/>
      <c r="R7" s="20"/>
      <c r="S7" s="20"/>
      <c r="T7" s="20"/>
      <c r="U7" s="20"/>
      <c r="V7" s="20"/>
      <c r="W7" s="20"/>
      <c r="X7" s="20"/>
      <c r="Y7" s="20"/>
      <c r="Z7" s="20"/>
      <c r="AA7" s="20"/>
      <c r="AB7" s="20"/>
      <c r="AC7" s="20"/>
      <c r="AD7" s="20"/>
      <c r="AE7" s="20"/>
      <c r="AF7" s="20"/>
    </row>
    <row r="8" ht="15.75" customHeight="1">
      <c r="A8" s="25" t="s">
        <v>103</v>
      </c>
      <c r="B8" s="26">
        <v>1.0</v>
      </c>
      <c r="C8" s="61" t="s">
        <v>46</v>
      </c>
      <c r="D8" s="62" t="s">
        <v>47</v>
      </c>
      <c r="E8" s="62" t="s">
        <v>48</v>
      </c>
      <c r="F8" s="30"/>
      <c r="G8" s="30"/>
      <c r="H8" s="30"/>
      <c r="I8" s="30"/>
      <c r="J8" s="30"/>
      <c r="K8" s="30"/>
      <c r="L8" s="30"/>
      <c r="M8" s="30"/>
      <c r="N8" s="30"/>
      <c r="O8" s="30"/>
      <c r="P8" s="30"/>
      <c r="Q8" s="30"/>
      <c r="R8" s="30"/>
      <c r="S8" s="30"/>
      <c r="T8" s="30"/>
      <c r="U8" s="30"/>
      <c r="V8" s="30"/>
      <c r="W8" s="30"/>
      <c r="X8" s="30"/>
      <c r="Y8" s="30"/>
      <c r="Z8" s="30"/>
      <c r="AA8" s="30"/>
      <c r="AB8" s="30"/>
      <c r="AC8" s="30"/>
      <c r="AD8" s="30"/>
      <c r="AE8" s="30"/>
      <c r="AF8" s="30"/>
    </row>
    <row r="9" ht="15.75" customHeight="1">
      <c r="A9" s="25" t="s">
        <v>103</v>
      </c>
      <c r="B9" s="26">
        <v>0.0</v>
      </c>
      <c r="C9" s="61" t="s">
        <v>55</v>
      </c>
      <c r="D9" s="62" t="s">
        <v>58</v>
      </c>
      <c r="E9" s="62" t="s">
        <v>124</v>
      </c>
      <c r="F9" s="30"/>
      <c r="G9" s="30"/>
      <c r="H9" s="30"/>
      <c r="I9" s="30"/>
      <c r="J9" s="30"/>
      <c r="K9" s="30"/>
      <c r="L9" s="30"/>
      <c r="M9" s="30"/>
      <c r="N9" s="30"/>
      <c r="O9" s="30"/>
      <c r="P9" s="30"/>
      <c r="Q9" s="30"/>
      <c r="R9" s="30"/>
      <c r="S9" s="30"/>
      <c r="T9" s="30"/>
      <c r="U9" s="30"/>
      <c r="V9" s="30"/>
      <c r="W9" s="30"/>
      <c r="X9" s="30"/>
      <c r="Y9" s="30"/>
      <c r="Z9" s="30"/>
      <c r="AA9" s="30"/>
      <c r="AB9" s="30"/>
      <c r="AC9" s="30"/>
      <c r="AD9" s="30"/>
      <c r="AE9" s="30"/>
      <c r="AF9" s="30"/>
    </row>
    <row r="10" ht="15.75" customHeight="1">
      <c r="A10" s="37" t="s">
        <v>103</v>
      </c>
      <c r="B10" s="39">
        <v>-999.0</v>
      </c>
      <c r="C10" s="62" t="s">
        <v>134</v>
      </c>
      <c r="D10" s="62" t="s">
        <v>135</v>
      </c>
      <c r="E10" s="62" t="s">
        <v>136</v>
      </c>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row>
    <row r="11" ht="15.75" customHeight="1">
      <c r="A11" s="37"/>
      <c r="B11" s="41"/>
      <c r="C11" s="41"/>
      <c r="D11" s="41"/>
      <c r="E11" s="41"/>
      <c r="F11" s="41"/>
      <c r="G11" s="41"/>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row>
    <row r="12" ht="15.75" customHeight="1">
      <c r="A12" s="77" t="s">
        <v>154</v>
      </c>
      <c r="B12" s="42" t="s">
        <v>156</v>
      </c>
      <c r="C12" s="42" t="s">
        <v>142</v>
      </c>
      <c r="D12" s="42" t="s">
        <v>142</v>
      </c>
      <c r="E12" s="42" t="s">
        <v>142</v>
      </c>
      <c r="F12" s="42"/>
      <c r="G12" s="42"/>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row>
    <row r="13" ht="15.75" customHeight="1">
      <c r="A13" s="77"/>
      <c r="B13" s="42"/>
      <c r="C13" s="42"/>
      <c r="D13" s="42"/>
      <c r="E13" s="42"/>
      <c r="F13" s="42"/>
      <c r="G13" s="42"/>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row>
    <row r="14" ht="15.75" customHeight="1">
      <c r="A14" s="77" t="s">
        <v>170</v>
      </c>
      <c r="B14" s="42" t="s">
        <v>171</v>
      </c>
      <c r="C14" s="42" t="s">
        <v>172</v>
      </c>
      <c r="D14" s="42" t="s">
        <v>172</v>
      </c>
      <c r="E14" s="42" t="s">
        <v>172</v>
      </c>
      <c r="F14" s="42"/>
      <c r="G14" s="42"/>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row>
    <row r="15" ht="15.75" customHeight="1">
      <c r="A15" s="37"/>
      <c r="B15" s="41"/>
      <c r="C15" s="41"/>
      <c r="D15" s="41"/>
      <c r="E15" s="41"/>
      <c r="F15" s="41"/>
      <c r="G15" s="41"/>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row>
    <row r="16" ht="15.75" customHeight="1">
      <c r="A16" s="77" t="s">
        <v>180</v>
      </c>
      <c r="B16" s="42" t="s">
        <v>185</v>
      </c>
      <c r="C16" s="42" t="s">
        <v>186</v>
      </c>
      <c r="D16" s="42" t="s">
        <v>186</v>
      </c>
      <c r="E16" s="82" t="s">
        <v>186</v>
      </c>
      <c r="F16" s="41"/>
      <c r="G16" s="41"/>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row>
    <row r="17" ht="15.75" customHeight="1">
      <c r="A17" s="37"/>
      <c r="B17" s="41"/>
      <c r="C17" s="41"/>
      <c r="D17" s="41"/>
      <c r="E17" s="41"/>
      <c r="F17" s="41"/>
      <c r="G17" s="41"/>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row>
    <row r="18" ht="15.75" customHeight="1">
      <c r="A18" s="77" t="s">
        <v>190</v>
      </c>
      <c r="B18" s="42" t="s">
        <v>191</v>
      </c>
      <c r="C18" s="42" t="s">
        <v>192</v>
      </c>
      <c r="D18" s="42" t="s">
        <v>192</v>
      </c>
      <c r="E18" s="42" t="s">
        <v>192</v>
      </c>
      <c r="F18" s="41"/>
      <c r="G18" s="41"/>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row>
    <row r="19" ht="15.75" customHeight="1">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row>
    <row r="20" ht="15.75" customHeight="1">
      <c r="A20" s="94" t="s">
        <v>203</v>
      </c>
      <c r="B20" s="95">
        <v>1.0</v>
      </c>
      <c r="C20" s="28" t="s">
        <v>207</v>
      </c>
      <c r="D20" s="28" t="s">
        <v>208</v>
      </c>
      <c r="E20" s="96" t="s">
        <v>208</v>
      </c>
      <c r="F20" s="27"/>
      <c r="G20" s="26">
        <v>1.0</v>
      </c>
      <c r="H20" s="98">
        <v>2.0</v>
      </c>
      <c r="I20" s="30"/>
      <c r="J20" s="30"/>
      <c r="K20" s="30"/>
      <c r="L20" s="30"/>
      <c r="M20" s="30"/>
      <c r="N20" s="30"/>
      <c r="O20" s="30"/>
      <c r="P20" s="30"/>
      <c r="Q20" s="30"/>
      <c r="R20" s="30"/>
      <c r="S20" s="30"/>
      <c r="T20" s="30"/>
      <c r="U20" s="30"/>
      <c r="V20" s="30"/>
      <c r="W20" s="30"/>
      <c r="X20" s="30"/>
      <c r="Y20" s="30"/>
      <c r="Z20" s="30"/>
      <c r="AA20" s="30"/>
      <c r="AB20" s="30"/>
      <c r="AC20" s="30"/>
      <c r="AD20" s="30"/>
      <c r="AE20" s="30"/>
      <c r="AF20" s="30"/>
    </row>
    <row r="21" ht="15.75" customHeight="1">
      <c r="A21" s="94" t="s">
        <v>203</v>
      </c>
      <c r="B21" s="95">
        <v>2.0</v>
      </c>
      <c r="C21" s="28" t="s">
        <v>213</v>
      </c>
      <c r="D21" s="28" t="s">
        <v>214</v>
      </c>
      <c r="E21" s="96" t="s">
        <v>214</v>
      </c>
      <c r="F21" s="27"/>
      <c r="G21" s="27"/>
      <c r="H21" s="98">
        <v>2.0</v>
      </c>
      <c r="I21" s="98">
        <v>1.0</v>
      </c>
      <c r="J21" s="30"/>
      <c r="K21" s="30"/>
      <c r="L21" s="30"/>
      <c r="M21" s="30"/>
      <c r="N21" s="30"/>
      <c r="O21" s="30"/>
      <c r="P21" s="30"/>
      <c r="Q21" s="30"/>
      <c r="R21" s="30"/>
      <c r="S21" s="30"/>
      <c r="T21" s="30"/>
      <c r="U21" s="30"/>
      <c r="V21" s="30"/>
      <c r="W21" s="30"/>
      <c r="X21" s="30"/>
      <c r="Y21" s="30"/>
      <c r="Z21" s="30"/>
      <c r="AA21" s="30"/>
      <c r="AB21" s="30"/>
      <c r="AC21" s="30"/>
      <c r="AD21" s="30"/>
      <c r="AE21" s="30"/>
      <c r="AF21" s="30"/>
    </row>
    <row r="22" ht="15.75" customHeight="1">
      <c r="A22" s="94" t="s">
        <v>203</v>
      </c>
      <c r="B22" s="104">
        <v>3.0</v>
      </c>
      <c r="C22" s="106" t="s">
        <v>219</v>
      </c>
      <c r="D22" s="106" t="s">
        <v>219</v>
      </c>
      <c r="E22" s="106" t="s">
        <v>219</v>
      </c>
      <c r="F22" s="107"/>
      <c r="G22" s="107"/>
      <c r="H22" s="109">
        <v>2.0</v>
      </c>
      <c r="I22" s="30"/>
      <c r="J22" s="55">
        <v>1.0</v>
      </c>
      <c r="K22" s="30"/>
      <c r="L22" s="30"/>
      <c r="M22" s="30"/>
      <c r="N22" s="30"/>
      <c r="O22" s="30"/>
      <c r="P22" s="30"/>
      <c r="Q22" s="30"/>
      <c r="R22" s="30"/>
      <c r="S22" s="30"/>
      <c r="T22" s="30"/>
      <c r="U22" s="30"/>
      <c r="V22" s="30"/>
      <c r="W22" s="30"/>
      <c r="X22" s="30"/>
      <c r="Y22" s="30"/>
      <c r="Z22" s="30"/>
      <c r="AA22" s="30"/>
      <c r="AB22" s="30"/>
      <c r="AC22" s="30"/>
      <c r="AD22" s="30"/>
      <c r="AE22" s="30"/>
      <c r="AF22" s="30"/>
    </row>
    <row r="23" ht="15.75" customHeight="1">
      <c r="A23" s="77" t="s">
        <v>203</v>
      </c>
      <c r="B23" s="111">
        <v>0.0</v>
      </c>
      <c r="C23" s="42" t="s">
        <v>228</v>
      </c>
      <c r="D23" s="112" t="s">
        <v>230</v>
      </c>
      <c r="E23" s="42" t="s">
        <v>232</v>
      </c>
      <c r="F23" s="41"/>
      <c r="G23" s="41" t="s">
        <v>46</v>
      </c>
      <c r="H23" s="113">
        <v>2.0</v>
      </c>
      <c r="I23" s="20"/>
      <c r="J23" s="20"/>
      <c r="K23" s="20"/>
      <c r="L23" s="20"/>
      <c r="M23" s="20"/>
      <c r="N23" s="20"/>
      <c r="O23" s="20"/>
      <c r="P23" s="20"/>
      <c r="Q23" s="20"/>
      <c r="R23" s="20"/>
      <c r="S23" s="20"/>
      <c r="T23" s="20"/>
      <c r="U23" s="20"/>
      <c r="V23" s="20"/>
      <c r="W23" s="20"/>
      <c r="X23" s="20"/>
      <c r="Y23" s="20"/>
      <c r="Z23" s="20"/>
      <c r="AA23" s="20"/>
      <c r="AB23" s="20"/>
      <c r="AC23" s="20"/>
      <c r="AD23" s="20"/>
      <c r="AE23" s="20"/>
      <c r="AF23" s="20"/>
    </row>
    <row r="24" ht="15.75" customHeight="1">
      <c r="A24" s="114"/>
      <c r="B24" s="115"/>
      <c r="C24" s="114"/>
      <c r="D24" s="114"/>
      <c r="E24" s="114"/>
      <c r="F24" s="30"/>
      <c r="G24" s="30"/>
      <c r="H24" s="98"/>
      <c r="I24" s="30"/>
      <c r="J24" s="30"/>
      <c r="K24" s="30"/>
      <c r="L24" s="30"/>
      <c r="M24" s="30"/>
      <c r="N24" s="30"/>
      <c r="O24" s="30"/>
      <c r="P24" s="30"/>
      <c r="Q24" s="30"/>
      <c r="R24" s="30"/>
      <c r="S24" s="30"/>
      <c r="T24" s="30"/>
      <c r="U24" s="30"/>
      <c r="V24" s="30"/>
      <c r="W24" s="30"/>
      <c r="X24" s="30"/>
      <c r="Y24" s="30"/>
      <c r="Z24" s="30"/>
      <c r="AA24" s="30"/>
      <c r="AB24" s="30"/>
      <c r="AC24" s="30"/>
      <c r="AD24" s="30"/>
      <c r="AE24" s="30"/>
      <c r="AF24" s="30"/>
    </row>
    <row r="25" ht="15.75" customHeight="1">
      <c r="A25" s="55" t="s">
        <v>241</v>
      </c>
      <c r="B25" s="109">
        <v>1.0</v>
      </c>
      <c r="C25" s="116" t="s">
        <v>242</v>
      </c>
      <c r="D25" s="116" t="s">
        <v>242</v>
      </c>
      <c r="E25" s="117" t="s">
        <v>242</v>
      </c>
      <c r="F25" s="30"/>
      <c r="G25" s="30"/>
      <c r="H25" s="98"/>
      <c r="I25" s="30"/>
      <c r="J25" s="30"/>
      <c r="K25" s="30"/>
      <c r="L25" s="30"/>
      <c r="M25" s="30"/>
      <c r="N25" s="30"/>
      <c r="O25" s="30"/>
      <c r="P25" s="30"/>
      <c r="Q25" s="30"/>
      <c r="R25" s="30"/>
      <c r="S25" s="30"/>
      <c r="T25" s="30"/>
      <c r="U25" s="30"/>
      <c r="V25" s="30"/>
      <c r="W25" s="30"/>
      <c r="X25" s="30"/>
      <c r="Y25" s="30"/>
      <c r="Z25" s="30"/>
      <c r="AA25" s="30"/>
      <c r="AB25" s="30"/>
      <c r="AC25" s="30"/>
      <c r="AD25" s="30"/>
      <c r="AE25" s="30"/>
      <c r="AF25" s="30"/>
    </row>
    <row r="26" ht="15.75" customHeight="1">
      <c r="A26" s="55" t="s">
        <v>241</v>
      </c>
      <c r="B26" s="109">
        <v>2.0</v>
      </c>
      <c r="C26" s="116" t="s">
        <v>243</v>
      </c>
      <c r="D26" s="116" t="s">
        <v>243</v>
      </c>
      <c r="E26" s="118" t="s">
        <v>243</v>
      </c>
      <c r="F26" s="30"/>
      <c r="G26" s="55">
        <v>1.0</v>
      </c>
      <c r="H26" s="98"/>
      <c r="I26" s="30"/>
      <c r="J26" s="30"/>
      <c r="K26" s="30"/>
      <c r="L26" s="30"/>
      <c r="M26" s="30"/>
      <c r="N26" s="30"/>
      <c r="O26" s="30"/>
      <c r="P26" s="30"/>
      <c r="Q26" s="30"/>
      <c r="R26" s="30"/>
      <c r="S26" s="30"/>
      <c r="T26" s="30"/>
      <c r="U26" s="30"/>
      <c r="V26" s="30"/>
      <c r="W26" s="30"/>
      <c r="X26" s="30"/>
      <c r="Y26" s="30"/>
      <c r="Z26" s="30"/>
      <c r="AA26" s="30"/>
      <c r="AB26" s="30"/>
      <c r="AC26" s="30"/>
      <c r="AD26" s="30"/>
      <c r="AE26" s="30"/>
      <c r="AF26" s="30"/>
    </row>
    <row r="27" ht="15.75" customHeight="1">
      <c r="A27" s="55"/>
      <c r="B27" s="109"/>
      <c r="C27" s="55"/>
      <c r="D27" s="55"/>
      <c r="E27" s="55"/>
      <c r="F27" s="30"/>
      <c r="G27" s="30"/>
      <c r="H27" s="98"/>
      <c r="I27" s="30"/>
      <c r="J27" s="30"/>
      <c r="K27" s="30"/>
      <c r="L27" s="30"/>
      <c r="M27" s="30"/>
      <c r="N27" s="30"/>
      <c r="O27" s="30"/>
      <c r="P27" s="30"/>
      <c r="Q27" s="30"/>
      <c r="R27" s="30"/>
      <c r="S27" s="30"/>
      <c r="T27" s="30"/>
      <c r="U27" s="30"/>
      <c r="V27" s="30"/>
      <c r="W27" s="30"/>
      <c r="X27" s="30"/>
      <c r="Y27" s="30"/>
      <c r="Z27" s="30"/>
      <c r="AA27" s="30"/>
      <c r="AB27" s="30"/>
      <c r="AC27" s="30"/>
      <c r="AD27" s="30"/>
      <c r="AE27" s="30"/>
      <c r="AF27" s="30"/>
    </row>
    <row r="28" ht="15.75" customHeight="1">
      <c r="A28" s="55" t="s">
        <v>250</v>
      </c>
      <c r="B28" s="109" t="s">
        <v>251</v>
      </c>
      <c r="C28" s="55" t="s">
        <v>252</v>
      </c>
      <c r="D28" s="55" t="s">
        <v>252</v>
      </c>
      <c r="E28" s="55" t="s">
        <v>252</v>
      </c>
      <c r="F28" s="30"/>
      <c r="G28" s="30"/>
      <c r="H28" s="98"/>
      <c r="I28" s="30"/>
      <c r="J28" s="30"/>
      <c r="K28" s="30"/>
      <c r="L28" s="30"/>
      <c r="M28" s="30"/>
      <c r="N28" s="30"/>
      <c r="O28" s="30"/>
      <c r="P28" s="30"/>
      <c r="Q28" s="30"/>
      <c r="R28" s="30"/>
      <c r="S28" s="30"/>
      <c r="T28" s="30"/>
      <c r="U28" s="30"/>
      <c r="V28" s="30"/>
      <c r="W28" s="30"/>
      <c r="X28" s="30"/>
      <c r="Y28" s="30"/>
      <c r="Z28" s="30"/>
      <c r="AA28" s="30"/>
      <c r="AB28" s="30"/>
      <c r="AC28" s="30"/>
      <c r="AD28" s="30"/>
      <c r="AE28" s="30"/>
      <c r="AF28" s="30"/>
    </row>
    <row r="29" ht="15.75" customHeight="1">
      <c r="A29" s="55"/>
      <c r="B29" s="109"/>
      <c r="C29" s="55"/>
      <c r="D29" s="55"/>
      <c r="E29" s="55"/>
      <c r="F29" s="30"/>
      <c r="G29" s="30"/>
      <c r="H29" s="98"/>
      <c r="I29" s="30"/>
      <c r="J29" s="30"/>
      <c r="K29" s="30"/>
      <c r="L29" s="30"/>
      <c r="M29" s="30"/>
      <c r="N29" s="30"/>
      <c r="O29" s="30"/>
      <c r="P29" s="30"/>
      <c r="Q29" s="30"/>
      <c r="R29" s="30"/>
      <c r="S29" s="30"/>
      <c r="T29" s="30"/>
      <c r="U29" s="30"/>
      <c r="V29" s="30"/>
      <c r="W29" s="30"/>
      <c r="X29" s="30"/>
      <c r="Y29" s="30"/>
      <c r="Z29" s="30"/>
      <c r="AA29" s="30"/>
      <c r="AB29" s="30"/>
      <c r="AC29" s="30"/>
      <c r="AD29" s="30"/>
      <c r="AE29" s="30"/>
      <c r="AF29" s="30"/>
    </row>
    <row r="30" ht="15.75" customHeight="1">
      <c r="A30" s="123" t="s">
        <v>263</v>
      </c>
      <c r="B30" s="126">
        <v>1.0</v>
      </c>
      <c r="C30" s="129" t="s">
        <v>266</v>
      </c>
      <c r="D30" s="132" t="s">
        <v>267</v>
      </c>
      <c r="E30" s="132" t="s">
        <v>268</v>
      </c>
      <c r="F30" s="133"/>
      <c r="G30" s="133"/>
      <c r="H30" s="49"/>
      <c r="I30" s="49"/>
      <c r="J30" s="49"/>
      <c r="K30" s="49"/>
      <c r="L30" s="49"/>
      <c r="M30" s="49"/>
      <c r="N30" s="49"/>
      <c r="O30" s="49"/>
      <c r="P30" s="49"/>
      <c r="Q30" s="49"/>
      <c r="R30" s="49"/>
      <c r="S30" s="49"/>
      <c r="T30" s="49"/>
      <c r="U30" s="49"/>
      <c r="V30" s="49"/>
      <c r="W30" s="49"/>
      <c r="X30" s="49"/>
      <c r="Y30" s="49"/>
      <c r="Z30" s="49"/>
      <c r="AA30" s="49"/>
      <c r="AB30" s="49"/>
      <c r="AC30" s="49"/>
      <c r="AD30" s="49"/>
      <c r="AE30" s="30"/>
      <c r="AF30" s="30"/>
    </row>
    <row r="31" ht="15.75" customHeight="1">
      <c r="A31" s="77" t="s">
        <v>263</v>
      </c>
      <c r="B31" s="111">
        <v>0.0</v>
      </c>
      <c r="C31" s="135" t="s">
        <v>271</v>
      </c>
      <c r="D31" s="135" t="s">
        <v>273</v>
      </c>
      <c r="E31" s="135" t="s">
        <v>274</v>
      </c>
      <c r="F31" s="41"/>
      <c r="G31" s="41"/>
      <c r="H31" s="20"/>
      <c r="I31" s="20"/>
      <c r="J31" s="20"/>
      <c r="K31" s="20"/>
      <c r="L31" s="20"/>
      <c r="M31" s="20"/>
      <c r="N31" s="20"/>
      <c r="O31" s="20"/>
      <c r="P31" s="20"/>
      <c r="Q31" s="20"/>
      <c r="R31" s="20"/>
      <c r="S31" s="20"/>
      <c r="T31" s="20"/>
      <c r="U31" s="20"/>
      <c r="V31" s="20"/>
      <c r="W31" s="20"/>
      <c r="X31" s="20"/>
      <c r="Y31" s="20"/>
      <c r="Z31" s="20"/>
      <c r="AA31" s="20"/>
      <c r="AB31" s="20"/>
      <c r="AC31" s="20"/>
      <c r="AD31" s="20"/>
      <c r="AE31" s="30"/>
      <c r="AF31" s="30"/>
    </row>
    <row r="32" ht="15.75" customHeight="1">
      <c r="A32" s="55"/>
      <c r="B32" s="109"/>
      <c r="C32" s="55"/>
      <c r="D32" s="55"/>
      <c r="E32" s="55"/>
      <c r="F32" s="30"/>
      <c r="G32" s="30"/>
      <c r="H32" s="98"/>
      <c r="I32" s="30"/>
      <c r="J32" s="30"/>
      <c r="K32" s="30"/>
      <c r="L32" s="30"/>
      <c r="M32" s="30"/>
      <c r="N32" s="30"/>
      <c r="O32" s="30"/>
      <c r="P32" s="30"/>
      <c r="Q32" s="30"/>
      <c r="R32" s="30"/>
      <c r="S32" s="30"/>
      <c r="T32" s="30"/>
      <c r="U32" s="30"/>
      <c r="V32" s="30"/>
      <c r="W32" s="30"/>
      <c r="X32" s="30"/>
      <c r="Y32" s="30"/>
      <c r="Z32" s="30"/>
      <c r="AA32" s="30"/>
      <c r="AB32" s="30"/>
      <c r="AC32" s="30"/>
      <c r="AD32" s="30"/>
      <c r="AE32" s="30"/>
      <c r="AF32" s="30"/>
    </row>
    <row r="33" ht="15.75" customHeight="1">
      <c r="A33" s="123" t="s">
        <v>279</v>
      </c>
      <c r="B33" s="126">
        <v>1.0</v>
      </c>
      <c r="C33" s="136" t="s">
        <v>280</v>
      </c>
      <c r="D33" s="136" t="s">
        <v>281</v>
      </c>
      <c r="E33" s="136" t="s">
        <v>282</v>
      </c>
      <c r="F33" s="133"/>
      <c r="G33" s="133"/>
      <c r="H33" s="49"/>
      <c r="I33" s="49"/>
      <c r="J33" s="49"/>
      <c r="K33" s="49"/>
      <c r="L33" s="49"/>
      <c r="M33" s="49"/>
      <c r="N33" s="49"/>
      <c r="O33" s="49"/>
      <c r="P33" s="49"/>
      <c r="Q33" s="49"/>
      <c r="R33" s="49"/>
      <c r="S33" s="49"/>
      <c r="T33" s="49"/>
      <c r="U33" s="49"/>
      <c r="V33" s="49"/>
      <c r="W33" s="49"/>
      <c r="X33" s="49"/>
      <c r="Y33" s="49"/>
      <c r="Z33" s="49"/>
      <c r="AA33" s="49"/>
      <c r="AB33" s="49"/>
      <c r="AC33" s="49"/>
      <c r="AD33" s="49"/>
      <c r="AE33" s="49"/>
      <c r="AF33" s="49"/>
    </row>
    <row r="34" ht="15.75" customHeight="1">
      <c r="A34" s="94" t="s">
        <v>279</v>
      </c>
      <c r="B34" s="95">
        <v>2.0</v>
      </c>
      <c r="C34" s="28" t="s">
        <v>288</v>
      </c>
      <c r="D34" s="28" t="s">
        <v>289</v>
      </c>
      <c r="E34" s="28" t="s">
        <v>290</v>
      </c>
      <c r="F34" s="27"/>
      <c r="G34" s="27"/>
      <c r="H34" s="30"/>
      <c r="I34" s="30"/>
      <c r="J34" s="30"/>
      <c r="K34" s="30"/>
      <c r="L34" s="30"/>
      <c r="M34" s="30"/>
      <c r="N34" s="30"/>
      <c r="O34" s="30"/>
      <c r="P34" s="30"/>
      <c r="Q34" s="30"/>
      <c r="R34" s="30"/>
      <c r="S34" s="30"/>
      <c r="T34" s="30"/>
      <c r="U34" s="30"/>
      <c r="V34" s="30"/>
      <c r="W34" s="30"/>
      <c r="X34" s="30"/>
      <c r="Y34" s="30"/>
      <c r="Z34" s="30"/>
      <c r="AA34" s="30"/>
      <c r="AB34" s="30"/>
      <c r="AC34" s="30"/>
      <c r="AD34" s="30"/>
      <c r="AE34" s="30"/>
      <c r="AF34" s="30"/>
    </row>
    <row r="35" ht="15.75" customHeight="1">
      <c r="A35" s="94" t="s">
        <v>279</v>
      </c>
      <c r="B35" s="95">
        <v>3.0</v>
      </c>
      <c r="C35" s="28" t="s">
        <v>292</v>
      </c>
      <c r="D35" s="28" t="s">
        <v>293</v>
      </c>
      <c r="E35" s="28" t="s">
        <v>295</v>
      </c>
      <c r="F35" s="27"/>
      <c r="G35" s="27"/>
      <c r="H35" s="30"/>
      <c r="I35" s="30"/>
      <c r="J35" s="30"/>
      <c r="K35" s="30"/>
      <c r="L35" s="30"/>
      <c r="M35" s="30"/>
      <c r="N35" s="30"/>
      <c r="O35" s="30"/>
      <c r="P35" s="30"/>
      <c r="Q35" s="30"/>
      <c r="R35" s="30"/>
      <c r="S35" s="30"/>
      <c r="T35" s="30"/>
      <c r="U35" s="30"/>
      <c r="V35" s="30"/>
      <c r="W35" s="30"/>
      <c r="X35" s="30"/>
      <c r="Y35" s="30"/>
      <c r="Z35" s="30"/>
      <c r="AA35" s="30"/>
      <c r="AB35" s="30"/>
      <c r="AC35" s="30"/>
      <c r="AD35" s="30"/>
      <c r="AE35" s="30"/>
      <c r="AF35" s="30"/>
    </row>
    <row r="36" ht="15.75" customHeight="1">
      <c r="A36" s="94" t="s">
        <v>279</v>
      </c>
      <c r="B36" s="95">
        <v>4.0</v>
      </c>
      <c r="C36" s="28" t="s">
        <v>298</v>
      </c>
      <c r="D36" s="28" t="s">
        <v>299</v>
      </c>
      <c r="E36" s="28" t="s">
        <v>300</v>
      </c>
      <c r="F36" s="27"/>
      <c r="G36" s="27"/>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row>
    <row r="37" ht="15.75" customHeight="1">
      <c r="A37" s="94" t="s">
        <v>279</v>
      </c>
      <c r="B37" s="95">
        <v>5.0</v>
      </c>
      <c r="C37" s="28" t="s">
        <v>304</v>
      </c>
      <c r="D37" s="28" t="s">
        <v>305</v>
      </c>
      <c r="E37" s="28" t="s">
        <v>306</v>
      </c>
      <c r="F37" s="27"/>
      <c r="G37" s="27"/>
      <c r="H37" s="30"/>
      <c r="I37" s="30"/>
      <c r="J37" s="30"/>
      <c r="K37" s="30"/>
      <c r="L37" s="30"/>
      <c r="M37" s="30"/>
      <c r="N37" s="30"/>
      <c r="O37" s="30"/>
      <c r="P37" s="30"/>
      <c r="Q37" s="30"/>
      <c r="R37" s="30"/>
      <c r="S37" s="30"/>
      <c r="T37" s="30"/>
      <c r="U37" s="30"/>
      <c r="V37" s="30"/>
      <c r="W37" s="30"/>
      <c r="X37" s="30"/>
      <c r="Y37" s="30"/>
      <c r="Z37" s="30"/>
      <c r="AA37" s="30"/>
      <c r="AB37" s="30"/>
      <c r="AC37" s="30"/>
      <c r="AD37" s="30"/>
      <c r="AE37" s="30"/>
      <c r="AF37" s="30"/>
    </row>
    <row r="38" ht="15.75" customHeight="1">
      <c r="A38" s="94" t="s">
        <v>279</v>
      </c>
      <c r="B38" s="95">
        <v>6.0</v>
      </c>
      <c r="C38" s="28" t="s">
        <v>309</v>
      </c>
      <c r="D38" s="28" t="s">
        <v>310</v>
      </c>
      <c r="E38" s="96" t="s">
        <v>311</v>
      </c>
      <c r="F38" s="27"/>
      <c r="G38" s="27"/>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row>
    <row r="39" ht="15.75" customHeight="1">
      <c r="A39" s="94" t="s">
        <v>279</v>
      </c>
      <c r="B39" s="95">
        <v>7.0</v>
      </c>
      <c r="C39" s="28" t="s">
        <v>314</v>
      </c>
      <c r="D39" s="28" t="s">
        <v>314</v>
      </c>
      <c r="E39" s="28" t="s">
        <v>315</v>
      </c>
      <c r="F39" s="27"/>
      <c r="G39" s="27"/>
      <c r="H39" s="30"/>
      <c r="I39" s="30"/>
      <c r="J39" s="30"/>
      <c r="K39" s="30"/>
      <c r="L39" s="30"/>
      <c r="M39" s="30"/>
      <c r="N39" s="30"/>
      <c r="O39" s="30"/>
      <c r="P39" s="30"/>
      <c r="Q39" s="30"/>
      <c r="R39" s="30"/>
      <c r="S39" s="30"/>
      <c r="T39" s="30"/>
      <c r="U39" s="30"/>
      <c r="V39" s="30"/>
      <c r="W39" s="30"/>
      <c r="X39" s="30"/>
      <c r="Y39" s="30"/>
      <c r="Z39" s="30"/>
      <c r="AA39" s="30"/>
      <c r="AB39" s="30"/>
      <c r="AC39" s="30"/>
      <c r="AD39" s="30"/>
      <c r="AE39" s="30"/>
      <c r="AF39" s="30"/>
    </row>
    <row r="40" ht="15.75" customHeight="1">
      <c r="A40" s="94" t="s">
        <v>279</v>
      </c>
      <c r="B40" s="95">
        <v>8.0</v>
      </c>
      <c r="C40" s="28" t="s">
        <v>319</v>
      </c>
      <c r="D40" s="28" t="s">
        <v>320</v>
      </c>
      <c r="E40" s="28" t="s">
        <v>323</v>
      </c>
      <c r="F40" s="27"/>
      <c r="G40" s="27"/>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row>
    <row r="41" ht="15.75" customHeight="1">
      <c r="A41" s="94" t="s">
        <v>279</v>
      </c>
      <c r="B41" s="95">
        <v>9.0</v>
      </c>
      <c r="C41" s="28" t="s">
        <v>325</v>
      </c>
      <c r="D41" s="28" t="s">
        <v>327</v>
      </c>
      <c r="E41" s="96" t="s">
        <v>328</v>
      </c>
      <c r="F41" s="27"/>
      <c r="G41" s="27"/>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row>
    <row r="42" ht="15.75" customHeight="1">
      <c r="A42" s="94" t="s">
        <v>279</v>
      </c>
      <c r="B42" s="95">
        <v>10.0</v>
      </c>
      <c r="C42" s="28" t="s">
        <v>333</v>
      </c>
      <c r="D42" s="28" t="s">
        <v>334</v>
      </c>
      <c r="E42" s="28" t="s">
        <v>335</v>
      </c>
      <c r="F42" s="27"/>
      <c r="G42" s="27"/>
      <c r="H42" s="30"/>
      <c r="I42" s="30"/>
      <c r="J42" s="30"/>
      <c r="K42" s="30"/>
      <c r="L42" s="30"/>
      <c r="M42" s="30"/>
      <c r="N42" s="30"/>
      <c r="O42" s="30"/>
      <c r="P42" s="30"/>
      <c r="Q42" s="30"/>
      <c r="R42" s="30"/>
      <c r="S42" s="30"/>
      <c r="T42" s="30"/>
      <c r="U42" s="30"/>
      <c r="V42" s="30"/>
      <c r="W42" s="30"/>
      <c r="X42" s="30"/>
      <c r="Y42" s="30"/>
      <c r="Z42" s="30"/>
      <c r="AA42" s="30"/>
      <c r="AB42" s="30"/>
      <c r="AC42" s="30"/>
      <c r="AD42" s="30"/>
      <c r="AE42" s="30"/>
      <c r="AF42" s="30"/>
    </row>
    <row r="43" ht="15.75" customHeight="1">
      <c r="A43" s="94" t="s">
        <v>279</v>
      </c>
      <c r="B43" s="95">
        <v>11.0</v>
      </c>
      <c r="C43" s="28" t="s">
        <v>339</v>
      </c>
      <c r="D43" s="28" t="s">
        <v>340</v>
      </c>
      <c r="E43" s="28" t="s">
        <v>341</v>
      </c>
      <c r="F43" s="27"/>
      <c r="G43" s="27"/>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row>
    <row r="44" ht="15.75" customHeight="1">
      <c r="A44" s="94" t="s">
        <v>279</v>
      </c>
      <c r="B44" s="95">
        <v>13.0</v>
      </c>
      <c r="C44" s="28" t="s">
        <v>346</v>
      </c>
      <c r="D44" s="28" t="s">
        <v>347</v>
      </c>
      <c r="E44" s="28" t="s">
        <v>348</v>
      </c>
      <c r="F44" s="27"/>
      <c r="G44" s="27"/>
      <c r="H44" s="30"/>
      <c r="I44" s="30"/>
      <c r="J44" s="30"/>
      <c r="K44" s="30"/>
      <c r="L44" s="30"/>
      <c r="M44" s="30"/>
      <c r="N44" s="30"/>
      <c r="O44" s="30"/>
      <c r="P44" s="30"/>
      <c r="Q44" s="30"/>
      <c r="R44" s="30"/>
      <c r="S44" s="30"/>
      <c r="T44" s="30"/>
      <c r="U44" s="30"/>
      <c r="V44" s="30"/>
      <c r="W44" s="30"/>
      <c r="X44" s="30"/>
      <c r="Y44" s="30"/>
      <c r="Z44" s="30"/>
      <c r="AA44" s="30"/>
      <c r="AB44" s="30"/>
      <c r="AC44" s="30"/>
      <c r="AD44" s="30"/>
      <c r="AE44" s="30"/>
      <c r="AF44" s="30"/>
    </row>
    <row r="45" ht="15.75" customHeight="1">
      <c r="A45" s="94" t="s">
        <v>279</v>
      </c>
      <c r="B45" s="95">
        <v>14.0</v>
      </c>
      <c r="C45" s="28" t="s">
        <v>350</v>
      </c>
      <c r="D45" s="28" t="s">
        <v>351</v>
      </c>
      <c r="E45" s="28" t="s">
        <v>352</v>
      </c>
      <c r="F45" s="27"/>
      <c r="G45" s="27"/>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row>
    <row r="46" ht="15.75" customHeight="1">
      <c r="A46" s="77" t="s">
        <v>279</v>
      </c>
      <c r="B46" s="111">
        <v>-99.0</v>
      </c>
      <c r="C46" s="42" t="s">
        <v>361</v>
      </c>
      <c r="D46" s="42" t="s">
        <v>364</v>
      </c>
      <c r="E46" s="42" t="s">
        <v>367</v>
      </c>
      <c r="F46" s="41"/>
      <c r="G46" s="41"/>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row>
    <row r="47" ht="15.75" customHeight="1">
      <c r="A47" s="55"/>
      <c r="B47" s="109"/>
      <c r="C47" s="55"/>
      <c r="D47" s="55"/>
      <c r="E47" s="55"/>
      <c r="F47" s="30"/>
      <c r="G47" s="30"/>
      <c r="H47" s="98"/>
      <c r="I47" s="30"/>
      <c r="J47" s="30"/>
      <c r="K47" s="30"/>
      <c r="L47" s="30"/>
      <c r="M47" s="30"/>
      <c r="N47" s="30"/>
      <c r="O47" s="30"/>
      <c r="P47" s="30"/>
      <c r="Q47" s="30"/>
      <c r="R47" s="30"/>
      <c r="S47" s="30"/>
      <c r="T47" s="30"/>
      <c r="U47" s="30"/>
      <c r="V47" s="30"/>
      <c r="W47" s="30"/>
      <c r="X47" s="30"/>
      <c r="Y47" s="30"/>
      <c r="Z47" s="30"/>
      <c r="AA47" s="30"/>
      <c r="AB47" s="30"/>
      <c r="AC47" s="30"/>
      <c r="AD47" s="30"/>
      <c r="AE47" s="30"/>
      <c r="AF47" s="30"/>
    </row>
    <row r="48" ht="15.75" customHeight="1">
      <c r="A48" s="123" t="s">
        <v>387</v>
      </c>
      <c r="B48" s="126">
        <v>0.0</v>
      </c>
      <c r="C48" s="136" t="s">
        <v>389</v>
      </c>
      <c r="D48" s="136" t="s">
        <v>390</v>
      </c>
      <c r="E48" s="136" t="s">
        <v>391</v>
      </c>
      <c r="F48" s="133"/>
      <c r="G48" s="133"/>
      <c r="H48" s="49"/>
      <c r="I48" s="49"/>
      <c r="J48" s="49"/>
      <c r="K48" s="49"/>
      <c r="L48" s="49"/>
      <c r="M48" s="49"/>
      <c r="N48" s="49"/>
      <c r="O48" s="49"/>
      <c r="P48" s="49"/>
      <c r="Q48" s="49"/>
      <c r="R48" s="49"/>
      <c r="S48" s="49"/>
      <c r="T48" s="49"/>
      <c r="U48" s="49"/>
      <c r="V48" s="49"/>
      <c r="W48" s="49"/>
      <c r="X48" s="49"/>
      <c r="Y48" s="49"/>
      <c r="Z48" s="49"/>
      <c r="AA48" s="49"/>
      <c r="AB48" s="49"/>
      <c r="AC48" s="49"/>
      <c r="AD48" s="49"/>
      <c r="AE48" s="49"/>
      <c r="AF48" s="49"/>
    </row>
    <row r="49" ht="15.75" customHeight="1">
      <c r="A49" s="94" t="s">
        <v>387</v>
      </c>
      <c r="B49" s="95">
        <v>1.0</v>
      </c>
      <c r="C49" s="28" t="s">
        <v>398</v>
      </c>
      <c r="D49" s="28" t="s">
        <v>401</v>
      </c>
      <c r="E49" s="96" t="s">
        <v>404</v>
      </c>
      <c r="F49" s="27"/>
      <c r="G49" s="27"/>
      <c r="H49" s="30"/>
      <c r="I49" s="30"/>
      <c r="J49" s="30"/>
      <c r="K49" s="30"/>
      <c r="L49" s="30"/>
      <c r="M49" s="30"/>
      <c r="N49" s="30"/>
      <c r="O49" s="30"/>
      <c r="P49" s="30"/>
      <c r="Q49" s="30"/>
      <c r="R49" s="30"/>
      <c r="S49" s="30"/>
      <c r="T49" s="30"/>
      <c r="U49" s="30"/>
      <c r="V49" s="30"/>
      <c r="W49" s="30"/>
      <c r="X49" s="30"/>
      <c r="Y49" s="30"/>
      <c r="Z49" s="30"/>
      <c r="AA49" s="30"/>
      <c r="AB49" s="30"/>
      <c r="AC49" s="30"/>
      <c r="AD49" s="30"/>
      <c r="AE49" s="30"/>
      <c r="AF49" s="30"/>
    </row>
    <row r="50" ht="15.75" customHeight="1">
      <c r="A50" s="94" t="s">
        <v>387</v>
      </c>
      <c r="B50" s="95">
        <v>2.0</v>
      </c>
      <c r="C50" s="28" t="s">
        <v>412</v>
      </c>
      <c r="D50" s="28" t="s">
        <v>414</v>
      </c>
      <c r="E50" s="28" t="s">
        <v>415</v>
      </c>
      <c r="F50" s="27"/>
      <c r="G50" s="27"/>
      <c r="H50" s="30"/>
      <c r="I50" s="30"/>
      <c r="J50" s="30"/>
      <c r="K50" s="30"/>
      <c r="L50" s="30"/>
      <c r="M50" s="30"/>
      <c r="N50" s="30"/>
      <c r="O50" s="30"/>
      <c r="P50" s="30"/>
      <c r="Q50" s="30"/>
      <c r="R50" s="30"/>
      <c r="S50" s="30"/>
      <c r="T50" s="30"/>
      <c r="U50" s="30"/>
      <c r="V50" s="30"/>
      <c r="W50" s="30"/>
      <c r="X50" s="30"/>
      <c r="Y50" s="30"/>
      <c r="Z50" s="30"/>
      <c r="AA50" s="30"/>
      <c r="AB50" s="30"/>
      <c r="AC50" s="30"/>
      <c r="AD50" s="30"/>
      <c r="AE50" s="30"/>
      <c r="AF50" s="30"/>
    </row>
    <row r="51" ht="15.75" customHeight="1">
      <c r="A51" s="77" t="s">
        <v>387</v>
      </c>
      <c r="B51" s="111">
        <v>-999.0</v>
      </c>
      <c r="C51" s="42" t="s">
        <v>134</v>
      </c>
      <c r="D51" s="42" t="s">
        <v>135</v>
      </c>
      <c r="E51" s="42" t="s">
        <v>136</v>
      </c>
      <c r="F51" s="41"/>
      <c r="G51" s="41"/>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row>
    <row r="52" ht="15.75" customHeight="1">
      <c r="A52" s="55"/>
      <c r="B52" s="109"/>
      <c r="C52" s="55"/>
      <c r="D52" s="55"/>
      <c r="E52" s="55"/>
      <c r="F52" s="30"/>
      <c r="G52" s="30"/>
      <c r="H52" s="98"/>
      <c r="I52" s="30"/>
      <c r="J52" s="30"/>
      <c r="K52" s="30"/>
      <c r="L52" s="30"/>
      <c r="M52" s="30"/>
      <c r="N52" s="30"/>
      <c r="O52" s="30"/>
      <c r="P52" s="30"/>
      <c r="Q52" s="30"/>
      <c r="R52" s="30"/>
      <c r="S52" s="30"/>
      <c r="T52" s="30"/>
      <c r="U52" s="30"/>
      <c r="V52" s="30"/>
      <c r="W52" s="30"/>
      <c r="X52" s="30"/>
      <c r="Y52" s="30"/>
      <c r="Z52" s="30"/>
      <c r="AA52" s="30"/>
      <c r="AB52" s="30"/>
      <c r="AC52" s="30"/>
      <c r="AD52" s="30"/>
      <c r="AE52" s="30"/>
      <c r="AF52" s="30"/>
    </row>
    <row r="53" ht="15.75" customHeight="1">
      <c r="A53" s="123" t="s">
        <v>424</v>
      </c>
      <c r="B53" s="126">
        <v>1.0</v>
      </c>
      <c r="C53" s="129" t="s">
        <v>425</v>
      </c>
      <c r="D53" s="132" t="s">
        <v>426</v>
      </c>
      <c r="E53" s="132" t="s">
        <v>427</v>
      </c>
      <c r="F53" s="133"/>
      <c r="G53" s="133"/>
      <c r="H53" s="49"/>
      <c r="I53" s="49"/>
      <c r="J53" s="49"/>
      <c r="K53" s="49"/>
      <c r="L53" s="49"/>
      <c r="M53" s="49"/>
      <c r="N53" s="49"/>
      <c r="O53" s="49"/>
      <c r="P53" s="49"/>
      <c r="Q53" s="49"/>
      <c r="R53" s="49"/>
      <c r="S53" s="49"/>
      <c r="T53" s="49"/>
      <c r="U53" s="49"/>
      <c r="V53" s="49"/>
      <c r="W53" s="49"/>
      <c r="X53" s="49"/>
      <c r="Y53" s="49"/>
      <c r="Z53" s="49"/>
      <c r="AA53" s="49"/>
      <c r="AB53" s="49"/>
      <c r="AC53" s="49"/>
      <c r="AD53" s="49"/>
      <c r="AE53" s="49"/>
      <c r="AF53" s="49"/>
    </row>
    <row r="54" ht="15.75" customHeight="1">
      <c r="A54" s="94" t="s">
        <v>424</v>
      </c>
      <c r="B54" s="95">
        <v>2.0</v>
      </c>
      <c r="C54" s="161" t="s">
        <v>432</v>
      </c>
      <c r="D54" s="135" t="s">
        <v>433</v>
      </c>
      <c r="E54" s="135" t="s">
        <v>434</v>
      </c>
      <c r="F54" s="27"/>
      <c r="G54" s="27"/>
      <c r="H54" s="30"/>
      <c r="I54" s="30"/>
      <c r="J54" s="30"/>
      <c r="K54" s="30"/>
      <c r="L54" s="30"/>
      <c r="M54" s="30"/>
      <c r="N54" s="30"/>
      <c r="O54" s="30"/>
      <c r="P54" s="30"/>
      <c r="Q54" s="30"/>
      <c r="R54" s="30"/>
      <c r="S54" s="30"/>
      <c r="T54" s="30"/>
      <c r="U54" s="30"/>
      <c r="V54" s="30"/>
      <c r="W54" s="30"/>
      <c r="X54" s="30"/>
      <c r="Y54" s="30"/>
      <c r="Z54" s="30"/>
      <c r="AA54" s="30"/>
      <c r="AB54" s="30"/>
      <c r="AC54" s="30"/>
      <c r="AD54" s="30"/>
      <c r="AE54" s="30"/>
      <c r="AF54" s="30"/>
    </row>
    <row r="55" ht="15.75" customHeight="1">
      <c r="A55" s="94" t="s">
        <v>424</v>
      </c>
      <c r="B55" s="95">
        <v>3.0</v>
      </c>
      <c r="C55" s="161" t="s">
        <v>438</v>
      </c>
      <c r="D55" s="135" t="s">
        <v>438</v>
      </c>
      <c r="E55" s="135" t="s">
        <v>439</v>
      </c>
      <c r="F55" s="27"/>
      <c r="G55" s="27"/>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row>
    <row r="56" ht="15.75" customHeight="1">
      <c r="A56" s="94" t="s">
        <v>424</v>
      </c>
      <c r="B56" s="95">
        <v>4.0</v>
      </c>
      <c r="C56" s="114" t="s">
        <v>443</v>
      </c>
      <c r="D56" s="114" t="s">
        <v>444</v>
      </c>
      <c r="E56" s="162" t="s">
        <v>445</v>
      </c>
      <c r="F56" s="27"/>
      <c r="G56" s="27"/>
      <c r="H56" s="30"/>
      <c r="I56" s="30"/>
      <c r="J56" s="30"/>
      <c r="K56" s="30"/>
      <c r="L56" s="30"/>
      <c r="M56" s="30"/>
      <c r="N56" s="30"/>
      <c r="O56" s="30"/>
      <c r="P56" s="30"/>
      <c r="Q56" s="30"/>
      <c r="R56" s="30"/>
      <c r="S56" s="30"/>
      <c r="T56" s="30"/>
      <c r="U56" s="30"/>
      <c r="V56" s="30"/>
      <c r="W56" s="30"/>
      <c r="X56" s="30"/>
      <c r="Y56" s="30"/>
      <c r="Z56" s="30"/>
      <c r="AA56" s="30"/>
      <c r="AB56" s="30"/>
      <c r="AC56" s="30"/>
      <c r="AD56" s="30"/>
      <c r="AE56" s="30"/>
      <c r="AF56" s="30"/>
    </row>
    <row r="57" ht="15.75" customHeight="1">
      <c r="A57" s="94" t="s">
        <v>424</v>
      </c>
      <c r="B57" s="95">
        <v>5.0</v>
      </c>
      <c r="C57" s="114" t="s">
        <v>447</v>
      </c>
      <c r="D57" s="114" t="s">
        <v>448</v>
      </c>
      <c r="E57" s="162" t="s">
        <v>449</v>
      </c>
      <c r="F57" s="27"/>
      <c r="G57" s="27"/>
      <c r="H57" s="30"/>
      <c r="I57" s="30"/>
      <c r="J57" s="30"/>
      <c r="K57" s="30"/>
      <c r="L57" s="30"/>
      <c r="M57" s="30"/>
      <c r="N57" s="30"/>
      <c r="O57" s="30"/>
      <c r="P57" s="30"/>
      <c r="Q57" s="30"/>
      <c r="R57" s="30"/>
      <c r="S57" s="30"/>
      <c r="T57" s="30"/>
      <c r="U57" s="30"/>
      <c r="V57" s="30"/>
      <c r="W57" s="30"/>
      <c r="X57" s="30"/>
      <c r="Y57" s="30"/>
      <c r="Z57" s="30"/>
      <c r="AA57" s="30"/>
      <c r="AB57" s="30"/>
      <c r="AC57" s="30"/>
      <c r="AD57" s="30"/>
      <c r="AE57" s="30"/>
      <c r="AF57" s="30"/>
    </row>
    <row r="58" ht="15.75" customHeight="1">
      <c r="A58" s="94" t="s">
        <v>424</v>
      </c>
      <c r="B58" s="95">
        <v>6.0</v>
      </c>
      <c r="C58" s="114" t="s">
        <v>454</v>
      </c>
      <c r="D58" s="114" t="s">
        <v>455</v>
      </c>
      <c r="E58" s="162" t="s">
        <v>456</v>
      </c>
      <c r="F58" s="27"/>
      <c r="G58" s="27"/>
      <c r="H58" s="30"/>
      <c r="I58" s="30"/>
      <c r="J58" s="30"/>
      <c r="K58" s="30"/>
      <c r="L58" s="30"/>
      <c r="M58" s="30"/>
      <c r="N58" s="30"/>
      <c r="O58" s="30"/>
      <c r="P58" s="30"/>
      <c r="Q58" s="30"/>
      <c r="R58" s="30"/>
      <c r="S58" s="30"/>
      <c r="T58" s="30"/>
      <c r="U58" s="30"/>
      <c r="V58" s="30"/>
      <c r="W58" s="30"/>
      <c r="X58" s="30"/>
      <c r="Y58" s="30"/>
      <c r="Z58" s="30"/>
      <c r="AA58" s="30"/>
      <c r="AB58" s="30"/>
      <c r="AC58" s="30"/>
      <c r="AD58" s="30"/>
      <c r="AE58" s="30"/>
      <c r="AF58" s="30"/>
    </row>
    <row r="59" ht="15.75" customHeight="1">
      <c r="A59" s="94" t="s">
        <v>424</v>
      </c>
      <c r="B59" s="95">
        <v>7.0</v>
      </c>
      <c r="C59" s="114" t="s">
        <v>461</v>
      </c>
      <c r="D59" s="114" t="s">
        <v>462</v>
      </c>
      <c r="E59" s="162" t="s">
        <v>463</v>
      </c>
      <c r="F59" s="27"/>
      <c r="G59" s="27"/>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row>
    <row r="60" ht="15.75" customHeight="1">
      <c r="A60" s="94" t="s">
        <v>424</v>
      </c>
      <c r="B60" s="95">
        <v>8.0</v>
      </c>
      <c r="C60" s="114" t="s">
        <v>469</v>
      </c>
      <c r="D60" s="114" t="s">
        <v>470</v>
      </c>
      <c r="E60" s="162" t="s">
        <v>471</v>
      </c>
      <c r="F60" s="27"/>
      <c r="G60" s="27"/>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row>
    <row r="61" ht="15.75" customHeight="1">
      <c r="A61" s="77" t="s">
        <v>424</v>
      </c>
      <c r="B61" s="111">
        <v>-777.0</v>
      </c>
      <c r="C61" s="112" t="s">
        <v>478</v>
      </c>
      <c r="D61" s="112" t="s">
        <v>479</v>
      </c>
      <c r="E61" s="42" t="s">
        <v>480</v>
      </c>
      <c r="F61" s="41"/>
      <c r="G61" s="41"/>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row>
    <row r="62" ht="15.75" customHeight="1">
      <c r="A62" s="55"/>
      <c r="B62" s="109"/>
      <c r="C62" s="55"/>
      <c r="D62" s="55"/>
      <c r="E62" s="55"/>
      <c r="F62" s="30"/>
      <c r="G62" s="30"/>
      <c r="H62" s="98"/>
      <c r="I62" s="30"/>
      <c r="J62" s="30"/>
      <c r="K62" s="30"/>
      <c r="L62" s="30"/>
      <c r="M62" s="30"/>
      <c r="N62" s="30"/>
      <c r="O62" s="30"/>
      <c r="P62" s="30"/>
      <c r="Q62" s="30"/>
      <c r="R62" s="30"/>
      <c r="S62" s="30"/>
      <c r="T62" s="30"/>
      <c r="U62" s="30"/>
      <c r="V62" s="30"/>
      <c r="W62" s="30"/>
      <c r="X62" s="30"/>
      <c r="Y62" s="30"/>
      <c r="Z62" s="30"/>
      <c r="AA62" s="30"/>
      <c r="AB62" s="30"/>
      <c r="AC62" s="30"/>
      <c r="AD62" s="30"/>
      <c r="AE62" s="30"/>
      <c r="AF62" s="30"/>
    </row>
    <row r="63" ht="15.75" customHeight="1">
      <c r="A63" s="94" t="s">
        <v>495</v>
      </c>
      <c r="B63" s="94">
        <v>1.0</v>
      </c>
      <c r="C63" s="94" t="s">
        <v>496</v>
      </c>
      <c r="D63" s="94" t="s">
        <v>497</v>
      </c>
      <c r="E63" s="94" t="s">
        <v>498</v>
      </c>
      <c r="F63" s="133"/>
      <c r="G63" s="133"/>
      <c r="H63" s="49"/>
      <c r="I63" s="49"/>
      <c r="J63" s="49"/>
      <c r="K63" s="49"/>
      <c r="L63" s="49"/>
      <c r="M63" s="49"/>
      <c r="N63" s="49"/>
      <c r="O63" s="49"/>
      <c r="P63" s="49"/>
      <c r="Q63" s="49"/>
      <c r="R63" s="49"/>
      <c r="S63" s="49"/>
      <c r="T63" s="49"/>
      <c r="U63" s="49"/>
      <c r="V63" s="49"/>
      <c r="W63" s="49"/>
      <c r="X63" s="49"/>
      <c r="Y63" s="49"/>
      <c r="Z63" s="49"/>
      <c r="AA63" s="49"/>
      <c r="AB63" s="49"/>
      <c r="AC63" s="49"/>
      <c r="AD63" s="49"/>
      <c r="AE63" s="49"/>
      <c r="AF63" s="49"/>
    </row>
    <row r="64" ht="15.75" customHeight="1">
      <c r="A64" s="94" t="s">
        <v>495</v>
      </c>
      <c r="B64" s="94">
        <v>2.0</v>
      </c>
      <c r="C64" s="94" t="s">
        <v>505</v>
      </c>
      <c r="D64" s="94" t="s">
        <v>507</v>
      </c>
      <c r="E64" s="94" t="s">
        <v>510</v>
      </c>
      <c r="F64" s="27"/>
      <c r="G64" s="27"/>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0"/>
    </row>
    <row r="65" ht="15.75" customHeight="1">
      <c r="A65" s="94" t="s">
        <v>495</v>
      </c>
      <c r="B65" s="94">
        <v>3.0</v>
      </c>
      <c r="C65" s="94" t="s">
        <v>516</v>
      </c>
      <c r="D65" s="94" t="s">
        <v>517</v>
      </c>
      <c r="E65" s="94" t="s">
        <v>519</v>
      </c>
      <c r="F65" s="41"/>
      <c r="G65" s="41"/>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row>
    <row r="66" ht="15.75" customHeight="1">
      <c r="A66" s="94"/>
      <c r="B66" s="94"/>
      <c r="C66" s="94"/>
      <c r="D66" s="94"/>
      <c r="E66" s="94"/>
      <c r="F66" s="30"/>
      <c r="G66" s="30"/>
      <c r="H66" s="98"/>
      <c r="I66" s="30"/>
      <c r="J66" s="30"/>
      <c r="K66" s="30"/>
      <c r="L66" s="30"/>
      <c r="M66" s="30"/>
      <c r="N66" s="30"/>
      <c r="O66" s="30"/>
      <c r="P66" s="30"/>
      <c r="Q66" s="30"/>
      <c r="R66" s="30"/>
      <c r="S66" s="30"/>
      <c r="T66" s="30"/>
      <c r="U66" s="30"/>
      <c r="V66" s="30"/>
      <c r="W66" s="30"/>
      <c r="X66" s="30"/>
      <c r="Y66" s="30"/>
      <c r="Z66" s="30"/>
      <c r="AA66" s="30"/>
      <c r="AB66" s="30"/>
      <c r="AC66" s="30"/>
      <c r="AD66" s="30"/>
      <c r="AE66" s="30"/>
      <c r="AF66" s="30"/>
    </row>
    <row r="67" ht="15.75" customHeight="1">
      <c r="A67" s="94" t="s">
        <v>528</v>
      </c>
      <c r="B67" s="94">
        <v>1.0</v>
      </c>
      <c r="C67" s="94" t="s">
        <v>530</v>
      </c>
      <c r="D67" s="94" t="s">
        <v>530</v>
      </c>
      <c r="E67" s="94" t="s">
        <v>531</v>
      </c>
      <c r="F67" s="133"/>
      <c r="G67" s="133"/>
      <c r="H67" s="49"/>
      <c r="I67" s="49"/>
      <c r="J67" s="49"/>
      <c r="K67" s="49"/>
      <c r="L67" s="49"/>
      <c r="M67" s="49"/>
      <c r="N67" s="49"/>
      <c r="O67" s="49"/>
      <c r="P67" s="49"/>
      <c r="Q67" s="49"/>
      <c r="R67" s="49"/>
      <c r="S67" s="49"/>
      <c r="T67" s="49"/>
      <c r="U67" s="49"/>
      <c r="V67" s="49"/>
      <c r="W67" s="49"/>
      <c r="X67" s="49"/>
      <c r="Y67" s="49"/>
      <c r="Z67" s="49"/>
      <c r="AA67" s="49"/>
      <c r="AB67" s="49"/>
      <c r="AC67" s="49"/>
      <c r="AD67" s="49"/>
      <c r="AE67" s="49"/>
      <c r="AF67" s="49"/>
    </row>
    <row r="68" ht="15.75" customHeight="1">
      <c r="A68" s="94" t="s">
        <v>528</v>
      </c>
      <c r="B68" s="94">
        <v>2.0</v>
      </c>
      <c r="C68" s="94" t="s">
        <v>536</v>
      </c>
      <c r="D68" s="94" t="s">
        <v>537</v>
      </c>
      <c r="E68" s="94" t="s">
        <v>538</v>
      </c>
      <c r="F68" s="27"/>
      <c r="G68" s="27"/>
      <c r="H68" s="30"/>
      <c r="I68" s="30"/>
      <c r="J68" s="30"/>
      <c r="K68" s="30"/>
      <c r="L68" s="30"/>
      <c r="M68" s="30"/>
      <c r="N68" s="30"/>
      <c r="O68" s="30"/>
      <c r="P68" s="30"/>
      <c r="Q68" s="30"/>
      <c r="R68" s="30"/>
      <c r="S68" s="30"/>
      <c r="T68" s="30"/>
      <c r="U68" s="30"/>
      <c r="V68" s="30"/>
      <c r="W68" s="30"/>
      <c r="X68" s="30"/>
      <c r="Y68" s="30"/>
      <c r="Z68" s="30"/>
      <c r="AA68" s="30"/>
      <c r="AB68" s="30"/>
      <c r="AC68" s="30"/>
      <c r="AD68" s="30"/>
      <c r="AE68" s="30"/>
      <c r="AF68" s="30"/>
    </row>
    <row r="69" ht="15.75" customHeight="1">
      <c r="A69" s="94" t="s">
        <v>528</v>
      </c>
      <c r="B69" s="94">
        <v>3.0</v>
      </c>
      <c r="C69" s="94" t="s">
        <v>541</v>
      </c>
      <c r="D69" s="94" t="s">
        <v>542</v>
      </c>
      <c r="E69" s="94" t="s">
        <v>544</v>
      </c>
      <c r="F69" s="41"/>
      <c r="G69" s="41"/>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row>
    <row r="70" ht="15.75" customHeight="1">
      <c r="A70" s="94"/>
      <c r="B70" s="94"/>
      <c r="C70" s="94"/>
      <c r="D70" s="94"/>
      <c r="E70" s="94"/>
      <c r="F70" s="41"/>
      <c r="G70" s="41"/>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row>
    <row r="71" ht="15.75" customHeight="1">
      <c r="A71" s="94" t="s">
        <v>561</v>
      </c>
      <c r="B71" s="94">
        <v>1.0</v>
      </c>
      <c r="C71" s="94" t="s">
        <v>562</v>
      </c>
      <c r="D71" s="94" t="s">
        <v>563</v>
      </c>
      <c r="E71" s="94" t="s">
        <v>565</v>
      </c>
      <c r="F71" s="27"/>
      <c r="G71" s="27"/>
      <c r="H71" s="30"/>
      <c r="I71" s="30"/>
      <c r="J71" s="30"/>
      <c r="K71" s="30"/>
      <c r="L71" s="30"/>
      <c r="M71" s="30"/>
      <c r="N71" s="30"/>
      <c r="O71" s="30"/>
      <c r="P71" s="30"/>
      <c r="Q71" s="30"/>
      <c r="R71" s="30"/>
      <c r="S71" s="30"/>
      <c r="T71" s="30"/>
      <c r="U71" s="30"/>
      <c r="V71" s="30"/>
      <c r="W71" s="30"/>
      <c r="X71" s="30"/>
      <c r="Y71" s="30"/>
      <c r="Z71" s="30"/>
      <c r="AA71" s="30"/>
      <c r="AB71" s="30"/>
      <c r="AC71" s="30"/>
      <c r="AD71" s="30"/>
      <c r="AE71" s="30"/>
      <c r="AF71" s="30"/>
    </row>
    <row r="72" ht="15.75" customHeight="1">
      <c r="A72" s="94" t="s">
        <v>561</v>
      </c>
      <c r="B72" s="94">
        <v>2.0</v>
      </c>
      <c r="C72" s="94" t="s">
        <v>574</v>
      </c>
      <c r="D72" s="94" t="s">
        <v>575</v>
      </c>
      <c r="E72" s="94" t="s">
        <v>576</v>
      </c>
      <c r="F72" s="27"/>
      <c r="G72" s="27"/>
      <c r="H72" s="30"/>
      <c r="I72" s="30"/>
      <c r="J72" s="30"/>
      <c r="K72" s="30"/>
      <c r="L72" s="30"/>
      <c r="M72" s="30"/>
      <c r="N72" s="30"/>
      <c r="O72" s="30"/>
      <c r="P72" s="30"/>
      <c r="Q72" s="30"/>
      <c r="R72" s="30"/>
      <c r="S72" s="30"/>
      <c r="T72" s="30"/>
      <c r="U72" s="30"/>
      <c r="V72" s="30"/>
      <c r="W72" s="30"/>
      <c r="X72" s="30"/>
      <c r="Y72" s="30"/>
      <c r="Z72" s="30"/>
      <c r="AA72" s="30"/>
      <c r="AB72" s="30"/>
      <c r="AC72" s="30"/>
      <c r="AD72" s="30"/>
      <c r="AE72" s="30"/>
      <c r="AF72" s="30"/>
    </row>
    <row r="73" ht="15.75" customHeight="1">
      <c r="A73" s="94" t="s">
        <v>561</v>
      </c>
      <c r="B73" s="94">
        <v>3.0</v>
      </c>
      <c r="C73" s="94" t="s">
        <v>586</v>
      </c>
      <c r="D73" s="94" t="s">
        <v>587</v>
      </c>
      <c r="E73" s="94" t="s">
        <v>588</v>
      </c>
      <c r="F73" s="41"/>
      <c r="G73" s="41"/>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row>
    <row r="74" ht="15.75" customHeight="1">
      <c r="A74" s="112"/>
      <c r="B74" s="112"/>
      <c r="C74" s="42"/>
      <c r="D74" s="42"/>
      <c r="E74" s="42"/>
      <c r="F74" s="41"/>
      <c r="G74" s="41"/>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row>
    <row r="75" ht="15.75" customHeight="1">
      <c r="A75" s="94" t="s">
        <v>610</v>
      </c>
      <c r="B75" s="94">
        <v>1.0</v>
      </c>
      <c r="C75" s="94" t="s">
        <v>612</v>
      </c>
      <c r="D75" s="94" t="s">
        <v>613</v>
      </c>
      <c r="E75" s="94" t="s">
        <v>615</v>
      </c>
      <c r="F75" s="27"/>
      <c r="G75" s="27"/>
      <c r="H75" s="30"/>
      <c r="I75" s="30"/>
      <c r="J75" s="30"/>
      <c r="K75" s="30"/>
      <c r="L75" s="30"/>
      <c r="M75" s="30"/>
      <c r="N75" s="30"/>
      <c r="O75" s="30"/>
      <c r="P75" s="30"/>
      <c r="Q75" s="30"/>
      <c r="R75" s="30"/>
      <c r="S75" s="30"/>
      <c r="T75" s="30"/>
      <c r="U75" s="30"/>
      <c r="V75" s="30"/>
      <c r="W75" s="30"/>
      <c r="X75" s="30"/>
      <c r="Y75" s="30"/>
      <c r="Z75" s="30"/>
      <c r="AA75" s="30"/>
      <c r="AB75" s="30"/>
      <c r="AC75" s="30"/>
      <c r="AD75" s="30"/>
      <c r="AE75" s="30"/>
      <c r="AF75" s="30"/>
    </row>
    <row r="76" ht="15.75" customHeight="1">
      <c r="A76" s="94" t="s">
        <v>610</v>
      </c>
      <c r="B76" s="94">
        <v>2.0</v>
      </c>
      <c r="C76" s="94" t="s">
        <v>622</v>
      </c>
      <c r="D76" s="94" t="s">
        <v>623</v>
      </c>
      <c r="E76" s="94" t="s">
        <v>625</v>
      </c>
      <c r="F76" s="27"/>
      <c r="G76" s="27"/>
      <c r="H76" s="30"/>
      <c r="I76" s="30"/>
      <c r="J76" s="30"/>
      <c r="K76" s="30"/>
      <c r="L76" s="30"/>
      <c r="M76" s="30"/>
      <c r="N76" s="30"/>
      <c r="O76" s="30"/>
      <c r="P76" s="30"/>
      <c r="Q76" s="30"/>
      <c r="R76" s="30"/>
      <c r="S76" s="30"/>
      <c r="T76" s="30"/>
      <c r="U76" s="30"/>
      <c r="V76" s="30"/>
      <c r="W76" s="30"/>
      <c r="X76" s="30"/>
      <c r="Y76" s="30"/>
      <c r="Z76" s="30"/>
      <c r="AA76" s="30"/>
      <c r="AB76" s="30"/>
      <c r="AC76" s="30"/>
      <c r="AD76" s="30"/>
      <c r="AE76" s="30"/>
      <c r="AF76" s="30"/>
    </row>
    <row r="77" ht="15.75" customHeight="1">
      <c r="A77" s="94" t="s">
        <v>610</v>
      </c>
      <c r="B77" s="94">
        <v>3.0</v>
      </c>
      <c r="C77" s="94" t="s">
        <v>631</v>
      </c>
      <c r="D77" s="94" t="s">
        <v>632</v>
      </c>
      <c r="E77" s="94" t="s">
        <v>633</v>
      </c>
      <c r="F77" s="27"/>
      <c r="G77" s="27"/>
      <c r="H77" s="30"/>
      <c r="I77" s="30"/>
      <c r="J77" s="30"/>
      <c r="K77" s="30"/>
      <c r="L77" s="30"/>
      <c r="M77" s="30"/>
      <c r="N77" s="30"/>
      <c r="O77" s="30"/>
      <c r="P77" s="30"/>
      <c r="Q77" s="30"/>
      <c r="R77" s="30"/>
      <c r="S77" s="30"/>
      <c r="T77" s="30"/>
      <c r="U77" s="30"/>
      <c r="V77" s="30"/>
      <c r="W77" s="30"/>
      <c r="X77" s="30"/>
      <c r="Y77" s="30"/>
      <c r="Z77" s="30"/>
      <c r="AA77" s="30"/>
      <c r="AB77" s="30"/>
      <c r="AC77" s="30"/>
      <c r="AD77" s="30"/>
      <c r="AE77" s="30"/>
      <c r="AF77" s="30"/>
    </row>
    <row r="78" ht="15.75" customHeight="1">
      <c r="A78" s="94" t="s">
        <v>610</v>
      </c>
      <c r="B78" s="94">
        <v>4.0</v>
      </c>
      <c r="C78" s="94" t="s">
        <v>638</v>
      </c>
      <c r="D78" s="94" t="s">
        <v>639</v>
      </c>
      <c r="E78" s="94" t="s">
        <v>640</v>
      </c>
      <c r="F78" s="41"/>
      <c r="G78" s="41"/>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row>
    <row r="79" ht="15.75" customHeight="1">
      <c r="A79" s="114"/>
      <c r="B79" s="114"/>
      <c r="C79" s="114"/>
      <c r="D79" s="114"/>
      <c r="E79" s="114"/>
      <c r="F79" s="30"/>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row>
    <row r="80" ht="15.75" customHeight="1">
      <c r="A80" s="184" t="s">
        <v>651</v>
      </c>
      <c r="B80" s="185">
        <v>1.0</v>
      </c>
      <c r="C80" s="186" t="s">
        <v>654</v>
      </c>
      <c r="D80" s="186" t="s">
        <v>655</v>
      </c>
      <c r="E80" s="186" t="s">
        <v>656</v>
      </c>
      <c r="F80" s="187"/>
      <c r="G80" s="187"/>
      <c r="H80" s="30"/>
      <c r="I80" s="30"/>
      <c r="J80" s="30"/>
      <c r="K80" s="30"/>
      <c r="L80" s="30"/>
      <c r="M80" s="30"/>
      <c r="N80" s="30"/>
      <c r="O80" s="30"/>
      <c r="P80" s="30"/>
      <c r="Q80" s="30"/>
      <c r="R80" s="30"/>
      <c r="S80" s="30"/>
      <c r="T80" s="30"/>
      <c r="U80" s="30"/>
      <c r="V80" s="30"/>
      <c r="W80" s="30"/>
      <c r="X80" s="30"/>
      <c r="Y80" s="30"/>
      <c r="Z80" s="30"/>
      <c r="AA80" s="30"/>
      <c r="AB80" s="30"/>
      <c r="AC80" s="30"/>
      <c r="AD80" s="30"/>
      <c r="AE80" s="30"/>
      <c r="AF80" s="30"/>
    </row>
    <row r="81" ht="15.75" customHeight="1">
      <c r="A81" s="94" t="s">
        <v>651</v>
      </c>
      <c r="B81" s="95">
        <v>2.0</v>
      </c>
      <c r="C81" s="28" t="s">
        <v>659</v>
      </c>
      <c r="D81" s="28" t="s">
        <v>660</v>
      </c>
      <c r="E81" s="96" t="s">
        <v>661</v>
      </c>
      <c r="F81" s="27"/>
      <c r="G81" s="27"/>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row>
    <row r="82" ht="15.75" customHeight="1">
      <c r="A82" s="94" t="s">
        <v>651</v>
      </c>
      <c r="B82" s="95">
        <v>3.0</v>
      </c>
      <c r="C82" s="28" t="s">
        <v>666</v>
      </c>
      <c r="D82" s="28" t="s">
        <v>667</v>
      </c>
      <c r="E82" s="96" t="s">
        <v>668</v>
      </c>
      <c r="F82" s="27"/>
      <c r="G82" s="27"/>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row>
    <row r="83" ht="15.75" customHeight="1">
      <c r="A83" s="94" t="s">
        <v>651</v>
      </c>
      <c r="B83" s="95">
        <v>4.0</v>
      </c>
      <c r="C83" s="28" t="s">
        <v>670</v>
      </c>
      <c r="D83" s="28" t="s">
        <v>673</v>
      </c>
      <c r="E83" s="96" t="s">
        <v>674</v>
      </c>
      <c r="F83" s="191"/>
      <c r="G83" s="191"/>
      <c r="H83" s="30"/>
      <c r="I83" s="30"/>
      <c r="J83" s="30"/>
      <c r="K83" s="30"/>
      <c r="L83" s="30"/>
      <c r="M83" s="30"/>
      <c r="N83" s="30"/>
      <c r="O83" s="30"/>
      <c r="P83" s="30"/>
      <c r="Q83" s="30"/>
      <c r="R83" s="30"/>
      <c r="S83" s="30"/>
      <c r="T83" s="30"/>
      <c r="U83" s="30"/>
      <c r="V83" s="30"/>
      <c r="W83" s="30"/>
      <c r="X83" s="30"/>
      <c r="Y83" s="30"/>
      <c r="Z83" s="30"/>
      <c r="AA83" s="30"/>
      <c r="AB83" s="30"/>
      <c r="AC83" s="30"/>
      <c r="AD83" s="30"/>
      <c r="AE83" s="30"/>
      <c r="AF83" s="30"/>
    </row>
    <row r="84" ht="15.75" customHeight="1">
      <c r="A84" s="94" t="s">
        <v>651</v>
      </c>
      <c r="B84" s="95">
        <v>5.0</v>
      </c>
      <c r="C84" s="28" t="s">
        <v>676</v>
      </c>
      <c r="D84" s="28" t="s">
        <v>677</v>
      </c>
      <c r="E84" s="96" t="s">
        <v>678</v>
      </c>
      <c r="F84" s="191"/>
      <c r="G84" s="27"/>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row>
    <row r="85" ht="15.75" customHeight="1">
      <c r="A85" s="94" t="s">
        <v>651</v>
      </c>
      <c r="B85" s="95">
        <v>6.0</v>
      </c>
      <c r="C85" s="28" t="s">
        <v>683</v>
      </c>
      <c r="D85" s="28" t="s">
        <v>685</v>
      </c>
      <c r="E85" s="96" t="s">
        <v>685</v>
      </c>
      <c r="F85" s="191"/>
      <c r="G85" s="191"/>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row>
    <row r="86" ht="15.75" customHeight="1">
      <c r="A86" s="94" t="s">
        <v>651</v>
      </c>
      <c r="B86" s="95">
        <v>-777.0</v>
      </c>
      <c r="C86" s="28" t="s">
        <v>478</v>
      </c>
      <c r="D86" s="28" t="s">
        <v>479</v>
      </c>
      <c r="E86" s="28" t="s">
        <v>480</v>
      </c>
      <c r="F86" s="27"/>
      <c r="G86" s="27"/>
      <c r="H86" s="30"/>
      <c r="I86" s="30"/>
      <c r="J86" s="30"/>
      <c r="K86" s="30"/>
      <c r="L86" s="30"/>
      <c r="M86" s="30"/>
      <c r="N86" s="30"/>
      <c r="O86" s="30"/>
      <c r="P86" s="30"/>
      <c r="Q86" s="30"/>
      <c r="R86" s="30"/>
      <c r="S86" s="30"/>
      <c r="T86" s="30"/>
      <c r="U86" s="30"/>
      <c r="V86" s="30"/>
      <c r="W86" s="30"/>
      <c r="X86" s="30"/>
      <c r="Y86" s="30"/>
      <c r="Z86" s="30"/>
      <c r="AA86" s="30"/>
      <c r="AB86" s="30"/>
      <c r="AC86" s="30"/>
      <c r="AD86" s="30"/>
      <c r="AE86" s="30"/>
      <c r="AF86" s="30"/>
    </row>
    <row r="87" ht="15.75" customHeight="1">
      <c r="A87" s="94" t="s">
        <v>651</v>
      </c>
      <c r="B87" s="95">
        <v>0.0</v>
      </c>
      <c r="C87" s="28" t="s">
        <v>228</v>
      </c>
      <c r="D87" s="28" t="s">
        <v>230</v>
      </c>
      <c r="E87" s="28" t="s">
        <v>232</v>
      </c>
      <c r="F87" s="27"/>
      <c r="G87" s="27"/>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row>
    <row r="88" ht="15.75" customHeight="1">
      <c r="A88" s="114"/>
      <c r="B88" s="114"/>
      <c r="C88" s="114"/>
      <c r="D88" s="114"/>
      <c r="E88" s="114"/>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row>
    <row r="89" ht="15.75" customHeight="1">
      <c r="A89" s="123" t="s">
        <v>697</v>
      </c>
      <c r="B89" s="126">
        <v>0.0</v>
      </c>
      <c r="C89" s="136" t="s">
        <v>701</v>
      </c>
      <c r="D89" s="136" t="s">
        <v>702</v>
      </c>
      <c r="E89" s="136" t="s">
        <v>703</v>
      </c>
      <c r="F89" s="133"/>
      <c r="G89" s="133"/>
      <c r="H89" s="49"/>
      <c r="I89" s="49"/>
      <c r="J89" s="49"/>
      <c r="K89" s="49"/>
      <c r="L89" s="49"/>
      <c r="M89" s="49"/>
      <c r="N89" s="49"/>
      <c r="O89" s="49"/>
      <c r="P89" s="49"/>
      <c r="Q89" s="49"/>
      <c r="R89" s="49"/>
      <c r="S89" s="49"/>
      <c r="T89" s="49"/>
      <c r="U89" s="49"/>
      <c r="V89" s="49"/>
      <c r="W89" s="49"/>
      <c r="X89" s="49"/>
      <c r="Y89" s="49"/>
      <c r="Z89" s="49"/>
      <c r="AA89" s="49"/>
      <c r="AB89" s="30"/>
      <c r="AC89" s="30"/>
      <c r="AD89" s="30"/>
      <c r="AE89" s="30"/>
      <c r="AF89" s="30"/>
    </row>
    <row r="90" ht="15.75" customHeight="1">
      <c r="A90" s="94" t="s">
        <v>697</v>
      </c>
      <c r="B90" s="95">
        <v>1.0</v>
      </c>
      <c r="C90" s="28" t="s">
        <v>713</v>
      </c>
      <c r="D90" s="28" t="s">
        <v>714</v>
      </c>
      <c r="E90" s="28" t="s">
        <v>715</v>
      </c>
      <c r="F90" s="27"/>
      <c r="G90" s="27"/>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row>
    <row r="91" ht="15.75" customHeight="1">
      <c r="A91" s="94" t="s">
        <v>697</v>
      </c>
      <c r="B91" s="95">
        <v>2.0</v>
      </c>
      <c r="C91" s="28" t="s">
        <v>726</v>
      </c>
      <c r="D91" s="28" t="s">
        <v>727</v>
      </c>
      <c r="E91" s="96" t="s">
        <v>728</v>
      </c>
      <c r="F91" s="27"/>
      <c r="G91" s="27"/>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row>
    <row r="92" ht="15.75" customHeight="1">
      <c r="A92" s="77" t="s">
        <v>697</v>
      </c>
      <c r="B92" s="111">
        <v>3.0</v>
      </c>
      <c r="C92" s="42" t="s">
        <v>734</v>
      </c>
      <c r="D92" s="28" t="s">
        <v>737</v>
      </c>
      <c r="E92" s="28" t="s">
        <v>739</v>
      </c>
      <c r="F92" s="41"/>
      <c r="G92" s="41"/>
      <c r="H92" s="20"/>
      <c r="I92" s="20"/>
      <c r="J92" s="20"/>
      <c r="K92" s="20"/>
      <c r="L92" s="20"/>
      <c r="M92" s="20"/>
      <c r="N92" s="20"/>
      <c r="O92" s="20"/>
      <c r="P92" s="20"/>
      <c r="Q92" s="20"/>
      <c r="R92" s="20"/>
      <c r="S92" s="20"/>
      <c r="T92" s="20"/>
      <c r="U92" s="20"/>
      <c r="V92" s="20"/>
      <c r="W92" s="20"/>
      <c r="X92" s="20"/>
      <c r="Y92" s="20"/>
      <c r="Z92" s="20"/>
      <c r="AA92" s="20"/>
      <c r="AB92" s="30"/>
      <c r="AC92" s="30"/>
      <c r="AD92" s="30"/>
      <c r="AE92" s="30"/>
      <c r="AF92" s="30"/>
    </row>
    <row r="93" ht="15.75" customHeight="1">
      <c r="A93" s="114"/>
      <c r="B93" s="114"/>
      <c r="C93" s="114"/>
      <c r="D93" s="114"/>
      <c r="E93" s="114"/>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row>
    <row r="94" ht="15.75" customHeight="1">
      <c r="A94" s="123" t="s">
        <v>279</v>
      </c>
      <c r="B94" s="126">
        <v>1.0</v>
      </c>
      <c r="C94" s="136" t="s">
        <v>280</v>
      </c>
      <c r="D94" s="136" t="s">
        <v>281</v>
      </c>
      <c r="E94" s="136" t="s">
        <v>282</v>
      </c>
      <c r="F94" s="133"/>
      <c r="G94" s="133"/>
      <c r="H94" s="49"/>
      <c r="I94" s="49"/>
      <c r="J94" s="49"/>
      <c r="K94" s="49"/>
      <c r="L94" s="49"/>
      <c r="M94" s="49"/>
      <c r="N94" s="49"/>
      <c r="O94" s="49"/>
      <c r="P94" s="49"/>
      <c r="Q94" s="49"/>
      <c r="R94" s="49"/>
      <c r="S94" s="49"/>
      <c r="T94" s="49"/>
      <c r="U94" s="49"/>
      <c r="V94" s="49"/>
      <c r="W94" s="49"/>
      <c r="X94" s="49"/>
      <c r="Y94" s="49"/>
      <c r="Z94" s="49"/>
      <c r="AA94" s="49"/>
      <c r="AB94" s="49"/>
      <c r="AC94" s="49"/>
      <c r="AD94" s="49"/>
      <c r="AE94" s="49"/>
      <c r="AF94" s="49"/>
    </row>
    <row r="95" ht="15.75" customHeight="1">
      <c r="A95" s="94" t="s">
        <v>279</v>
      </c>
      <c r="B95" s="95">
        <v>2.0</v>
      </c>
      <c r="C95" s="28" t="s">
        <v>288</v>
      </c>
      <c r="D95" s="28" t="s">
        <v>289</v>
      </c>
      <c r="E95" s="96" t="s">
        <v>290</v>
      </c>
      <c r="F95" s="27"/>
      <c r="G95" s="27"/>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row>
    <row r="96" ht="15.75" customHeight="1">
      <c r="A96" s="94" t="s">
        <v>279</v>
      </c>
      <c r="B96" s="95">
        <v>3.0</v>
      </c>
      <c r="C96" s="28" t="s">
        <v>292</v>
      </c>
      <c r="D96" s="28" t="s">
        <v>293</v>
      </c>
      <c r="E96" s="28" t="s">
        <v>295</v>
      </c>
      <c r="F96" s="27"/>
      <c r="G96" s="27"/>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row>
    <row r="97" ht="15.75" customHeight="1">
      <c r="A97" s="94" t="s">
        <v>279</v>
      </c>
      <c r="B97" s="95">
        <v>4.0</v>
      </c>
      <c r="C97" s="28" t="s">
        <v>298</v>
      </c>
      <c r="D97" s="28" t="s">
        <v>299</v>
      </c>
      <c r="E97" s="28" t="s">
        <v>300</v>
      </c>
      <c r="F97" s="27"/>
      <c r="G97" s="27"/>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row>
    <row r="98" ht="15.75" customHeight="1">
      <c r="A98" s="94" t="s">
        <v>279</v>
      </c>
      <c r="B98" s="95">
        <v>5.0</v>
      </c>
      <c r="C98" s="28" t="s">
        <v>304</v>
      </c>
      <c r="D98" s="28" t="s">
        <v>305</v>
      </c>
      <c r="E98" s="96" t="s">
        <v>306</v>
      </c>
      <c r="F98" s="27"/>
      <c r="G98" s="27"/>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row>
    <row r="99" ht="15.75" customHeight="1">
      <c r="A99" s="94" t="s">
        <v>279</v>
      </c>
      <c r="B99" s="95">
        <v>6.0</v>
      </c>
      <c r="C99" s="28" t="s">
        <v>309</v>
      </c>
      <c r="D99" s="28" t="s">
        <v>310</v>
      </c>
      <c r="E99" s="96" t="s">
        <v>311</v>
      </c>
      <c r="F99" s="191"/>
      <c r="G99" s="27"/>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row>
    <row r="100" ht="15.75" customHeight="1">
      <c r="A100" s="94" t="s">
        <v>279</v>
      </c>
      <c r="B100" s="95">
        <v>7.0</v>
      </c>
      <c r="C100" s="28" t="s">
        <v>314</v>
      </c>
      <c r="D100" s="28" t="s">
        <v>314</v>
      </c>
      <c r="E100" s="28" t="s">
        <v>315</v>
      </c>
      <c r="F100" s="27"/>
      <c r="G100" s="27"/>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row>
    <row r="101" ht="15.75" customHeight="1">
      <c r="A101" s="94" t="s">
        <v>279</v>
      </c>
      <c r="B101" s="95">
        <v>8.0</v>
      </c>
      <c r="C101" s="28" t="s">
        <v>319</v>
      </c>
      <c r="D101" s="28" t="s">
        <v>320</v>
      </c>
      <c r="E101" s="96" t="s">
        <v>323</v>
      </c>
      <c r="F101" s="27"/>
      <c r="G101" s="27"/>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row>
    <row r="102" ht="15.75" customHeight="1">
      <c r="A102" s="94" t="s">
        <v>279</v>
      </c>
      <c r="B102" s="95">
        <v>9.0</v>
      </c>
      <c r="C102" s="28" t="s">
        <v>325</v>
      </c>
      <c r="D102" s="28" t="s">
        <v>327</v>
      </c>
      <c r="E102" s="96" t="s">
        <v>328</v>
      </c>
      <c r="F102" s="191"/>
      <c r="G102" s="27"/>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row>
    <row r="103" ht="15.75" customHeight="1">
      <c r="A103" s="94" t="s">
        <v>279</v>
      </c>
      <c r="B103" s="95">
        <v>10.0</v>
      </c>
      <c r="C103" s="28" t="s">
        <v>333</v>
      </c>
      <c r="D103" s="28" t="s">
        <v>334</v>
      </c>
      <c r="E103" s="96" t="s">
        <v>335</v>
      </c>
      <c r="F103" s="27"/>
      <c r="G103" s="27"/>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row>
    <row r="104" ht="15.75" customHeight="1">
      <c r="A104" s="94" t="s">
        <v>279</v>
      </c>
      <c r="B104" s="95">
        <v>11.0</v>
      </c>
      <c r="C104" s="28" t="s">
        <v>339</v>
      </c>
      <c r="D104" s="28" t="s">
        <v>340</v>
      </c>
      <c r="E104" s="28" t="s">
        <v>341</v>
      </c>
      <c r="F104" s="27"/>
      <c r="G104" s="27"/>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row>
    <row r="105" ht="15.75" customHeight="1">
      <c r="A105" s="94" t="s">
        <v>279</v>
      </c>
      <c r="B105" s="95">
        <v>13.0</v>
      </c>
      <c r="C105" s="28" t="s">
        <v>346</v>
      </c>
      <c r="D105" s="28" t="s">
        <v>347</v>
      </c>
      <c r="E105" s="96" t="s">
        <v>348</v>
      </c>
      <c r="F105" s="27"/>
      <c r="G105" s="27"/>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row>
    <row r="106" ht="15.75" customHeight="1">
      <c r="A106" s="94" t="s">
        <v>279</v>
      </c>
      <c r="B106" s="95">
        <v>14.0</v>
      </c>
      <c r="C106" s="28" t="s">
        <v>350</v>
      </c>
      <c r="D106" s="28" t="s">
        <v>351</v>
      </c>
      <c r="E106" s="28" t="s">
        <v>352</v>
      </c>
      <c r="F106" s="27"/>
      <c r="G106" s="27"/>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row>
    <row r="107" ht="15.75" customHeight="1">
      <c r="A107" s="77" t="s">
        <v>279</v>
      </c>
      <c r="B107" s="111">
        <v>-99.0</v>
      </c>
      <c r="C107" s="42" t="s">
        <v>361</v>
      </c>
      <c r="D107" s="42" t="s">
        <v>364</v>
      </c>
      <c r="E107" s="82" t="s">
        <v>367</v>
      </c>
      <c r="F107" s="41"/>
      <c r="G107" s="41"/>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row>
    <row r="108" ht="15.75" customHeight="1">
      <c r="A108" s="114"/>
      <c r="B108" s="115"/>
      <c r="C108" s="114"/>
      <c r="D108" s="114"/>
      <c r="E108" s="21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row>
    <row r="109" ht="15.75" customHeight="1">
      <c r="A109" s="123" t="s">
        <v>818</v>
      </c>
      <c r="B109" s="126">
        <v>0.0</v>
      </c>
      <c r="C109" s="136" t="s">
        <v>228</v>
      </c>
      <c r="D109" s="136" t="s">
        <v>230</v>
      </c>
      <c r="E109" s="213" t="s">
        <v>819</v>
      </c>
      <c r="F109" s="49"/>
      <c r="G109" s="49"/>
      <c r="H109" s="49"/>
      <c r="I109" s="49"/>
      <c r="J109" s="49"/>
      <c r="K109" s="49"/>
      <c r="L109" s="49"/>
      <c r="M109" s="49"/>
      <c r="N109" s="49"/>
      <c r="O109" s="49"/>
      <c r="P109" s="49"/>
      <c r="Q109" s="49"/>
      <c r="R109" s="49"/>
      <c r="S109" s="49"/>
      <c r="T109" s="49"/>
      <c r="U109" s="49"/>
      <c r="V109" s="49"/>
      <c r="W109" s="49"/>
      <c r="X109" s="49"/>
      <c r="Y109" s="49"/>
      <c r="Z109" s="49"/>
      <c r="AA109" s="49"/>
      <c r="AB109" s="49"/>
      <c r="AC109" s="49"/>
      <c r="AD109" s="49"/>
      <c r="AE109" s="49"/>
      <c r="AF109" s="49"/>
    </row>
    <row r="110" ht="15.75" customHeight="1">
      <c r="A110" s="94" t="s">
        <v>818</v>
      </c>
      <c r="B110" s="95">
        <v>1.0</v>
      </c>
      <c r="C110" s="28" t="s">
        <v>825</v>
      </c>
      <c r="D110" s="28" t="s">
        <v>826</v>
      </c>
      <c r="E110" s="96" t="s">
        <v>827</v>
      </c>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row>
    <row r="111" ht="15.75" customHeight="1">
      <c r="A111" s="94" t="s">
        <v>818</v>
      </c>
      <c r="B111" s="95">
        <v>2.0</v>
      </c>
      <c r="C111" s="28" t="s">
        <v>833</v>
      </c>
      <c r="D111" s="28" t="s">
        <v>834</v>
      </c>
      <c r="E111" s="96" t="s">
        <v>835</v>
      </c>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row>
    <row r="112" ht="15.75" customHeight="1">
      <c r="A112" s="94" t="s">
        <v>818</v>
      </c>
      <c r="B112" s="95">
        <v>3.0</v>
      </c>
      <c r="C112" s="28" t="s">
        <v>836</v>
      </c>
      <c r="D112" s="28" t="s">
        <v>837</v>
      </c>
      <c r="E112" s="28" t="s">
        <v>838</v>
      </c>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row>
    <row r="113" ht="15.75" customHeight="1">
      <c r="A113" s="94" t="s">
        <v>818</v>
      </c>
      <c r="B113" s="95">
        <v>4.0</v>
      </c>
      <c r="C113" s="28" t="s">
        <v>841</v>
      </c>
      <c r="D113" s="28" t="s">
        <v>842</v>
      </c>
      <c r="E113" s="96" t="s">
        <v>843</v>
      </c>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row>
    <row r="114" ht="15.75" customHeight="1">
      <c r="A114" s="94" t="s">
        <v>818</v>
      </c>
      <c r="B114" s="95">
        <v>5.0</v>
      </c>
      <c r="C114" s="28" t="s">
        <v>846</v>
      </c>
      <c r="D114" s="28" t="s">
        <v>847</v>
      </c>
      <c r="E114" s="96" t="s">
        <v>848</v>
      </c>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row>
    <row r="115" ht="15.75" customHeight="1">
      <c r="A115" s="77" t="s">
        <v>818</v>
      </c>
      <c r="B115" s="111">
        <v>6.0</v>
      </c>
      <c r="C115" s="42" t="s">
        <v>849</v>
      </c>
      <c r="D115" s="42" t="s">
        <v>851</v>
      </c>
      <c r="E115" s="42" t="s">
        <v>852</v>
      </c>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row>
    <row r="116" ht="15.75" customHeight="1">
      <c r="A116" s="114"/>
      <c r="B116" s="115"/>
      <c r="C116" s="114"/>
      <c r="D116" s="114"/>
      <c r="E116" s="21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row>
    <row r="117" ht="15.75" customHeight="1">
      <c r="A117" s="123" t="s">
        <v>861</v>
      </c>
      <c r="B117" s="126">
        <v>1.0</v>
      </c>
      <c r="C117" s="136" t="s">
        <v>862</v>
      </c>
      <c r="D117" s="136" t="s">
        <v>862</v>
      </c>
      <c r="E117" s="136" t="s">
        <v>862</v>
      </c>
      <c r="F117" s="49"/>
      <c r="G117" s="49"/>
      <c r="H117" s="49"/>
      <c r="I117" s="49"/>
      <c r="J117" s="49"/>
      <c r="K117" s="49"/>
      <c r="L117" s="49"/>
      <c r="M117" s="49"/>
      <c r="N117" s="49"/>
      <c r="O117" s="49"/>
      <c r="P117" s="49"/>
      <c r="Q117" s="49"/>
      <c r="R117" s="49"/>
      <c r="S117" s="49"/>
      <c r="T117" s="49"/>
      <c r="U117" s="49"/>
      <c r="V117" s="49"/>
      <c r="W117" s="49"/>
      <c r="X117" s="49"/>
      <c r="Y117" s="49"/>
      <c r="Z117" s="49"/>
      <c r="AA117" s="49"/>
      <c r="AB117" s="49"/>
      <c r="AC117" s="49"/>
      <c r="AD117" s="49"/>
      <c r="AE117" s="49"/>
      <c r="AF117" s="49"/>
    </row>
    <row r="118" ht="15.75" customHeight="1">
      <c r="A118" s="94" t="s">
        <v>861</v>
      </c>
      <c r="B118" s="95">
        <v>2.0</v>
      </c>
      <c r="C118" s="28" t="s">
        <v>869</v>
      </c>
      <c r="D118" s="28" t="s">
        <v>869</v>
      </c>
      <c r="E118" s="28" t="s">
        <v>869</v>
      </c>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row>
    <row r="119" ht="15.75" customHeight="1">
      <c r="A119" s="94" t="s">
        <v>861</v>
      </c>
      <c r="B119" s="95">
        <v>3.0</v>
      </c>
      <c r="C119" s="28" t="s">
        <v>872</v>
      </c>
      <c r="D119" s="28" t="s">
        <v>872</v>
      </c>
      <c r="E119" s="28" t="s">
        <v>872</v>
      </c>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row>
    <row r="120" ht="15.75" customHeight="1">
      <c r="A120" s="94" t="s">
        <v>861</v>
      </c>
      <c r="B120" s="95">
        <v>4.0</v>
      </c>
      <c r="C120" s="28" t="s">
        <v>878</v>
      </c>
      <c r="D120" s="28" t="s">
        <v>878</v>
      </c>
      <c r="E120" s="28" t="s">
        <v>878</v>
      </c>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row>
    <row r="121" ht="15.75" customHeight="1">
      <c r="A121" s="94" t="s">
        <v>861</v>
      </c>
      <c r="B121" s="95">
        <v>5.0</v>
      </c>
      <c r="C121" s="28" t="s">
        <v>882</v>
      </c>
      <c r="D121" s="28" t="s">
        <v>882</v>
      </c>
      <c r="E121" s="28" t="s">
        <v>882</v>
      </c>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row>
    <row r="122" ht="15.75" customHeight="1">
      <c r="A122" s="94" t="s">
        <v>861</v>
      </c>
      <c r="B122" s="95">
        <v>6.0</v>
      </c>
      <c r="C122" s="28" t="s">
        <v>889</v>
      </c>
      <c r="D122" s="28" t="s">
        <v>889</v>
      </c>
      <c r="E122" s="28" t="s">
        <v>889</v>
      </c>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row>
    <row r="123" ht="15.75" customHeight="1">
      <c r="A123" s="94" t="s">
        <v>861</v>
      </c>
      <c r="B123" s="95">
        <v>7.0</v>
      </c>
      <c r="C123" s="28" t="s">
        <v>896</v>
      </c>
      <c r="D123" s="28" t="s">
        <v>896</v>
      </c>
      <c r="E123" s="28" t="s">
        <v>896</v>
      </c>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row>
    <row r="124" ht="15.75" customHeight="1">
      <c r="A124" s="77" t="s">
        <v>861</v>
      </c>
      <c r="B124" s="111">
        <v>8.0</v>
      </c>
      <c r="C124" s="42" t="s">
        <v>898</v>
      </c>
      <c r="D124" s="42" t="s">
        <v>898</v>
      </c>
      <c r="E124" s="42" t="s">
        <v>898</v>
      </c>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row>
    <row r="125" ht="15.75" customHeight="1">
      <c r="A125" s="114"/>
      <c r="B125" s="115"/>
      <c r="C125" s="114"/>
      <c r="D125" s="114"/>
      <c r="E125" s="21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row>
    <row r="126" ht="15.75" customHeight="1">
      <c r="A126" s="218" t="s">
        <v>900</v>
      </c>
      <c r="B126" s="219" t="s">
        <v>901</v>
      </c>
      <c r="C126" s="219" t="s">
        <v>902</v>
      </c>
      <c r="D126" s="219" t="s">
        <v>902</v>
      </c>
      <c r="E126" s="219" t="s">
        <v>902</v>
      </c>
      <c r="F126" s="220"/>
      <c r="G126" s="220"/>
      <c r="H126" s="221"/>
      <c r="I126" s="221"/>
      <c r="J126" s="221"/>
      <c r="K126" s="221"/>
      <c r="L126" s="221"/>
      <c r="M126" s="221"/>
      <c r="N126" s="221"/>
      <c r="O126" s="221"/>
      <c r="P126" s="221"/>
      <c r="Q126" s="221"/>
      <c r="R126" s="221"/>
      <c r="S126" s="221"/>
      <c r="T126" s="221"/>
      <c r="U126" s="221"/>
      <c r="V126" s="221"/>
      <c r="W126" s="221"/>
      <c r="X126" s="221"/>
      <c r="Y126" s="221"/>
      <c r="Z126" s="221"/>
      <c r="AA126" s="221"/>
      <c r="AB126" s="221"/>
      <c r="AC126" s="221"/>
      <c r="AD126" s="221"/>
      <c r="AE126" s="221"/>
      <c r="AF126" s="221"/>
    </row>
    <row r="127" ht="15.75" customHeight="1">
      <c r="A127" s="218" t="s">
        <v>900</v>
      </c>
      <c r="B127" s="95">
        <v>-777.0</v>
      </c>
      <c r="C127" s="28" t="s">
        <v>478</v>
      </c>
      <c r="D127" s="28" t="s">
        <v>479</v>
      </c>
      <c r="E127" s="28" t="s">
        <v>909</v>
      </c>
      <c r="F127" s="30"/>
      <c r="G127" s="98"/>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row>
    <row r="128" ht="15.75" customHeight="1">
      <c r="A128" s="114"/>
      <c r="B128" s="115"/>
      <c r="C128" s="114"/>
      <c r="D128" s="114"/>
      <c r="E128" s="114"/>
      <c r="F128" s="30"/>
      <c r="G128" s="98"/>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row>
    <row r="129" ht="15.75" customHeight="1">
      <c r="A129" s="123" t="s">
        <v>910</v>
      </c>
      <c r="B129" s="126">
        <v>0.0</v>
      </c>
      <c r="C129" s="136" t="s">
        <v>228</v>
      </c>
      <c r="D129" s="136" t="s">
        <v>230</v>
      </c>
      <c r="E129" s="136" t="s">
        <v>232</v>
      </c>
      <c r="F129" s="133"/>
      <c r="G129" s="223">
        <v>1.0</v>
      </c>
      <c r="H129" s="49"/>
      <c r="I129" s="49"/>
      <c r="J129" s="49"/>
      <c r="K129" s="49"/>
      <c r="L129" s="49"/>
      <c r="M129" s="49"/>
      <c r="N129" s="49"/>
      <c r="O129" s="49"/>
      <c r="P129" s="49"/>
      <c r="Q129" s="49"/>
      <c r="R129" s="49"/>
      <c r="S129" s="49"/>
      <c r="T129" s="49"/>
      <c r="U129" s="49"/>
      <c r="V129" s="49"/>
      <c r="W129" s="49"/>
      <c r="X129" s="49"/>
      <c r="Y129" s="49"/>
      <c r="Z129" s="49"/>
      <c r="AA129" s="49"/>
      <c r="AB129" s="49"/>
      <c r="AC129" s="49"/>
      <c r="AD129" s="49"/>
      <c r="AE129" s="49"/>
      <c r="AF129" s="49"/>
    </row>
    <row r="130" ht="15.75" customHeight="1">
      <c r="A130" s="94" t="s">
        <v>910</v>
      </c>
      <c r="B130" s="95">
        <v>1.0</v>
      </c>
      <c r="C130" s="28" t="s">
        <v>911</v>
      </c>
      <c r="D130" s="28" t="s">
        <v>911</v>
      </c>
      <c r="E130" s="28" t="s">
        <v>912</v>
      </c>
      <c r="F130" s="27"/>
      <c r="G130" s="106">
        <v>2.0</v>
      </c>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row>
    <row r="131" ht="15.75" customHeight="1">
      <c r="A131" s="94" t="s">
        <v>910</v>
      </c>
      <c r="B131" s="95">
        <v>2.0</v>
      </c>
      <c r="C131" s="28" t="s">
        <v>913</v>
      </c>
      <c r="D131" s="28" t="s">
        <v>914</v>
      </c>
      <c r="E131" s="28" t="s">
        <v>915</v>
      </c>
      <c r="F131" s="27"/>
      <c r="G131" s="27"/>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row>
    <row r="132" ht="15.75" customHeight="1">
      <c r="A132" s="94" t="s">
        <v>910</v>
      </c>
      <c r="B132" s="95">
        <v>3.0</v>
      </c>
      <c r="C132" s="28" t="s">
        <v>920</v>
      </c>
      <c r="D132" s="28" t="s">
        <v>921</v>
      </c>
      <c r="E132" s="28" t="s">
        <v>920</v>
      </c>
      <c r="F132" s="27"/>
      <c r="G132" s="27"/>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row>
    <row r="133" ht="15.75" customHeight="1">
      <c r="A133" s="94" t="s">
        <v>910</v>
      </c>
      <c r="B133" s="95">
        <v>4.0</v>
      </c>
      <c r="C133" s="28" t="s">
        <v>925</v>
      </c>
      <c r="D133" s="28" t="s">
        <v>925</v>
      </c>
      <c r="E133" s="28" t="s">
        <v>925</v>
      </c>
      <c r="F133" s="27"/>
      <c r="G133" s="27"/>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row>
    <row r="134" ht="15.75" customHeight="1">
      <c r="A134" s="94" t="s">
        <v>910</v>
      </c>
      <c r="B134" s="95">
        <v>5.0</v>
      </c>
      <c r="C134" s="28" t="s">
        <v>929</v>
      </c>
      <c r="D134" s="28" t="s">
        <v>930</v>
      </c>
      <c r="E134" s="28" t="s">
        <v>931</v>
      </c>
      <c r="F134" s="27"/>
      <c r="G134" s="27"/>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row>
    <row r="135" ht="15.75" customHeight="1">
      <c r="A135" s="94" t="s">
        <v>910</v>
      </c>
      <c r="B135" s="95">
        <v>6.0</v>
      </c>
      <c r="C135" s="28" t="s">
        <v>939</v>
      </c>
      <c r="D135" s="28" t="s">
        <v>940</v>
      </c>
      <c r="E135" s="96" t="s">
        <v>941</v>
      </c>
      <c r="F135" s="27"/>
      <c r="G135" s="27"/>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row>
    <row r="136" ht="15.75" customHeight="1">
      <c r="A136" s="94" t="s">
        <v>910</v>
      </c>
      <c r="B136" s="95">
        <v>7.0</v>
      </c>
      <c r="C136" s="28" t="s">
        <v>942</v>
      </c>
      <c r="D136" s="28" t="s">
        <v>943</v>
      </c>
      <c r="E136" s="28" t="s">
        <v>942</v>
      </c>
      <c r="F136" s="27"/>
      <c r="G136" s="27"/>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row>
    <row r="137" ht="15.75" customHeight="1">
      <c r="A137" s="94" t="s">
        <v>910</v>
      </c>
      <c r="B137" s="95">
        <v>8.0</v>
      </c>
      <c r="C137" s="28" t="s">
        <v>945</v>
      </c>
      <c r="D137" s="28" t="s">
        <v>945</v>
      </c>
      <c r="E137" s="28" t="s">
        <v>945</v>
      </c>
      <c r="F137" s="27"/>
      <c r="G137" s="27"/>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row>
    <row r="138" ht="15.75" customHeight="1">
      <c r="A138" s="94" t="s">
        <v>910</v>
      </c>
      <c r="B138" s="95">
        <v>9.0</v>
      </c>
      <c r="C138" s="28" t="s">
        <v>949</v>
      </c>
      <c r="D138" s="28" t="s">
        <v>949</v>
      </c>
      <c r="E138" s="28" t="s">
        <v>949</v>
      </c>
      <c r="F138" s="27"/>
      <c r="G138" s="27"/>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row>
    <row r="139" ht="15.75" customHeight="1">
      <c r="A139" s="94" t="s">
        <v>910</v>
      </c>
      <c r="B139" s="95">
        <v>10.0</v>
      </c>
      <c r="C139" s="28" t="s">
        <v>957</v>
      </c>
      <c r="D139" s="28" t="s">
        <v>959</v>
      </c>
      <c r="E139" s="28" t="s">
        <v>960</v>
      </c>
      <c r="F139" s="27"/>
      <c r="G139" s="27"/>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row>
    <row r="140" ht="15.75" customHeight="1">
      <c r="A140" s="94" t="s">
        <v>910</v>
      </c>
      <c r="B140" s="95">
        <v>11.0</v>
      </c>
      <c r="C140" s="28" t="s">
        <v>965</v>
      </c>
      <c r="D140" s="28" t="s">
        <v>966</v>
      </c>
      <c r="E140" s="28" t="s">
        <v>965</v>
      </c>
      <c r="F140" s="27"/>
      <c r="G140" s="27"/>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row>
    <row r="141" ht="15.75" customHeight="1">
      <c r="A141" s="94" t="s">
        <v>910</v>
      </c>
      <c r="B141" s="95">
        <v>12.0</v>
      </c>
      <c r="C141" s="28" t="s">
        <v>972</v>
      </c>
      <c r="D141" s="28" t="s">
        <v>972</v>
      </c>
      <c r="E141" s="28" t="s">
        <v>972</v>
      </c>
      <c r="F141" s="27"/>
      <c r="G141" s="27"/>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row>
    <row r="142" ht="15.75" customHeight="1">
      <c r="A142" s="94" t="s">
        <v>910</v>
      </c>
      <c r="B142" s="95">
        <v>13.0</v>
      </c>
      <c r="C142" s="28" t="s">
        <v>978</v>
      </c>
      <c r="D142" s="28" t="s">
        <v>979</v>
      </c>
      <c r="E142" s="28" t="s">
        <v>978</v>
      </c>
      <c r="F142" s="27"/>
      <c r="G142" s="27"/>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row>
    <row r="143" ht="15.75" customHeight="1">
      <c r="A143" s="94" t="s">
        <v>910</v>
      </c>
      <c r="B143" s="95">
        <v>14.0</v>
      </c>
      <c r="C143" s="28" t="s">
        <v>988</v>
      </c>
      <c r="D143" s="28" t="s">
        <v>988</v>
      </c>
      <c r="E143" s="28" t="s">
        <v>988</v>
      </c>
      <c r="F143" s="27"/>
      <c r="G143" s="27"/>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row>
    <row r="144" ht="15.75" customHeight="1">
      <c r="A144" s="94" t="s">
        <v>910</v>
      </c>
      <c r="B144" s="95">
        <v>15.0</v>
      </c>
      <c r="C144" s="28" t="s">
        <v>997</v>
      </c>
      <c r="D144" s="28" t="s">
        <v>998</v>
      </c>
      <c r="E144" s="28" t="s">
        <v>997</v>
      </c>
      <c r="F144" s="27"/>
      <c r="G144" s="27"/>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row>
    <row r="145" ht="15.75" customHeight="1">
      <c r="A145" s="94" t="s">
        <v>910</v>
      </c>
      <c r="B145" s="95">
        <v>16.0</v>
      </c>
      <c r="C145" s="28" t="s">
        <v>1004</v>
      </c>
      <c r="D145" s="28" t="s">
        <v>1005</v>
      </c>
      <c r="E145" s="28" t="s">
        <v>1004</v>
      </c>
      <c r="F145" s="27"/>
      <c r="G145" s="27"/>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row>
    <row r="146" ht="15.75" customHeight="1">
      <c r="A146" s="94" t="s">
        <v>910</v>
      </c>
      <c r="B146" s="95">
        <v>17.0</v>
      </c>
      <c r="C146" s="28" t="s">
        <v>1012</v>
      </c>
      <c r="D146" s="28" t="s">
        <v>1013</v>
      </c>
      <c r="E146" s="28" t="s">
        <v>1014</v>
      </c>
      <c r="F146" s="27"/>
      <c r="G146" s="27"/>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row>
    <row r="147" ht="15.75" customHeight="1">
      <c r="A147" s="94" t="s">
        <v>910</v>
      </c>
      <c r="B147" s="95">
        <v>18.0</v>
      </c>
      <c r="C147" s="28" t="s">
        <v>1021</v>
      </c>
      <c r="D147" s="28" t="s">
        <v>1021</v>
      </c>
      <c r="E147" s="28" t="s">
        <v>1022</v>
      </c>
      <c r="F147" s="27"/>
      <c r="G147" s="27"/>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row>
    <row r="148" ht="15.75" customHeight="1">
      <c r="A148" s="94" t="s">
        <v>910</v>
      </c>
      <c r="B148" s="95">
        <v>19.0</v>
      </c>
      <c r="C148" s="28" t="s">
        <v>1024</v>
      </c>
      <c r="D148" s="28" t="s">
        <v>1024</v>
      </c>
      <c r="E148" s="28" t="s">
        <v>1025</v>
      </c>
      <c r="F148" s="27"/>
      <c r="G148" s="27"/>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row>
    <row r="149" ht="15.75" customHeight="1">
      <c r="A149" s="94" t="s">
        <v>910</v>
      </c>
      <c r="B149" s="95">
        <v>20.0</v>
      </c>
      <c r="C149" s="28" t="s">
        <v>1027</v>
      </c>
      <c r="D149" s="28" t="s">
        <v>1028</v>
      </c>
      <c r="E149" s="96" t="s">
        <v>1029</v>
      </c>
      <c r="F149" s="27"/>
      <c r="G149" s="27"/>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row>
    <row r="150" ht="15.75" customHeight="1">
      <c r="A150" s="94" t="s">
        <v>910</v>
      </c>
      <c r="B150" s="95">
        <v>21.0</v>
      </c>
      <c r="C150" s="28" t="s">
        <v>1033</v>
      </c>
      <c r="D150" s="28" t="s">
        <v>1034</v>
      </c>
      <c r="E150" s="28" t="s">
        <v>1035</v>
      </c>
      <c r="F150" s="27"/>
      <c r="G150" s="27"/>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row>
    <row r="151" ht="15.75" customHeight="1">
      <c r="A151" s="94" t="s">
        <v>910</v>
      </c>
      <c r="B151" s="95">
        <v>-777.0</v>
      </c>
      <c r="C151" s="28" t="s">
        <v>478</v>
      </c>
      <c r="D151" s="28" t="s">
        <v>479</v>
      </c>
      <c r="E151" s="28" t="s">
        <v>909</v>
      </c>
      <c r="F151" s="27"/>
      <c r="G151" s="27"/>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row>
    <row r="152" ht="15.75" customHeight="1">
      <c r="A152" s="77" t="s">
        <v>910</v>
      </c>
      <c r="B152" s="111">
        <v>-999.0</v>
      </c>
      <c r="C152" s="42" t="s">
        <v>134</v>
      </c>
      <c r="D152" s="42" t="s">
        <v>135</v>
      </c>
      <c r="E152" s="42" t="s">
        <v>136</v>
      </c>
      <c r="F152" s="41"/>
      <c r="G152" s="41"/>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row>
    <row r="153" ht="15.75" customHeight="1">
      <c r="A153" s="114"/>
      <c r="B153" s="115"/>
      <c r="C153" s="114"/>
      <c r="D153" s="114"/>
      <c r="E153" s="21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row>
    <row r="154" ht="15.75" customHeight="1">
      <c r="A154" s="123" t="s">
        <v>1057</v>
      </c>
      <c r="B154" s="126">
        <v>1.0</v>
      </c>
      <c r="C154" s="136" t="s">
        <v>1058</v>
      </c>
      <c r="D154" s="136" t="s">
        <v>1059</v>
      </c>
      <c r="E154" s="213" t="s">
        <v>1060</v>
      </c>
      <c r="F154" s="49"/>
      <c r="G154" s="49"/>
      <c r="H154" s="49"/>
      <c r="I154" s="49"/>
      <c r="J154" s="49"/>
      <c r="K154" s="49"/>
      <c r="L154" s="49"/>
      <c r="M154" s="49"/>
      <c r="N154" s="49"/>
      <c r="O154" s="49"/>
      <c r="P154" s="49"/>
      <c r="Q154" s="49"/>
      <c r="R154" s="49"/>
      <c r="S154" s="49"/>
      <c r="T154" s="49"/>
      <c r="U154" s="49"/>
      <c r="V154" s="49"/>
      <c r="W154" s="49"/>
      <c r="X154" s="49"/>
      <c r="Y154" s="49"/>
      <c r="Z154" s="49"/>
      <c r="AA154" s="49"/>
      <c r="AB154" s="49"/>
      <c r="AC154" s="49"/>
      <c r="AD154" s="49"/>
      <c r="AE154" s="49"/>
      <c r="AF154" s="49"/>
    </row>
    <row r="155" ht="15.75" customHeight="1">
      <c r="A155" s="94" t="s">
        <v>1057</v>
      </c>
      <c r="B155" s="95">
        <v>2.0</v>
      </c>
      <c r="C155" s="28" t="s">
        <v>1065</v>
      </c>
      <c r="D155" s="28" t="s">
        <v>1066</v>
      </c>
      <c r="E155" s="96" t="s">
        <v>1067</v>
      </c>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row>
    <row r="156" ht="15.75" customHeight="1">
      <c r="A156" s="94" t="s">
        <v>1057</v>
      </c>
      <c r="B156" s="95">
        <v>3.0</v>
      </c>
      <c r="C156" s="28" t="s">
        <v>1068</v>
      </c>
      <c r="D156" s="28" t="s">
        <v>1069</v>
      </c>
      <c r="E156" s="28" t="s">
        <v>1070</v>
      </c>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row>
    <row r="157" ht="15.75" customHeight="1">
      <c r="A157" s="94" t="s">
        <v>1057</v>
      </c>
      <c r="B157" s="95">
        <v>4.0</v>
      </c>
      <c r="C157" s="28" t="s">
        <v>1075</v>
      </c>
      <c r="D157" s="28" t="s">
        <v>1078</v>
      </c>
      <c r="E157" s="28" t="s">
        <v>1080</v>
      </c>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row>
    <row r="158" ht="15.75" customHeight="1">
      <c r="A158" s="77" t="s">
        <v>1057</v>
      </c>
      <c r="B158" s="111">
        <v>-777.0</v>
      </c>
      <c r="C158" s="42" t="s">
        <v>478</v>
      </c>
      <c r="D158" s="42" t="s">
        <v>479</v>
      </c>
      <c r="E158" s="42" t="s">
        <v>480</v>
      </c>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row>
    <row r="159" ht="15.75" customHeight="1">
      <c r="A159" s="114"/>
      <c r="B159" s="115"/>
      <c r="C159" s="114"/>
      <c r="D159" s="114"/>
      <c r="E159" s="21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row>
    <row r="160" ht="15.75" customHeight="1">
      <c r="A160" s="123" t="s">
        <v>1092</v>
      </c>
      <c r="B160" s="126">
        <v>1.0</v>
      </c>
      <c r="C160" s="136" t="s">
        <v>1095</v>
      </c>
      <c r="D160" s="136" t="s">
        <v>1097</v>
      </c>
      <c r="E160" s="213" t="s">
        <v>1098</v>
      </c>
      <c r="F160" s="133"/>
      <c r="G160" s="133"/>
      <c r="H160" s="49"/>
      <c r="I160" s="49"/>
      <c r="J160" s="49"/>
      <c r="K160" s="49"/>
      <c r="L160" s="49"/>
      <c r="M160" s="49"/>
      <c r="N160" s="49"/>
      <c r="O160" s="49"/>
      <c r="P160" s="49"/>
      <c r="Q160" s="49"/>
      <c r="R160" s="49"/>
      <c r="S160" s="49"/>
      <c r="T160" s="49"/>
      <c r="U160" s="49"/>
      <c r="V160" s="49"/>
      <c r="W160" s="49"/>
      <c r="X160" s="49"/>
      <c r="Y160" s="49"/>
      <c r="Z160" s="49"/>
      <c r="AA160" s="49"/>
      <c r="AB160" s="49"/>
      <c r="AC160" s="49"/>
      <c r="AD160" s="49"/>
      <c r="AE160" s="49"/>
      <c r="AF160" s="49"/>
    </row>
    <row r="161" ht="15.75" customHeight="1">
      <c r="A161" s="94" t="s">
        <v>1092</v>
      </c>
      <c r="B161" s="95">
        <v>2.0</v>
      </c>
      <c r="C161" s="28" t="s">
        <v>1099</v>
      </c>
      <c r="D161" s="28" t="s">
        <v>1100</v>
      </c>
      <c r="E161" s="28" t="s">
        <v>1101</v>
      </c>
      <c r="F161" s="27"/>
      <c r="G161" s="27"/>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row>
    <row r="162" ht="15.75" customHeight="1">
      <c r="A162" s="94" t="s">
        <v>1092</v>
      </c>
      <c r="B162" s="95">
        <v>3.0</v>
      </c>
      <c r="C162" s="28" t="s">
        <v>1106</v>
      </c>
      <c r="D162" s="28" t="s">
        <v>1107</v>
      </c>
      <c r="E162" s="96" t="s">
        <v>1108</v>
      </c>
      <c r="F162" s="27"/>
      <c r="G162" s="27"/>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row>
    <row r="163" ht="15.75" customHeight="1">
      <c r="A163" s="94" t="s">
        <v>1092</v>
      </c>
      <c r="B163" s="95">
        <v>4.0</v>
      </c>
      <c r="C163" s="28" t="s">
        <v>1110</v>
      </c>
      <c r="D163" s="28" t="s">
        <v>1111</v>
      </c>
      <c r="E163" s="96" t="s">
        <v>1112</v>
      </c>
      <c r="F163" s="27"/>
      <c r="G163" s="27"/>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row>
    <row r="164" ht="15.75" customHeight="1">
      <c r="A164" s="94" t="s">
        <v>1092</v>
      </c>
      <c r="B164" s="95">
        <v>5.0</v>
      </c>
      <c r="C164" s="28" t="s">
        <v>1116</v>
      </c>
      <c r="D164" s="28" t="s">
        <v>1117</v>
      </c>
      <c r="E164" s="28" t="s">
        <v>1119</v>
      </c>
      <c r="F164" s="27"/>
      <c r="G164" s="27"/>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row>
    <row r="165" ht="15.75" customHeight="1">
      <c r="A165" s="94" t="s">
        <v>1092</v>
      </c>
      <c r="B165" s="95">
        <v>6.0</v>
      </c>
      <c r="C165" s="28" t="s">
        <v>1123</v>
      </c>
      <c r="D165" s="28" t="s">
        <v>1125</v>
      </c>
      <c r="E165" s="28" t="s">
        <v>1126</v>
      </c>
      <c r="F165" s="27"/>
      <c r="G165" s="27"/>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row>
    <row r="166" ht="15.75" customHeight="1">
      <c r="A166" s="94" t="s">
        <v>1092</v>
      </c>
      <c r="B166" s="95">
        <v>7.0</v>
      </c>
      <c r="C166" s="28" t="s">
        <v>1130</v>
      </c>
      <c r="D166" s="28" t="s">
        <v>1131</v>
      </c>
      <c r="E166" s="28" t="s">
        <v>1132</v>
      </c>
      <c r="F166" s="27"/>
      <c r="G166" s="27"/>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row>
    <row r="167" ht="15.75" customHeight="1">
      <c r="A167" s="94" t="s">
        <v>1092</v>
      </c>
      <c r="B167" s="95">
        <v>8.0</v>
      </c>
      <c r="C167" s="28" t="s">
        <v>1138</v>
      </c>
      <c r="D167" s="28" t="s">
        <v>1139</v>
      </c>
      <c r="E167" s="96" t="s">
        <v>1140</v>
      </c>
      <c r="F167" s="27"/>
      <c r="G167" s="27"/>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row>
    <row r="168" ht="15.75" customHeight="1">
      <c r="A168" s="94" t="s">
        <v>1092</v>
      </c>
      <c r="B168" s="95">
        <v>9.0</v>
      </c>
      <c r="C168" s="28" t="s">
        <v>1144</v>
      </c>
      <c r="D168" s="28" t="s">
        <v>1145</v>
      </c>
      <c r="E168" s="28" t="s">
        <v>1146</v>
      </c>
      <c r="F168" s="27"/>
      <c r="G168" s="27"/>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row>
    <row r="169" ht="15.75" customHeight="1">
      <c r="A169" s="77" t="s">
        <v>1092</v>
      </c>
      <c r="B169" s="111">
        <v>-777.0</v>
      </c>
      <c r="C169" s="42" t="s">
        <v>478</v>
      </c>
      <c r="D169" s="42" t="s">
        <v>479</v>
      </c>
      <c r="E169" s="42" t="s">
        <v>480</v>
      </c>
      <c r="F169" s="41"/>
      <c r="G169" s="41"/>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row>
    <row r="170" ht="15.75" customHeight="1">
      <c r="A170" s="114"/>
      <c r="B170" s="115"/>
      <c r="C170" s="114"/>
      <c r="D170" s="114"/>
      <c r="E170" s="21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row>
    <row r="171" ht="15.75" customHeight="1">
      <c r="A171" s="123" t="s">
        <v>1161</v>
      </c>
      <c r="B171" s="126">
        <v>1.0</v>
      </c>
      <c r="C171" s="136" t="s">
        <v>1163</v>
      </c>
      <c r="D171" s="136" t="s">
        <v>1164</v>
      </c>
      <c r="E171" s="213" t="s">
        <v>1165</v>
      </c>
      <c r="F171" s="133"/>
      <c r="G171" s="229"/>
      <c r="H171" s="49"/>
      <c r="I171" s="49"/>
      <c r="J171" s="49"/>
      <c r="K171" s="49"/>
      <c r="L171" s="49"/>
      <c r="M171" s="49"/>
      <c r="N171" s="49"/>
      <c r="O171" s="49"/>
      <c r="P171" s="49"/>
      <c r="Q171" s="49"/>
      <c r="R171" s="49"/>
      <c r="S171" s="49"/>
      <c r="T171" s="49"/>
      <c r="U171" s="49"/>
      <c r="V171" s="49"/>
      <c r="W171" s="49"/>
      <c r="X171" s="49"/>
      <c r="Y171" s="49"/>
      <c r="Z171" s="49"/>
      <c r="AA171" s="49"/>
      <c r="AB171" s="49"/>
      <c r="AC171" s="49"/>
      <c r="AD171" s="49"/>
      <c r="AE171" s="49"/>
      <c r="AF171" s="49"/>
    </row>
    <row r="172" ht="15.75" customHeight="1">
      <c r="A172" s="94" t="s">
        <v>1161</v>
      </c>
      <c r="B172" s="95">
        <v>2.0</v>
      </c>
      <c r="C172" s="28" t="s">
        <v>1166</v>
      </c>
      <c r="D172" s="28" t="s">
        <v>1167</v>
      </c>
      <c r="E172" s="96" t="s">
        <v>1168</v>
      </c>
      <c r="F172" s="191"/>
      <c r="G172" s="27"/>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row>
    <row r="173" ht="15.75" customHeight="1">
      <c r="A173" s="94" t="s">
        <v>1161</v>
      </c>
      <c r="B173" s="95">
        <v>3.0</v>
      </c>
      <c r="C173" s="28" t="s">
        <v>1173</v>
      </c>
      <c r="D173" s="28" t="s">
        <v>842</v>
      </c>
      <c r="E173" s="96" t="s">
        <v>1174</v>
      </c>
      <c r="F173" s="191"/>
      <c r="G173" s="27"/>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row>
    <row r="174" ht="15.75" customHeight="1">
      <c r="A174" s="77" t="s">
        <v>1161</v>
      </c>
      <c r="B174" s="111">
        <v>4.0</v>
      </c>
      <c r="C174" s="42" t="s">
        <v>1179</v>
      </c>
      <c r="D174" s="42" t="s">
        <v>1180</v>
      </c>
      <c r="E174" s="82" t="s">
        <v>1181</v>
      </c>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row>
    <row r="175" ht="15.75" customHeight="1">
      <c r="A175" s="114"/>
      <c r="B175" s="115"/>
      <c r="C175" s="114"/>
      <c r="D175" s="114"/>
      <c r="E175" s="21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row>
    <row r="176" ht="15.75" customHeight="1">
      <c r="A176" s="123" t="s">
        <v>1192</v>
      </c>
      <c r="B176" s="126">
        <v>1.0</v>
      </c>
      <c r="C176" s="136" t="s">
        <v>1195</v>
      </c>
      <c r="D176" s="136" t="s">
        <v>1195</v>
      </c>
      <c r="E176" s="136" t="s">
        <v>1197</v>
      </c>
      <c r="F176" s="49"/>
      <c r="G176" s="49"/>
      <c r="H176" s="49"/>
      <c r="I176" s="49"/>
      <c r="J176" s="49"/>
      <c r="K176" s="49"/>
      <c r="L176" s="49"/>
      <c r="M176" s="49"/>
      <c r="N176" s="49"/>
      <c r="O176" s="49"/>
      <c r="P176" s="49"/>
      <c r="Q176" s="49"/>
      <c r="R176" s="49"/>
      <c r="S176" s="49"/>
      <c r="T176" s="49"/>
      <c r="U176" s="49"/>
      <c r="V176" s="49"/>
      <c r="W176" s="49"/>
      <c r="X176" s="49"/>
      <c r="Y176" s="49"/>
      <c r="Z176" s="49"/>
      <c r="AA176" s="49"/>
      <c r="AB176" s="49"/>
      <c r="AC176" s="49"/>
      <c r="AD176" s="49"/>
      <c r="AE176" s="30"/>
      <c r="AF176" s="30"/>
    </row>
    <row r="177" ht="15.75" customHeight="1">
      <c r="A177" s="94" t="s">
        <v>1192</v>
      </c>
      <c r="B177" s="95">
        <v>2.0</v>
      </c>
      <c r="C177" s="28" t="s">
        <v>1210</v>
      </c>
      <c r="D177" s="28" t="s">
        <v>1212</v>
      </c>
      <c r="E177" s="28" t="s">
        <v>1214</v>
      </c>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row>
    <row r="178" ht="15.75" customHeight="1">
      <c r="A178" s="94" t="s">
        <v>1192</v>
      </c>
      <c r="B178" s="95">
        <v>3.0</v>
      </c>
      <c r="C178" s="28" t="s">
        <v>1227</v>
      </c>
      <c r="D178" s="28" t="s">
        <v>1227</v>
      </c>
      <c r="E178" s="28" t="s">
        <v>1229</v>
      </c>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row>
    <row r="179" ht="15.75" customHeight="1">
      <c r="A179" s="94" t="s">
        <v>1192</v>
      </c>
      <c r="B179" s="95">
        <v>4.0</v>
      </c>
      <c r="C179" s="28" t="s">
        <v>1242</v>
      </c>
      <c r="D179" s="28" t="s">
        <v>1244</v>
      </c>
      <c r="E179" s="28" t="s">
        <v>1246</v>
      </c>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row>
    <row r="180" ht="15.75" customHeight="1">
      <c r="A180" s="94" t="s">
        <v>1192</v>
      </c>
      <c r="B180" s="95">
        <v>5.0</v>
      </c>
      <c r="C180" s="28" t="s">
        <v>1252</v>
      </c>
      <c r="D180" s="28" t="s">
        <v>1253</v>
      </c>
      <c r="E180" s="28" t="s">
        <v>1254</v>
      </c>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row>
    <row r="181" ht="15.75" customHeight="1">
      <c r="A181" s="94" t="s">
        <v>1192</v>
      </c>
      <c r="B181" s="95">
        <v>6.0</v>
      </c>
      <c r="C181" s="28" t="s">
        <v>1264</v>
      </c>
      <c r="D181" s="28" t="s">
        <v>1266</v>
      </c>
      <c r="E181" s="28" t="s">
        <v>1268</v>
      </c>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row>
    <row r="182" ht="15.75" customHeight="1">
      <c r="A182" s="94" t="s">
        <v>1192</v>
      </c>
      <c r="B182" s="95">
        <v>7.0</v>
      </c>
      <c r="C182" s="28" t="s">
        <v>1192</v>
      </c>
      <c r="D182" s="28" t="s">
        <v>1273</v>
      </c>
      <c r="E182" s="28" t="s">
        <v>1274</v>
      </c>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row>
    <row r="183" ht="15.75" customHeight="1">
      <c r="A183" s="94" t="s">
        <v>1192</v>
      </c>
      <c r="B183" s="95">
        <v>8.0</v>
      </c>
      <c r="C183" s="28" t="s">
        <v>1285</v>
      </c>
      <c r="D183" s="28" t="s">
        <v>1287</v>
      </c>
      <c r="E183" s="28" t="s">
        <v>1285</v>
      </c>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row>
    <row r="184" ht="15.75" customHeight="1">
      <c r="A184" s="94" t="s">
        <v>1192</v>
      </c>
      <c r="B184" s="95">
        <v>9.0</v>
      </c>
      <c r="C184" s="28" t="s">
        <v>1296</v>
      </c>
      <c r="D184" s="28" t="s">
        <v>1297</v>
      </c>
      <c r="E184" s="28" t="s">
        <v>1299</v>
      </c>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row>
    <row r="185" ht="15.75" customHeight="1">
      <c r="A185" s="94" t="s">
        <v>1192</v>
      </c>
      <c r="B185" s="95">
        <v>10.0</v>
      </c>
      <c r="C185" s="28" t="s">
        <v>1311</v>
      </c>
      <c r="D185" s="28" t="s">
        <v>1313</v>
      </c>
      <c r="E185" s="28" t="s">
        <v>1314</v>
      </c>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row>
    <row r="186" ht="15.75" customHeight="1">
      <c r="A186" s="94" t="s">
        <v>1192</v>
      </c>
      <c r="B186" s="95">
        <v>11.0</v>
      </c>
      <c r="C186" s="28" t="s">
        <v>1325</v>
      </c>
      <c r="D186" s="28" t="s">
        <v>1328</v>
      </c>
      <c r="E186" s="28" t="s">
        <v>1331</v>
      </c>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row>
    <row r="187" ht="15.75" customHeight="1">
      <c r="A187" s="77" t="s">
        <v>1192</v>
      </c>
      <c r="B187" s="111">
        <v>-777.0</v>
      </c>
      <c r="C187" s="42" t="s">
        <v>1341</v>
      </c>
      <c r="D187" s="42" t="s">
        <v>1343</v>
      </c>
      <c r="E187" s="42" t="s">
        <v>1345</v>
      </c>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30"/>
      <c r="AF187" s="30"/>
    </row>
    <row r="188" ht="15.75" customHeight="1">
      <c r="A188" s="114"/>
      <c r="B188" s="115"/>
      <c r="C188" s="114"/>
      <c r="D188" s="114"/>
      <c r="E188" s="21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row>
    <row r="189" ht="15.75" customHeight="1">
      <c r="A189" s="123" t="s">
        <v>1363</v>
      </c>
      <c r="B189" s="126">
        <v>0.0</v>
      </c>
      <c r="C189" s="136" t="s">
        <v>228</v>
      </c>
      <c r="D189" s="136" t="s">
        <v>230</v>
      </c>
      <c r="E189" s="136" t="s">
        <v>232</v>
      </c>
      <c r="F189" s="49"/>
      <c r="G189" s="49"/>
      <c r="H189" s="49"/>
      <c r="I189" s="49"/>
      <c r="J189" s="49"/>
      <c r="K189" s="49"/>
      <c r="L189" s="49"/>
      <c r="M189" s="49"/>
      <c r="N189" s="49"/>
      <c r="O189" s="49"/>
      <c r="P189" s="49"/>
      <c r="Q189" s="49"/>
      <c r="R189" s="49"/>
      <c r="S189" s="49"/>
      <c r="T189" s="49"/>
      <c r="U189" s="49"/>
      <c r="V189" s="49"/>
      <c r="W189" s="49"/>
      <c r="X189" s="49"/>
      <c r="Y189" s="49"/>
      <c r="Z189" s="49"/>
      <c r="AA189" s="49"/>
      <c r="AB189" s="49"/>
      <c r="AC189" s="49"/>
      <c r="AD189" s="49"/>
      <c r="AE189" s="30"/>
      <c r="AF189" s="30"/>
    </row>
    <row r="190" ht="15.75" customHeight="1">
      <c r="A190" s="94" t="s">
        <v>1363</v>
      </c>
      <c r="B190" s="95">
        <v>1.0</v>
      </c>
      <c r="C190" s="28" t="s">
        <v>1371</v>
      </c>
      <c r="D190" s="28" t="s">
        <v>1372</v>
      </c>
      <c r="E190" s="28" t="s">
        <v>1373</v>
      </c>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row>
    <row r="191" ht="15.75" customHeight="1">
      <c r="A191" s="94" t="s">
        <v>1363</v>
      </c>
      <c r="B191" s="95">
        <v>2.0</v>
      </c>
      <c r="C191" s="28" t="s">
        <v>1374</v>
      </c>
      <c r="D191" s="28" t="s">
        <v>1375</v>
      </c>
      <c r="E191" s="28" t="s">
        <v>1376</v>
      </c>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row>
    <row r="192" ht="15.75" customHeight="1">
      <c r="A192" s="94" t="s">
        <v>1363</v>
      </c>
      <c r="B192" s="95">
        <v>3.0</v>
      </c>
      <c r="C192" s="28" t="s">
        <v>1380</v>
      </c>
      <c r="D192" s="28" t="s">
        <v>1381</v>
      </c>
      <c r="E192" s="28" t="s">
        <v>1382</v>
      </c>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row>
    <row r="193" ht="15.75" customHeight="1">
      <c r="A193" s="94" t="s">
        <v>1363</v>
      </c>
      <c r="B193" s="95">
        <v>4.0</v>
      </c>
      <c r="C193" s="28" t="s">
        <v>1386</v>
      </c>
      <c r="D193" s="28" t="s">
        <v>1387</v>
      </c>
      <c r="E193" s="28" t="s">
        <v>1388</v>
      </c>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row>
    <row r="194" ht="15.75" customHeight="1">
      <c r="A194" s="94" t="s">
        <v>1363</v>
      </c>
      <c r="B194" s="95">
        <v>5.0</v>
      </c>
      <c r="C194" s="28" t="s">
        <v>1394</v>
      </c>
      <c r="D194" s="28" t="s">
        <v>1395</v>
      </c>
      <c r="E194" s="28" t="s">
        <v>1396</v>
      </c>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row>
    <row r="195" ht="15.75" customHeight="1">
      <c r="A195" s="94" t="s">
        <v>1363</v>
      </c>
      <c r="B195" s="95">
        <v>6.0</v>
      </c>
      <c r="C195" s="28" t="s">
        <v>1399</v>
      </c>
      <c r="D195" s="28" t="s">
        <v>1400</v>
      </c>
      <c r="E195" s="28" t="s">
        <v>1401</v>
      </c>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row>
    <row r="196" ht="15.75" customHeight="1">
      <c r="A196" s="94" t="s">
        <v>1363</v>
      </c>
      <c r="B196" s="95">
        <v>7.0</v>
      </c>
      <c r="C196" s="28" t="s">
        <v>1406</v>
      </c>
      <c r="D196" s="28" t="s">
        <v>1406</v>
      </c>
      <c r="E196" s="28" t="s">
        <v>1407</v>
      </c>
      <c r="F196" s="30"/>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row>
    <row r="197" ht="15.75" customHeight="1">
      <c r="A197" s="94" t="s">
        <v>1363</v>
      </c>
      <c r="B197" s="95">
        <v>8.0</v>
      </c>
      <c r="C197" s="28" t="s">
        <v>1410</v>
      </c>
      <c r="D197" s="28" t="s">
        <v>1411</v>
      </c>
      <c r="E197" s="28" t="s">
        <v>1412</v>
      </c>
      <c r="F197" s="30"/>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row>
    <row r="198" ht="15.75" customHeight="1">
      <c r="A198" s="94" t="s">
        <v>1363</v>
      </c>
      <c r="B198" s="95">
        <v>9.0</v>
      </c>
      <c r="C198" s="28" t="s">
        <v>1415</v>
      </c>
      <c r="D198" s="28" t="s">
        <v>1415</v>
      </c>
      <c r="E198" s="28" t="s">
        <v>1416</v>
      </c>
      <c r="F198" s="30"/>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row>
    <row r="199" ht="15.75" customHeight="1">
      <c r="A199" s="94" t="s">
        <v>1363</v>
      </c>
      <c r="B199" s="95">
        <v>10.0</v>
      </c>
      <c r="C199" s="28" t="s">
        <v>1422</v>
      </c>
      <c r="D199" s="28" t="s">
        <v>1422</v>
      </c>
      <c r="E199" s="28" t="s">
        <v>1424</v>
      </c>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row>
    <row r="200" ht="15.75" customHeight="1">
      <c r="A200" s="94" t="s">
        <v>1363</v>
      </c>
      <c r="B200" s="95">
        <v>11.0</v>
      </c>
      <c r="C200" s="28" t="s">
        <v>1426</v>
      </c>
      <c r="D200" s="28" t="s">
        <v>1427</v>
      </c>
      <c r="E200" s="28" t="s">
        <v>1428</v>
      </c>
      <c r="F200" s="30"/>
      <c r="G200" s="30"/>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row>
    <row r="201" ht="15.75" customHeight="1">
      <c r="A201" s="94" t="s">
        <v>1363</v>
      </c>
      <c r="B201" s="95">
        <v>12.0</v>
      </c>
      <c r="C201" s="28" t="s">
        <v>1434</v>
      </c>
      <c r="D201" s="28" t="s">
        <v>1436</v>
      </c>
      <c r="E201" s="28" t="s">
        <v>1437</v>
      </c>
      <c r="F201" s="30"/>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row>
    <row r="202" ht="15.75" customHeight="1">
      <c r="A202" s="94" t="s">
        <v>1363</v>
      </c>
      <c r="B202" s="95">
        <v>13.0</v>
      </c>
      <c r="C202" s="28" t="s">
        <v>1442</v>
      </c>
      <c r="D202" s="28" t="s">
        <v>1443</v>
      </c>
      <c r="E202" s="28" t="s">
        <v>1444</v>
      </c>
      <c r="F202" s="30"/>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row>
    <row r="203" ht="15.75" customHeight="1">
      <c r="A203" s="94" t="s">
        <v>1363</v>
      </c>
      <c r="B203" s="95">
        <v>14.0</v>
      </c>
      <c r="C203" s="28" t="s">
        <v>1447</v>
      </c>
      <c r="D203" s="28" t="s">
        <v>1448</v>
      </c>
      <c r="E203" s="28" t="s">
        <v>1449</v>
      </c>
      <c r="F203" s="30"/>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row>
    <row r="204" ht="15.75" customHeight="1">
      <c r="A204" s="94" t="s">
        <v>1363</v>
      </c>
      <c r="B204" s="95">
        <v>15.0</v>
      </c>
      <c r="C204" s="28" t="s">
        <v>1454</v>
      </c>
      <c r="D204" s="28" t="s">
        <v>1455</v>
      </c>
      <c r="E204" s="28" t="s">
        <v>1456</v>
      </c>
      <c r="F204" s="30"/>
      <c r="G204" s="30"/>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row>
    <row r="205" ht="15.75" customHeight="1">
      <c r="A205" s="94" t="s">
        <v>1363</v>
      </c>
      <c r="B205" s="95">
        <v>16.0</v>
      </c>
      <c r="C205" s="28" t="s">
        <v>1462</v>
      </c>
      <c r="D205" s="28" t="s">
        <v>1463</v>
      </c>
      <c r="E205" s="28" t="s">
        <v>1465</v>
      </c>
      <c r="F205" s="30"/>
      <c r="G205" s="30"/>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row>
    <row r="206" ht="15.75" customHeight="1">
      <c r="A206" s="94" t="s">
        <v>1363</v>
      </c>
      <c r="B206" s="95">
        <v>17.0</v>
      </c>
      <c r="C206" s="28" t="s">
        <v>1470</v>
      </c>
      <c r="D206" s="28" t="s">
        <v>1471</v>
      </c>
      <c r="E206" s="28" t="s">
        <v>1473</v>
      </c>
      <c r="F206" s="30"/>
      <c r="G206" s="30"/>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row>
    <row r="207" ht="15.75" customHeight="1">
      <c r="A207" s="94" t="s">
        <v>1363</v>
      </c>
      <c r="B207" s="95">
        <v>18.0</v>
      </c>
      <c r="C207" s="28" t="s">
        <v>1479</v>
      </c>
      <c r="D207" s="28" t="s">
        <v>1480</v>
      </c>
      <c r="E207" s="28" t="s">
        <v>1481</v>
      </c>
      <c r="F207" s="30"/>
      <c r="G207" s="30"/>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row>
    <row r="208" ht="15.75" customHeight="1">
      <c r="A208" s="94" t="s">
        <v>1363</v>
      </c>
      <c r="B208" s="95">
        <v>19.0</v>
      </c>
      <c r="C208" s="28" t="s">
        <v>1487</v>
      </c>
      <c r="D208" s="28" t="s">
        <v>1488</v>
      </c>
      <c r="E208" s="28" t="s">
        <v>1489</v>
      </c>
      <c r="F208" s="30"/>
      <c r="G208" s="30"/>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row>
    <row r="209" ht="15.75" customHeight="1">
      <c r="A209" s="94" t="s">
        <v>1363</v>
      </c>
      <c r="B209" s="95">
        <v>20.0</v>
      </c>
      <c r="C209" s="28" t="s">
        <v>1491</v>
      </c>
      <c r="D209" s="28" t="s">
        <v>1492</v>
      </c>
      <c r="E209" s="28" t="s">
        <v>1493</v>
      </c>
      <c r="F209" s="30"/>
      <c r="G209" s="30"/>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row>
    <row r="210" ht="15.75" customHeight="1">
      <c r="A210" s="94" t="s">
        <v>1363</v>
      </c>
      <c r="B210" s="95">
        <v>21.0</v>
      </c>
      <c r="C210" s="28" t="s">
        <v>1499</v>
      </c>
      <c r="D210" s="28" t="s">
        <v>1500</v>
      </c>
      <c r="E210" s="28" t="s">
        <v>1501</v>
      </c>
      <c r="F210" s="30"/>
      <c r="G210" s="30"/>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row>
    <row r="211" ht="15.75" customHeight="1">
      <c r="A211" s="94" t="s">
        <v>1363</v>
      </c>
      <c r="B211" s="95">
        <v>22.0</v>
      </c>
      <c r="C211" s="28" t="s">
        <v>1506</v>
      </c>
      <c r="D211" s="28" t="s">
        <v>1507</v>
      </c>
      <c r="E211" s="28" t="s">
        <v>1508</v>
      </c>
      <c r="F211" s="30"/>
      <c r="G211" s="30"/>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row>
    <row r="212" ht="15.75" customHeight="1">
      <c r="A212" s="94" t="s">
        <v>1363</v>
      </c>
      <c r="B212" s="95">
        <v>23.0</v>
      </c>
      <c r="C212" s="28" t="s">
        <v>1509</v>
      </c>
      <c r="D212" s="28" t="s">
        <v>1511</v>
      </c>
      <c r="E212" s="28" t="s">
        <v>1514</v>
      </c>
      <c r="F212" s="30"/>
      <c r="G212" s="30"/>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row>
    <row r="213" ht="15.75" customHeight="1">
      <c r="A213" s="94" t="s">
        <v>1363</v>
      </c>
      <c r="B213" s="95">
        <v>24.0</v>
      </c>
      <c r="C213" s="28" t="s">
        <v>1518</v>
      </c>
      <c r="D213" s="28" t="s">
        <v>1519</v>
      </c>
      <c r="E213" s="28" t="s">
        <v>1520</v>
      </c>
      <c r="F213" s="30"/>
      <c r="G213" s="30"/>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row>
    <row r="214" ht="15.75" customHeight="1">
      <c r="A214" s="77" t="s">
        <v>1363</v>
      </c>
      <c r="B214" s="111">
        <v>-777.0</v>
      </c>
      <c r="C214" s="42" t="s">
        <v>478</v>
      </c>
      <c r="D214" s="42" t="s">
        <v>479</v>
      </c>
      <c r="E214" s="42" t="s">
        <v>480</v>
      </c>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30"/>
      <c r="AF214" s="30"/>
    </row>
    <row r="215" ht="15.75" customHeight="1">
      <c r="A215" s="114"/>
      <c r="B215" s="115"/>
      <c r="C215" s="114"/>
      <c r="D215" s="114"/>
      <c r="E215" s="210"/>
      <c r="F215" s="30"/>
      <c r="G215" s="30"/>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row>
    <row r="216" ht="15.75" customHeight="1">
      <c r="A216" s="123" t="s">
        <v>1531</v>
      </c>
      <c r="B216" s="126">
        <v>1.0</v>
      </c>
      <c r="C216" s="136" t="s">
        <v>1533</v>
      </c>
      <c r="D216" s="136" t="s">
        <v>1534</v>
      </c>
      <c r="E216" s="136" t="s">
        <v>1535</v>
      </c>
      <c r="F216" s="49"/>
      <c r="G216" s="49"/>
      <c r="H216" s="49"/>
      <c r="I216" s="49"/>
      <c r="J216" s="49"/>
      <c r="K216" s="49"/>
      <c r="L216" s="49"/>
      <c r="M216" s="49"/>
      <c r="N216" s="49"/>
      <c r="O216" s="49"/>
      <c r="P216" s="49"/>
      <c r="Q216" s="49"/>
      <c r="R216" s="49"/>
      <c r="S216" s="49"/>
      <c r="T216" s="49"/>
      <c r="U216" s="49"/>
      <c r="V216" s="49"/>
      <c r="W216" s="49"/>
      <c r="X216" s="49"/>
      <c r="Y216" s="49"/>
      <c r="Z216" s="49"/>
      <c r="AA216" s="49"/>
      <c r="AB216" s="49"/>
      <c r="AC216" s="49"/>
      <c r="AD216" s="49"/>
      <c r="AE216" s="30"/>
      <c r="AF216" s="30"/>
    </row>
    <row r="217" ht="15.75" customHeight="1">
      <c r="A217" s="94" t="s">
        <v>1531</v>
      </c>
      <c r="B217" s="95">
        <v>2.0</v>
      </c>
      <c r="C217" s="28" t="s">
        <v>1539</v>
      </c>
      <c r="D217" s="28" t="s">
        <v>1540</v>
      </c>
      <c r="E217" s="28" t="s">
        <v>1541</v>
      </c>
      <c r="F217" s="30"/>
      <c r="G217" s="30"/>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row>
    <row r="218" ht="15.75" customHeight="1">
      <c r="A218" s="94" t="s">
        <v>1531</v>
      </c>
      <c r="B218" s="95">
        <v>3.0</v>
      </c>
      <c r="C218" s="28" t="s">
        <v>1548</v>
      </c>
      <c r="D218" s="28" t="s">
        <v>1548</v>
      </c>
      <c r="E218" s="28" t="s">
        <v>1551</v>
      </c>
      <c r="F218" s="30"/>
      <c r="G218" s="30"/>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row>
    <row r="219" ht="15.75" customHeight="1">
      <c r="A219" s="94" t="s">
        <v>1531</v>
      </c>
      <c r="B219" s="95">
        <v>4.0</v>
      </c>
      <c r="C219" s="28" t="s">
        <v>1556</v>
      </c>
      <c r="D219" s="28" t="s">
        <v>1557</v>
      </c>
      <c r="E219" s="28" t="s">
        <v>1558</v>
      </c>
      <c r="F219" s="30"/>
      <c r="G219" s="30"/>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row>
    <row r="220" ht="15.75" customHeight="1">
      <c r="A220" s="94" t="s">
        <v>1531</v>
      </c>
      <c r="B220" s="95">
        <v>5.0</v>
      </c>
      <c r="C220" s="28" t="s">
        <v>1565</v>
      </c>
      <c r="D220" s="28" t="s">
        <v>1566</v>
      </c>
      <c r="E220" s="28" t="s">
        <v>1567</v>
      </c>
      <c r="F220" s="30"/>
      <c r="G220" s="30"/>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row>
    <row r="221" ht="15.75" customHeight="1">
      <c r="A221" s="94" t="s">
        <v>1531</v>
      </c>
      <c r="B221" s="95">
        <v>6.0</v>
      </c>
      <c r="C221" s="28" t="s">
        <v>1571</v>
      </c>
      <c r="D221" s="28" t="s">
        <v>1572</v>
      </c>
      <c r="E221" s="28" t="s">
        <v>1575</v>
      </c>
      <c r="F221" s="30"/>
      <c r="G221" s="30"/>
      <c r="H221" s="30"/>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c r="AF221" s="30"/>
    </row>
    <row r="222" ht="15.75" customHeight="1">
      <c r="A222" s="94" t="s">
        <v>1531</v>
      </c>
      <c r="B222" s="95">
        <v>7.0</v>
      </c>
      <c r="C222" s="28" t="s">
        <v>1580</v>
      </c>
      <c r="D222" s="28" t="s">
        <v>1581</v>
      </c>
      <c r="E222" s="28" t="s">
        <v>1582</v>
      </c>
      <c r="F222" s="30"/>
      <c r="G222" s="30"/>
      <c r="H222" s="30"/>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c r="AF222" s="30"/>
    </row>
    <row r="223" ht="15.75" customHeight="1">
      <c r="A223" s="94" t="s">
        <v>1531</v>
      </c>
      <c r="B223" s="95">
        <v>8.0</v>
      </c>
      <c r="C223" s="28" t="s">
        <v>1590</v>
      </c>
      <c r="D223" s="28" t="s">
        <v>1591</v>
      </c>
      <c r="E223" s="28" t="s">
        <v>1592</v>
      </c>
      <c r="F223" s="30"/>
      <c r="G223" s="30"/>
      <c r="H223" s="30"/>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row>
    <row r="224" ht="15.75" customHeight="1">
      <c r="A224" s="94" t="s">
        <v>1531</v>
      </c>
      <c r="B224" s="95">
        <v>9.0</v>
      </c>
      <c r="C224" s="28" t="s">
        <v>1598</v>
      </c>
      <c r="D224" s="28" t="s">
        <v>1599</v>
      </c>
      <c r="E224" s="28" t="s">
        <v>1600</v>
      </c>
      <c r="F224" s="30"/>
      <c r="G224" s="30"/>
      <c r="H224" s="30"/>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row>
    <row r="225" ht="15.75" customHeight="1">
      <c r="A225" s="94" t="s">
        <v>1531</v>
      </c>
      <c r="B225" s="95">
        <v>10.0</v>
      </c>
      <c r="C225" s="28" t="s">
        <v>1604</v>
      </c>
      <c r="D225" s="28" t="s">
        <v>1606</v>
      </c>
      <c r="E225" s="28" t="s">
        <v>1607</v>
      </c>
      <c r="F225" s="30"/>
      <c r="G225" s="30"/>
      <c r="H225" s="30"/>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c r="AF225" s="30"/>
    </row>
    <row r="226" ht="15.75" customHeight="1">
      <c r="A226" s="94" t="s">
        <v>1531</v>
      </c>
      <c r="B226" s="95">
        <v>11.0</v>
      </c>
      <c r="C226" s="28" t="s">
        <v>1613</v>
      </c>
      <c r="D226" s="28" t="s">
        <v>1614</v>
      </c>
      <c r="E226" s="28" t="s">
        <v>1615</v>
      </c>
      <c r="F226" s="30"/>
      <c r="G226" s="30"/>
      <c r="H226" s="30"/>
      <c r="I226" s="30"/>
      <c r="J226" s="30"/>
      <c r="K226" s="30"/>
      <c r="L226" s="30"/>
      <c r="M226" s="30"/>
      <c r="N226" s="30"/>
      <c r="O226" s="30"/>
      <c r="P226" s="30"/>
      <c r="Q226" s="30"/>
      <c r="R226" s="30"/>
      <c r="S226" s="30"/>
      <c r="T226" s="30"/>
      <c r="U226" s="30"/>
      <c r="V226" s="30"/>
      <c r="W226" s="30"/>
      <c r="X226" s="30"/>
      <c r="Y226" s="30"/>
      <c r="Z226" s="30"/>
      <c r="AA226" s="30"/>
      <c r="AB226" s="30"/>
      <c r="AC226" s="30"/>
      <c r="AD226" s="30"/>
      <c r="AE226" s="30"/>
      <c r="AF226" s="30"/>
    </row>
    <row r="227" ht="15.75" customHeight="1">
      <c r="A227" s="94" t="s">
        <v>1531</v>
      </c>
      <c r="B227" s="95">
        <v>12.0</v>
      </c>
      <c r="C227" s="28" t="s">
        <v>1618</v>
      </c>
      <c r="D227" s="28" t="s">
        <v>1619</v>
      </c>
      <c r="E227" s="28" t="s">
        <v>1620</v>
      </c>
      <c r="F227" s="30"/>
      <c r="G227" s="30"/>
      <c r="H227" s="30"/>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c r="AF227" s="30"/>
    </row>
    <row r="228" ht="15.75" customHeight="1">
      <c r="A228" s="77" t="s">
        <v>1531</v>
      </c>
      <c r="B228" s="111">
        <v>0.0</v>
      </c>
      <c r="C228" s="42" t="s">
        <v>228</v>
      </c>
      <c r="D228" s="42" t="s">
        <v>230</v>
      </c>
      <c r="E228" s="42" t="s">
        <v>232</v>
      </c>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30"/>
      <c r="AF228" s="30"/>
    </row>
    <row r="229" ht="15.75" customHeight="1">
      <c r="A229" s="77"/>
      <c r="B229" s="42"/>
      <c r="C229" s="42"/>
      <c r="D229" s="42"/>
      <c r="E229" s="42"/>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30"/>
      <c r="AF229" s="30"/>
    </row>
    <row r="230" ht="15.75" customHeight="1">
      <c r="A230" s="94" t="s">
        <v>1636</v>
      </c>
      <c r="B230" s="95">
        <v>1.0</v>
      </c>
      <c r="C230" s="42" t="s">
        <v>1637</v>
      </c>
      <c r="D230" s="42" t="s">
        <v>1638</v>
      </c>
      <c r="E230" s="42" t="s">
        <v>1639</v>
      </c>
      <c r="F230" s="30"/>
      <c r="G230" s="30"/>
      <c r="H230" s="30"/>
      <c r="I230" s="30"/>
      <c r="J230" s="30"/>
      <c r="K230" s="30"/>
      <c r="L230" s="30"/>
      <c r="M230" s="30"/>
      <c r="N230" s="30"/>
      <c r="O230" s="30"/>
      <c r="P230" s="30"/>
      <c r="Q230" s="30"/>
      <c r="R230" s="30"/>
      <c r="S230" s="30"/>
      <c r="T230" s="30"/>
      <c r="U230" s="30"/>
      <c r="V230" s="30"/>
      <c r="W230" s="30"/>
      <c r="X230" s="30"/>
      <c r="Y230" s="30"/>
      <c r="Z230" s="30"/>
      <c r="AA230" s="30"/>
      <c r="AB230" s="30"/>
      <c r="AC230" s="30"/>
      <c r="AD230" s="30"/>
      <c r="AE230" s="30"/>
      <c r="AF230" s="30"/>
    </row>
    <row r="231" ht="15.75" customHeight="1">
      <c r="A231" s="94" t="s">
        <v>1636</v>
      </c>
      <c r="B231" s="95">
        <v>2.0</v>
      </c>
      <c r="C231" s="28" t="s">
        <v>1646</v>
      </c>
      <c r="D231" s="28" t="s">
        <v>1647</v>
      </c>
      <c r="E231" s="28" t="s">
        <v>1648</v>
      </c>
      <c r="F231" s="30"/>
      <c r="G231" s="30"/>
      <c r="H231" s="30"/>
      <c r="I231" s="30"/>
      <c r="J231" s="30"/>
      <c r="K231" s="30"/>
      <c r="L231" s="30"/>
      <c r="M231" s="30"/>
      <c r="N231" s="30"/>
      <c r="O231" s="30"/>
      <c r="P231" s="30"/>
      <c r="Q231" s="30"/>
      <c r="R231" s="30"/>
      <c r="S231" s="30"/>
      <c r="T231" s="30"/>
      <c r="U231" s="30"/>
      <c r="V231" s="30"/>
      <c r="W231" s="30"/>
      <c r="X231" s="30"/>
      <c r="Y231" s="30"/>
      <c r="Z231" s="30"/>
      <c r="AA231" s="30"/>
      <c r="AB231" s="30"/>
      <c r="AC231" s="30"/>
      <c r="AD231" s="30"/>
      <c r="AE231" s="30"/>
      <c r="AF231" s="30"/>
    </row>
    <row r="232" ht="15.75" customHeight="1">
      <c r="A232" s="94" t="s">
        <v>1636</v>
      </c>
      <c r="B232" s="95">
        <v>3.0</v>
      </c>
      <c r="C232" s="28" t="s">
        <v>1652</v>
      </c>
      <c r="D232" s="28" t="s">
        <v>1653</v>
      </c>
      <c r="E232" s="28" t="s">
        <v>1654</v>
      </c>
      <c r="F232" s="30"/>
      <c r="G232" s="30"/>
      <c r="H232" s="30"/>
      <c r="I232" s="30"/>
      <c r="J232" s="30"/>
      <c r="K232" s="30"/>
      <c r="L232" s="30"/>
      <c r="M232" s="30"/>
      <c r="N232" s="30"/>
      <c r="O232" s="30"/>
      <c r="P232" s="30"/>
      <c r="Q232" s="30"/>
      <c r="R232" s="30"/>
      <c r="S232" s="30"/>
      <c r="T232" s="30"/>
      <c r="U232" s="30"/>
      <c r="V232" s="30"/>
      <c r="W232" s="30"/>
      <c r="X232" s="30"/>
      <c r="Y232" s="30"/>
      <c r="Z232" s="30"/>
      <c r="AA232" s="30"/>
      <c r="AB232" s="30"/>
      <c r="AC232" s="30"/>
      <c r="AD232" s="30"/>
      <c r="AE232" s="30"/>
      <c r="AF232" s="30"/>
    </row>
    <row r="233" ht="15.75" customHeight="1">
      <c r="A233" s="94" t="s">
        <v>1636</v>
      </c>
      <c r="B233" s="95">
        <v>4.0</v>
      </c>
      <c r="C233" s="28" t="s">
        <v>1658</v>
      </c>
      <c r="D233" s="28" t="s">
        <v>1659</v>
      </c>
      <c r="E233" s="28" t="s">
        <v>1660</v>
      </c>
      <c r="F233" s="30"/>
      <c r="G233" s="30"/>
      <c r="H233" s="30"/>
      <c r="I233" s="30"/>
      <c r="J233" s="30"/>
      <c r="K233" s="30"/>
      <c r="L233" s="30"/>
      <c r="M233" s="30"/>
      <c r="N233" s="30"/>
      <c r="O233" s="30"/>
      <c r="P233" s="30"/>
      <c r="Q233" s="30"/>
      <c r="R233" s="30"/>
      <c r="S233" s="30"/>
      <c r="T233" s="30"/>
      <c r="U233" s="30"/>
      <c r="V233" s="30"/>
      <c r="W233" s="30"/>
      <c r="X233" s="30"/>
      <c r="Y233" s="30"/>
      <c r="Z233" s="30"/>
      <c r="AA233" s="30"/>
      <c r="AB233" s="30"/>
      <c r="AC233" s="30"/>
      <c r="AD233" s="30"/>
      <c r="AE233" s="30"/>
      <c r="AF233" s="30"/>
    </row>
    <row r="234" ht="15.75" customHeight="1">
      <c r="A234" s="94" t="s">
        <v>1636</v>
      </c>
      <c r="B234" s="95">
        <v>5.0</v>
      </c>
      <c r="C234" s="28" t="s">
        <v>1664</v>
      </c>
      <c r="D234" s="28" t="s">
        <v>1665</v>
      </c>
      <c r="E234" s="28" t="s">
        <v>1666</v>
      </c>
      <c r="F234" s="30"/>
      <c r="G234" s="30"/>
      <c r="H234" s="30"/>
      <c r="I234" s="30"/>
      <c r="J234" s="30"/>
      <c r="K234" s="30"/>
      <c r="L234" s="30"/>
      <c r="M234" s="30"/>
      <c r="N234" s="30"/>
      <c r="O234" s="30"/>
      <c r="P234" s="30"/>
      <c r="Q234" s="30"/>
      <c r="R234" s="30"/>
      <c r="S234" s="30"/>
      <c r="T234" s="30"/>
      <c r="U234" s="30"/>
      <c r="V234" s="30"/>
      <c r="W234" s="30"/>
      <c r="X234" s="30"/>
      <c r="Y234" s="30"/>
      <c r="Z234" s="30"/>
      <c r="AA234" s="30"/>
      <c r="AB234" s="30"/>
      <c r="AC234" s="30"/>
      <c r="AD234" s="30"/>
      <c r="AE234" s="30"/>
      <c r="AF234" s="30"/>
    </row>
    <row r="235" ht="15.75" customHeight="1">
      <c r="A235" s="94" t="s">
        <v>1636</v>
      </c>
      <c r="B235" s="95">
        <v>6.0</v>
      </c>
      <c r="C235" s="28" t="s">
        <v>1673</v>
      </c>
      <c r="D235" s="28" t="s">
        <v>1674</v>
      </c>
      <c r="E235" s="28" t="s">
        <v>1675</v>
      </c>
      <c r="F235" s="30"/>
      <c r="G235" s="30"/>
      <c r="H235" s="30"/>
      <c r="I235" s="30"/>
      <c r="J235" s="30"/>
      <c r="K235" s="30"/>
      <c r="L235" s="30"/>
      <c r="M235" s="30"/>
      <c r="N235" s="30"/>
      <c r="O235" s="30"/>
      <c r="P235" s="30"/>
      <c r="Q235" s="30"/>
      <c r="R235" s="30"/>
      <c r="S235" s="30"/>
      <c r="T235" s="30"/>
      <c r="U235" s="30"/>
      <c r="V235" s="30"/>
      <c r="W235" s="30"/>
      <c r="X235" s="30"/>
      <c r="Y235" s="30"/>
      <c r="Z235" s="30"/>
      <c r="AA235" s="30"/>
      <c r="AB235" s="30"/>
      <c r="AC235" s="30"/>
      <c r="AD235" s="30"/>
      <c r="AE235" s="30"/>
      <c r="AF235" s="30"/>
    </row>
    <row r="236" ht="15.75" customHeight="1">
      <c r="A236" s="94" t="s">
        <v>1636</v>
      </c>
      <c r="B236" s="95">
        <v>7.0</v>
      </c>
      <c r="C236" s="28" t="s">
        <v>1682</v>
      </c>
      <c r="D236" s="28" t="s">
        <v>1683</v>
      </c>
      <c r="E236" s="28" t="s">
        <v>1684</v>
      </c>
      <c r="F236" s="30"/>
      <c r="G236" s="30"/>
      <c r="H236" s="30"/>
      <c r="I236" s="30"/>
      <c r="J236" s="30"/>
      <c r="K236" s="30"/>
      <c r="L236" s="30"/>
      <c r="M236" s="30"/>
      <c r="N236" s="30"/>
      <c r="O236" s="30"/>
      <c r="P236" s="30"/>
      <c r="Q236" s="30"/>
      <c r="R236" s="30"/>
      <c r="S236" s="30"/>
      <c r="T236" s="30"/>
      <c r="U236" s="30"/>
      <c r="V236" s="30"/>
      <c r="W236" s="30"/>
      <c r="X236" s="30"/>
      <c r="Y236" s="30"/>
      <c r="Z236" s="30"/>
      <c r="AA236" s="30"/>
      <c r="AB236" s="30"/>
      <c r="AC236" s="30"/>
      <c r="AD236" s="30"/>
      <c r="AE236" s="30"/>
      <c r="AF236" s="30"/>
    </row>
    <row r="237" ht="15.75" customHeight="1">
      <c r="A237" s="77" t="s">
        <v>1636</v>
      </c>
      <c r="B237" s="111">
        <v>0.0</v>
      </c>
      <c r="C237" s="42" t="s">
        <v>228</v>
      </c>
      <c r="D237" s="42" t="s">
        <v>230</v>
      </c>
      <c r="E237" s="42" t="s">
        <v>232</v>
      </c>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30"/>
      <c r="AF237" s="30"/>
    </row>
    <row r="238" ht="15.75" customHeight="1">
      <c r="A238" s="114"/>
      <c r="B238" s="115"/>
      <c r="C238" s="114"/>
      <c r="D238" s="114"/>
      <c r="E238" s="210"/>
      <c r="F238" s="30"/>
      <c r="G238" s="30"/>
      <c r="H238" s="30"/>
      <c r="I238" s="30"/>
      <c r="J238" s="30"/>
      <c r="K238" s="30"/>
      <c r="L238" s="30"/>
      <c r="M238" s="30"/>
      <c r="N238" s="30"/>
      <c r="O238" s="30"/>
      <c r="P238" s="30"/>
      <c r="Q238" s="30"/>
      <c r="R238" s="30"/>
      <c r="S238" s="30"/>
      <c r="T238" s="30"/>
      <c r="U238" s="30"/>
      <c r="V238" s="30"/>
      <c r="W238" s="30"/>
      <c r="X238" s="30"/>
      <c r="Y238" s="30"/>
      <c r="Z238" s="30"/>
      <c r="AA238" s="30"/>
      <c r="AB238" s="30"/>
      <c r="AC238" s="30"/>
      <c r="AD238" s="30"/>
      <c r="AE238" s="30"/>
      <c r="AF238" s="30"/>
    </row>
    <row r="239" ht="15.75" customHeight="1">
      <c r="A239" s="123" t="s">
        <v>1697</v>
      </c>
      <c r="B239" s="126">
        <v>1.0</v>
      </c>
      <c r="C239" s="136" t="s">
        <v>1698</v>
      </c>
      <c r="D239" s="136" t="s">
        <v>1701</v>
      </c>
      <c r="E239" s="136" t="s">
        <v>1703</v>
      </c>
      <c r="F239" s="49"/>
      <c r="G239" s="49"/>
      <c r="H239" s="49"/>
      <c r="I239" s="49"/>
      <c r="J239" s="49"/>
      <c r="K239" s="49"/>
      <c r="L239" s="49"/>
      <c r="M239" s="49"/>
      <c r="N239" s="49"/>
      <c r="O239" s="49"/>
      <c r="P239" s="49"/>
      <c r="Q239" s="49"/>
      <c r="R239" s="49"/>
      <c r="S239" s="49"/>
      <c r="T239" s="49"/>
      <c r="U239" s="49"/>
      <c r="V239" s="49"/>
      <c r="W239" s="49"/>
      <c r="X239" s="49"/>
      <c r="Y239" s="49"/>
      <c r="Z239" s="49"/>
      <c r="AA239" s="49"/>
      <c r="AB239" s="49"/>
      <c r="AC239" s="49"/>
      <c r="AD239" s="49"/>
      <c r="AE239" s="30"/>
      <c r="AF239" s="30"/>
    </row>
    <row r="240" ht="15.75" customHeight="1">
      <c r="A240" s="94" t="s">
        <v>1697</v>
      </c>
      <c r="B240" s="95">
        <v>2.0</v>
      </c>
      <c r="C240" s="28" t="s">
        <v>1707</v>
      </c>
      <c r="D240" s="28" t="s">
        <v>1709</v>
      </c>
      <c r="E240" s="28" t="s">
        <v>1712</v>
      </c>
      <c r="F240" s="30"/>
      <c r="G240" s="30"/>
      <c r="H240" s="30"/>
      <c r="I240" s="30"/>
      <c r="J240" s="30"/>
      <c r="K240" s="30"/>
      <c r="L240" s="30"/>
      <c r="M240" s="30"/>
      <c r="N240" s="30"/>
      <c r="O240" s="30"/>
      <c r="P240" s="30"/>
      <c r="Q240" s="30"/>
      <c r="R240" s="30"/>
      <c r="S240" s="30"/>
      <c r="T240" s="30"/>
      <c r="U240" s="30"/>
      <c r="V240" s="30"/>
      <c r="W240" s="30"/>
      <c r="X240" s="30"/>
      <c r="Y240" s="30"/>
      <c r="Z240" s="30"/>
      <c r="AA240" s="30"/>
      <c r="AB240" s="30"/>
      <c r="AC240" s="30"/>
      <c r="AD240" s="30"/>
      <c r="AE240" s="30"/>
      <c r="AF240" s="30"/>
    </row>
    <row r="241" ht="15.75" customHeight="1">
      <c r="A241" s="94" t="s">
        <v>1697</v>
      </c>
      <c r="B241" s="95">
        <v>3.0</v>
      </c>
      <c r="C241" s="28" t="s">
        <v>1718</v>
      </c>
      <c r="D241" s="28" t="s">
        <v>1720</v>
      </c>
      <c r="E241" s="28" t="s">
        <v>1721</v>
      </c>
      <c r="F241" s="30"/>
      <c r="G241" s="30"/>
      <c r="H241" s="30"/>
      <c r="I241" s="30"/>
      <c r="J241" s="30"/>
      <c r="K241" s="30"/>
      <c r="L241" s="30"/>
      <c r="M241" s="30"/>
      <c r="N241" s="30"/>
      <c r="O241" s="30"/>
      <c r="P241" s="30"/>
      <c r="Q241" s="30"/>
      <c r="R241" s="30"/>
      <c r="S241" s="30"/>
      <c r="T241" s="30"/>
      <c r="U241" s="30"/>
      <c r="V241" s="30"/>
      <c r="W241" s="30"/>
      <c r="X241" s="30"/>
      <c r="Y241" s="30"/>
      <c r="Z241" s="30"/>
      <c r="AA241" s="30"/>
      <c r="AB241" s="30"/>
      <c r="AC241" s="30"/>
      <c r="AD241" s="30"/>
      <c r="AE241" s="30"/>
      <c r="AF241" s="30"/>
    </row>
    <row r="242" ht="15.75" customHeight="1">
      <c r="A242" s="94" t="s">
        <v>1697</v>
      </c>
      <c r="B242" s="95">
        <v>4.0</v>
      </c>
      <c r="C242" s="28" t="s">
        <v>1724</v>
      </c>
      <c r="D242" s="28" t="s">
        <v>1727</v>
      </c>
      <c r="E242" s="28" t="s">
        <v>1729</v>
      </c>
      <c r="F242" s="30"/>
      <c r="G242" s="30"/>
      <c r="H242" s="30"/>
      <c r="I242" s="30"/>
      <c r="J242" s="30"/>
      <c r="K242" s="30"/>
      <c r="L242" s="30"/>
      <c r="M242" s="30"/>
      <c r="N242" s="30"/>
      <c r="O242" s="30"/>
      <c r="P242" s="30"/>
      <c r="Q242" s="30"/>
      <c r="R242" s="30"/>
      <c r="S242" s="30"/>
      <c r="T242" s="30"/>
      <c r="U242" s="30"/>
      <c r="V242" s="30"/>
      <c r="W242" s="30"/>
      <c r="X242" s="30"/>
      <c r="Y242" s="30"/>
      <c r="Z242" s="30"/>
      <c r="AA242" s="30"/>
      <c r="AB242" s="30"/>
      <c r="AC242" s="30"/>
      <c r="AD242" s="30"/>
      <c r="AE242" s="30"/>
      <c r="AF242" s="30"/>
    </row>
    <row r="243" ht="15.75" customHeight="1">
      <c r="A243" s="94" t="s">
        <v>1697</v>
      </c>
      <c r="B243" s="95">
        <v>5.0</v>
      </c>
      <c r="C243" s="28" t="s">
        <v>1734</v>
      </c>
      <c r="D243" s="28" t="s">
        <v>1735</v>
      </c>
      <c r="E243" s="28" t="s">
        <v>1736</v>
      </c>
      <c r="F243" s="30"/>
      <c r="G243" s="30"/>
      <c r="H243" s="30"/>
      <c r="I243" s="30"/>
      <c r="J243" s="30"/>
      <c r="K243" s="30"/>
      <c r="L243" s="30"/>
      <c r="M243" s="30"/>
      <c r="N243" s="30"/>
      <c r="O243" s="30"/>
      <c r="P243" s="30"/>
      <c r="Q243" s="30"/>
      <c r="R243" s="30"/>
      <c r="S243" s="30"/>
      <c r="T243" s="30"/>
      <c r="U243" s="30"/>
      <c r="V243" s="30"/>
      <c r="W243" s="30"/>
      <c r="X243" s="30"/>
      <c r="Y243" s="30"/>
      <c r="Z243" s="30"/>
      <c r="AA243" s="30"/>
      <c r="AB243" s="30"/>
      <c r="AC243" s="30"/>
      <c r="AD243" s="30"/>
      <c r="AE243" s="30"/>
      <c r="AF243" s="30"/>
    </row>
    <row r="244" ht="15.75" customHeight="1">
      <c r="A244" s="94" t="s">
        <v>1697</v>
      </c>
      <c r="B244" s="95">
        <v>6.0</v>
      </c>
      <c r="C244" s="28" t="s">
        <v>1740</v>
      </c>
      <c r="D244" s="28" t="s">
        <v>1741</v>
      </c>
      <c r="E244" s="28" t="s">
        <v>1742</v>
      </c>
      <c r="F244" s="30"/>
      <c r="G244" s="30"/>
      <c r="H244" s="30"/>
      <c r="I244" s="30"/>
      <c r="J244" s="30"/>
      <c r="K244" s="30"/>
      <c r="L244" s="30"/>
      <c r="M244" s="30"/>
      <c r="N244" s="30"/>
      <c r="O244" s="30"/>
      <c r="P244" s="30"/>
      <c r="Q244" s="30"/>
      <c r="R244" s="30"/>
      <c r="S244" s="30"/>
      <c r="T244" s="30"/>
      <c r="U244" s="30"/>
      <c r="V244" s="30"/>
      <c r="W244" s="30"/>
      <c r="X244" s="30"/>
      <c r="Y244" s="30"/>
      <c r="Z244" s="30"/>
      <c r="AA244" s="30"/>
      <c r="AB244" s="30"/>
      <c r="AC244" s="30"/>
      <c r="AD244" s="30"/>
      <c r="AE244" s="30"/>
      <c r="AF244" s="30"/>
    </row>
    <row r="245" ht="15.75" customHeight="1">
      <c r="A245" s="94" t="s">
        <v>1697</v>
      </c>
      <c r="B245" s="95">
        <v>7.0</v>
      </c>
      <c r="C245" s="28" t="s">
        <v>1746</v>
      </c>
      <c r="D245" s="28" t="s">
        <v>1747</v>
      </c>
      <c r="E245" s="28" t="s">
        <v>1748</v>
      </c>
      <c r="F245" s="30"/>
      <c r="G245" s="30"/>
      <c r="H245" s="30"/>
      <c r="I245" s="30"/>
      <c r="J245" s="30"/>
      <c r="K245" s="30"/>
      <c r="L245" s="30"/>
      <c r="M245" s="30"/>
      <c r="N245" s="30"/>
      <c r="O245" s="30"/>
      <c r="P245" s="30"/>
      <c r="Q245" s="30"/>
      <c r="R245" s="30"/>
      <c r="S245" s="30"/>
      <c r="T245" s="30"/>
      <c r="U245" s="30"/>
      <c r="V245" s="30"/>
      <c r="W245" s="30"/>
      <c r="X245" s="30"/>
      <c r="Y245" s="30"/>
      <c r="Z245" s="30"/>
      <c r="AA245" s="30"/>
      <c r="AB245" s="30"/>
      <c r="AC245" s="30"/>
      <c r="AD245" s="30"/>
      <c r="AE245" s="30"/>
      <c r="AF245" s="30"/>
    </row>
    <row r="246" ht="15.75" customHeight="1">
      <c r="A246" s="94" t="s">
        <v>1697</v>
      </c>
      <c r="B246" s="95">
        <v>8.0</v>
      </c>
      <c r="C246" s="28" t="s">
        <v>1749</v>
      </c>
      <c r="D246" s="28" t="s">
        <v>1749</v>
      </c>
      <c r="E246" s="28" t="s">
        <v>1750</v>
      </c>
      <c r="F246" s="30"/>
      <c r="G246" s="30"/>
      <c r="H246" s="30"/>
      <c r="I246" s="30"/>
      <c r="J246" s="30"/>
      <c r="K246" s="30"/>
      <c r="L246" s="30"/>
      <c r="M246" s="30"/>
      <c r="N246" s="30"/>
      <c r="O246" s="30"/>
      <c r="P246" s="30"/>
      <c r="Q246" s="30"/>
      <c r="R246" s="30"/>
      <c r="S246" s="30"/>
      <c r="T246" s="30"/>
      <c r="U246" s="30"/>
      <c r="V246" s="30"/>
      <c r="W246" s="30"/>
      <c r="X246" s="30"/>
      <c r="Y246" s="30"/>
      <c r="Z246" s="30"/>
      <c r="AA246" s="30"/>
      <c r="AB246" s="30"/>
      <c r="AC246" s="30"/>
      <c r="AD246" s="30"/>
      <c r="AE246" s="30"/>
      <c r="AF246" s="30"/>
    </row>
    <row r="247" ht="15.75" customHeight="1">
      <c r="A247" s="94" t="s">
        <v>1697</v>
      </c>
      <c r="B247" s="95">
        <v>9.0</v>
      </c>
      <c r="C247" s="28" t="s">
        <v>1754</v>
      </c>
      <c r="D247" s="28" t="s">
        <v>1755</v>
      </c>
      <c r="E247" s="28" t="s">
        <v>1756</v>
      </c>
      <c r="F247" s="30"/>
      <c r="G247" s="30"/>
      <c r="H247" s="30"/>
      <c r="I247" s="30"/>
      <c r="J247" s="30"/>
      <c r="K247" s="30"/>
      <c r="L247" s="30"/>
      <c r="M247" s="30"/>
      <c r="N247" s="30"/>
      <c r="O247" s="30"/>
      <c r="P247" s="30"/>
      <c r="Q247" s="30"/>
      <c r="R247" s="30"/>
      <c r="S247" s="30"/>
      <c r="T247" s="30"/>
      <c r="U247" s="30"/>
      <c r="V247" s="30"/>
      <c r="W247" s="30"/>
      <c r="X247" s="30"/>
      <c r="Y247" s="30"/>
      <c r="Z247" s="30"/>
      <c r="AA247" s="30"/>
      <c r="AB247" s="30"/>
      <c r="AC247" s="30"/>
      <c r="AD247" s="30"/>
      <c r="AE247" s="30"/>
      <c r="AF247" s="30"/>
    </row>
    <row r="248" ht="15.75" customHeight="1">
      <c r="A248" s="94" t="s">
        <v>1697</v>
      </c>
      <c r="B248" s="95">
        <v>10.0</v>
      </c>
      <c r="C248" s="28" t="s">
        <v>1760</v>
      </c>
      <c r="D248" s="28" t="s">
        <v>1761</v>
      </c>
      <c r="E248" s="28" t="s">
        <v>1763</v>
      </c>
      <c r="F248" s="30"/>
      <c r="G248" s="30"/>
      <c r="H248" s="30"/>
      <c r="I248" s="30"/>
      <c r="J248" s="30"/>
      <c r="K248" s="30"/>
      <c r="L248" s="30"/>
      <c r="M248" s="30"/>
      <c r="N248" s="30"/>
      <c r="O248" s="30"/>
      <c r="P248" s="30"/>
      <c r="Q248" s="30"/>
      <c r="R248" s="30"/>
      <c r="S248" s="30"/>
      <c r="T248" s="30"/>
      <c r="U248" s="30"/>
      <c r="V248" s="30"/>
      <c r="W248" s="30"/>
      <c r="X248" s="30"/>
      <c r="Y248" s="30"/>
      <c r="Z248" s="30"/>
      <c r="AA248" s="30"/>
      <c r="AB248" s="30"/>
      <c r="AC248" s="30"/>
      <c r="AD248" s="30"/>
      <c r="AE248" s="30"/>
      <c r="AF248" s="30"/>
    </row>
    <row r="249" ht="15.75" customHeight="1">
      <c r="A249" s="94" t="s">
        <v>1697</v>
      </c>
      <c r="B249" s="95">
        <v>11.0</v>
      </c>
      <c r="C249" s="28" t="s">
        <v>1766</v>
      </c>
      <c r="D249" s="28" t="s">
        <v>1767</v>
      </c>
      <c r="E249" s="28" t="s">
        <v>1769</v>
      </c>
      <c r="F249" s="30"/>
      <c r="G249" s="30"/>
      <c r="H249" s="30"/>
      <c r="I249" s="30"/>
      <c r="J249" s="30"/>
      <c r="K249" s="30"/>
      <c r="L249" s="30"/>
      <c r="M249" s="30"/>
      <c r="N249" s="30"/>
      <c r="O249" s="30"/>
      <c r="P249" s="30"/>
      <c r="Q249" s="30"/>
      <c r="R249" s="30"/>
      <c r="S249" s="30"/>
      <c r="T249" s="30"/>
      <c r="U249" s="30"/>
      <c r="V249" s="30"/>
      <c r="W249" s="30"/>
      <c r="X249" s="30"/>
      <c r="Y249" s="30"/>
      <c r="Z249" s="30"/>
      <c r="AA249" s="30"/>
      <c r="AB249" s="30"/>
      <c r="AC249" s="30"/>
      <c r="AD249" s="30"/>
      <c r="AE249" s="30"/>
      <c r="AF249" s="30"/>
    </row>
    <row r="250" ht="15.75" customHeight="1">
      <c r="A250" s="94" t="s">
        <v>1697</v>
      </c>
      <c r="B250" s="95">
        <v>12.0</v>
      </c>
      <c r="C250" s="28" t="s">
        <v>1776</v>
      </c>
      <c r="D250" s="28" t="s">
        <v>1777</v>
      </c>
      <c r="E250" s="28" t="s">
        <v>1778</v>
      </c>
      <c r="F250" s="30"/>
      <c r="G250" s="30"/>
      <c r="H250" s="30"/>
      <c r="I250" s="30"/>
      <c r="J250" s="30"/>
      <c r="K250" s="30"/>
      <c r="L250" s="30"/>
      <c r="M250" s="30"/>
      <c r="N250" s="30"/>
      <c r="O250" s="30"/>
      <c r="P250" s="30"/>
      <c r="Q250" s="30"/>
      <c r="R250" s="30"/>
      <c r="S250" s="30"/>
      <c r="T250" s="30"/>
      <c r="U250" s="30"/>
      <c r="V250" s="30"/>
      <c r="W250" s="30"/>
      <c r="X250" s="30"/>
      <c r="Y250" s="30"/>
      <c r="Z250" s="30"/>
      <c r="AA250" s="30"/>
      <c r="AB250" s="30"/>
      <c r="AC250" s="30"/>
      <c r="AD250" s="30"/>
      <c r="AE250" s="30"/>
      <c r="AF250" s="30"/>
    </row>
    <row r="251" ht="15.75" customHeight="1">
      <c r="A251" s="77" t="s">
        <v>1697</v>
      </c>
      <c r="B251" s="111">
        <v>-777.0</v>
      </c>
      <c r="C251" s="42" t="s">
        <v>478</v>
      </c>
      <c r="D251" s="42" t="s">
        <v>479</v>
      </c>
      <c r="E251" s="42" t="s">
        <v>1784</v>
      </c>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30"/>
      <c r="AF251" s="30"/>
    </row>
    <row r="252" ht="15.75" customHeight="1">
      <c r="A252" s="114"/>
      <c r="B252" s="115"/>
      <c r="C252" s="114"/>
      <c r="D252" s="114"/>
      <c r="E252" s="210"/>
      <c r="F252" s="30"/>
      <c r="G252" s="30"/>
      <c r="H252" s="30"/>
      <c r="I252" s="30"/>
      <c r="J252" s="30"/>
      <c r="K252" s="30"/>
      <c r="L252" s="30"/>
      <c r="M252" s="30"/>
      <c r="N252" s="30"/>
      <c r="O252" s="30"/>
      <c r="P252" s="30"/>
      <c r="Q252" s="30"/>
      <c r="R252" s="30"/>
      <c r="S252" s="30"/>
      <c r="T252" s="30"/>
      <c r="U252" s="30"/>
      <c r="V252" s="30"/>
      <c r="W252" s="30"/>
      <c r="X252" s="30"/>
      <c r="Y252" s="30"/>
      <c r="Z252" s="30"/>
      <c r="AA252" s="30"/>
      <c r="AB252" s="30"/>
      <c r="AC252" s="30"/>
      <c r="AD252" s="30"/>
      <c r="AE252" s="30"/>
      <c r="AF252" s="30"/>
    </row>
    <row r="253" ht="15.75" customHeight="1">
      <c r="A253" s="123" t="s">
        <v>1787</v>
      </c>
      <c r="B253" s="126">
        <v>1.0</v>
      </c>
      <c r="C253" s="136" t="s">
        <v>1788</v>
      </c>
      <c r="D253" s="136" t="s">
        <v>1790</v>
      </c>
      <c r="E253" s="213" t="s">
        <v>1791</v>
      </c>
      <c r="F253" s="49"/>
      <c r="G253" s="49"/>
      <c r="H253" s="49"/>
      <c r="I253" s="49"/>
      <c r="J253" s="49"/>
      <c r="K253" s="49"/>
      <c r="L253" s="49"/>
      <c r="M253" s="49"/>
      <c r="N253" s="49"/>
      <c r="O253" s="49"/>
      <c r="P253" s="49"/>
      <c r="Q253" s="49"/>
      <c r="R253" s="49"/>
      <c r="S253" s="49"/>
      <c r="T253" s="49"/>
      <c r="U253" s="49"/>
      <c r="V253" s="49"/>
      <c r="W253" s="49"/>
      <c r="X253" s="49"/>
      <c r="Y253" s="49"/>
      <c r="Z253" s="49"/>
      <c r="AA253" s="49"/>
      <c r="AB253" s="49"/>
      <c r="AC253" s="49"/>
      <c r="AD253" s="49"/>
      <c r="AE253" s="30"/>
      <c r="AF253" s="30"/>
    </row>
    <row r="254" ht="15.75" customHeight="1">
      <c r="A254" s="94" t="s">
        <v>1787</v>
      </c>
      <c r="B254" s="95">
        <v>2.0</v>
      </c>
      <c r="C254" s="28" t="s">
        <v>1793</v>
      </c>
      <c r="D254" s="28" t="s">
        <v>1794</v>
      </c>
      <c r="E254" s="28" t="s">
        <v>1795</v>
      </c>
      <c r="F254" s="30"/>
      <c r="G254" s="30"/>
      <c r="H254" s="30"/>
      <c r="I254" s="30"/>
      <c r="J254" s="30"/>
      <c r="K254" s="30"/>
      <c r="L254" s="30"/>
      <c r="M254" s="30"/>
      <c r="N254" s="30"/>
      <c r="O254" s="30"/>
      <c r="P254" s="30"/>
      <c r="Q254" s="30"/>
      <c r="R254" s="30"/>
      <c r="S254" s="30"/>
      <c r="T254" s="30"/>
      <c r="U254" s="30"/>
      <c r="V254" s="30"/>
      <c r="W254" s="30"/>
      <c r="X254" s="30"/>
      <c r="Y254" s="30"/>
      <c r="Z254" s="30"/>
      <c r="AA254" s="30"/>
      <c r="AB254" s="30"/>
      <c r="AC254" s="30"/>
      <c r="AD254" s="30"/>
      <c r="AE254" s="30"/>
      <c r="AF254" s="30"/>
    </row>
    <row r="255" ht="15.75" customHeight="1">
      <c r="A255" s="94" t="s">
        <v>1787</v>
      </c>
      <c r="B255" s="95">
        <v>3.0</v>
      </c>
      <c r="C255" s="28" t="s">
        <v>1800</v>
      </c>
      <c r="D255" s="28" t="s">
        <v>1802</v>
      </c>
      <c r="E255" s="28" t="s">
        <v>1803</v>
      </c>
      <c r="F255" s="30"/>
      <c r="G255" s="30"/>
      <c r="H255" s="30"/>
      <c r="I255" s="30"/>
      <c r="J255" s="30"/>
      <c r="K255" s="30"/>
      <c r="L255" s="30"/>
      <c r="M255" s="30"/>
      <c r="N255" s="30"/>
      <c r="O255" s="30"/>
      <c r="P255" s="30"/>
      <c r="Q255" s="30"/>
      <c r="R255" s="30"/>
      <c r="S255" s="30"/>
      <c r="T255" s="30"/>
      <c r="U255" s="30"/>
      <c r="V255" s="30"/>
      <c r="W255" s="30"/>
      <c r="X255" s="30"/>
      <c r="Y255" s="30"/>
      <c r="Z255" s="30"/>
      <c r="AA255" s="30"/>
      <c r="AB255" s="30"/>
      <c r="AC255" s="30"/>
      <c r="AD255" s="30"/>
      <c r="AE255" s="30"/>
      <c r="AF255" s="30"/>
    </row>
    <row r="256" ht="15.75" customHeight="1">
      <c r="A256" s="94" t="s">
        <v>1787</v>
      </c>
      <c r="B256" s="95">
        <v>4.0</v>
      </c>
      <c r="C256" s="42" t="s">
        <v>1804</v>
      </c>
      <c r="D256" s="42" t="s">
        <v>1805</v>
      </c>
      <c r="E256" s="42" t="s">
        <v>1806</v>
      </c>
      <c r="F256" s="30"/>
      <c r="G256" s="30"/>
      <c r="H256" s="30"/>
      <c r="I256" s="30"/>
      <c r="J256" s="30"/>
      <c r="K256" s="30"/>
      <c r="L256" s="30"/>
      <c r="M256" s="30"/>
      <c r="N256" s="30"/>
      <c r="O256" s="30"/>
      <c r="P256" s="30"/>
      <c r="Q256" s="30"/>
      <c r="R256" s="30"/>
      <c r="S256" s="30"/>
      <c r="T256" s="30"/>
      <c r="U256" s="30"/>
      <c r="V256" s="30"/>
      <c r="W256" s="30"/>
      <c r="X256" s="30"/>
      <c r="Y256" s="30"/>
      <c r="Z256" s="30"/>
      <c r="AA256" s="30"/>
      <c r="AB256" s="30"/>
      <c r="AC256" s="30"/>
      <c r="AD256" s="30"/>
      <c r="AE256" s="30"/>
      <c r="AF256" s="30"/>
    </row>
    <row r="257" ht="15.75" customHeight="1">
      <c r="A257" s="94" t="s">
        <v>1787</v>
      </c>
      <c r="B257" s="95">
        <v>5.0</v>
      </c>
      <c r="C257" s="258" t="s">
        <v>1810</v>
      </c>
      <c r="D257" s="135" t="s">
        <v>1813</v>
      </c>
      <c r="E257" s="135" t="s">
        <v>1814</v>
      </c>
      <c r="F257" s="30"/>
      <c r="G257" s="30"/>
      <c r="H257" s="30"/>
      <c r="I257" s="30"/>
      <c r="J257" s="30"/>
      <c r="K257" s="30"/>
      <c r="L257" s="30"/>
      <c r="M257" s="30"/>
      <c r="N257" s="30"/>
      <c r="O257" s="30"/>
      <c r="P257" s="30"/>
      <c r="Q257" s="30"/>
      <c r="R257" s="30"/>
      <c r="S257" s="30"/>
      <c r="T257" s="30"/>
      <c r="U257" s="30"/>
      <c r="V257" s="30"/>
      <c r="W257" s="30"/>
      <c r="X257" s="30"/>
      <c r="Y257" s="30"/>
      <c r="Z257" s="30"/>
      <c r="AA257" s="30"/>
      <c r="AB257" s="30"/>
      <c r="AC257" s="30"/>
      <c r="AD257" s="30"/>
      <c r="AE257" s="30"/>
      <c r="AF257" s="30"/>
    </row>
    <row r="258" ht="15.75" customHeight="1">
      <c r="A258" s="94" t="s">
        <v>1787</v>
      </c>
      <c r="B258" s="95">
        <v>6.0</v>
      </c>
      <c r="C258" s="259" t="s">
        <v>1821</v>
      </c>
      <c r="D258" s="114" t="s">
        <v>1822</v>
      </c>
      <c r="E258" s="210" t="s">
        <v>1822</v>
      </c>
      <c r="F258" s="30"/>
      <c r="G258" s="30"/>
      <c r="H258" s="30"/>
      <c r="I258" s="30"/>
      <c r="J258" s="30"/>
      <c r="K258" s="30"/>
      <c r="L258" s="30"/>
      <c r="M258" s="30"/>
      <c r="N258" s="30"/>
      <c r="O258" s="30"/>
      <c r="P258" s="30"/>
      <c r="Q258" s="30"/>
      <c r="R258" s="30"/>
      <c r="S258" s="30"/>
      <c r="T258" s="30"/>
      <c r="U258" s="30"/>
      <c r="V258" s="30"/>
      <c r="W258" s="30"/>
      <c r="X258" s="30"/>
      <c r="Y258" s="30"/>
      <c r="Z258" s="30"/>
      <c r="AA258" s="30"/>
      <c r="AB258" s="30"/>
      <c r="AC258" s="30"/>
      <c r="AD258" s="30"/>
      <c r="AE258" s="30"/>
      <c r="AF258" s="30"/>
    </row>
    <row r="259" ht="15.75" customHeight="1">
      <c r="A259" s="77" t="s">
        <v>1787</v>
      </c>
      <c r="B259" s="111">
        <v>-777.0</v>
      </c>
      <c r="C259" s="42" t="s">
        <v>1824</v>
      </c>
      <c r="D259" s="42" t="s">
        <v>479</v>
      </c>
      <c r="E259" s="42" t="s">
        <v>1825</v>
      </c>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30"/>
      <c r="AF259" s="30"/>
    </row>
    <row r="260" ht="15.75" customHeight="1">
      <c r="A260" s="114"/>
      <c r="B260" s="115"/>
      <c r="C260" s="114"/>
      <c r="D260" s="114"/>
      <c r="E260" s="210"/>
      <c r="F260" s="30"/>
      <c r="G260" s="30"/>
      <c r="H260" s="30"/>
      <c r="I260" s="30"/>
      <c r="J260" s="30"/>
      <c r="K260" s="30"/>
      <c r="L260" s="30"/>
      <c r="M260" s="30"/>
      <c r="N260" s="30"/>
      <c r="O260" s="30"/>
      <c r="P260" s="30"/>
      <c r="Q260" s="30"/>
      <c r="R260" s="30"/>
      <c r="S260" s="30"/>
      <c r="T260" s="30"/>
      <c r="U260" s="30"/>
      <c r="V260" s="30"/>
      <c r="W260" s="30"/>
      <c r="X260" s="30"/>
      <c r="Y260" s="30"/>
      <c r="Z260" s="30"/>
      <c r="AA260" s="30"/>
      <c r="AB260" s="30"/>
      <c r="AC260" s="30"/>
      <c r="AD260" s="30"/>
      <c r="AE260" s="30"/>
      <c r="AF260" s="30"/>
    </row>
    <row r="261" ht="15.75" customHeight="1">
      <c r="A261" s="123" t="s">
        <v>1830</v>
      </c>
      <c r="B261" s="126">
        <v>1.0</v>
      </c>
      <c r="C261" s="136" t="s">
        <v>1831</v>
      </c>
      <c r="D261" s="136" t="s">
        <v>1832</v>
      </c>
      <c r="E261" s="213" t="s">
        <v>1833</v>
      </c>
      <c r="F261" s="229"/>
      <c r="G261" s="229"/>
      <c r="H261" s="49"/>
      <c r="I261" s="49"/>
      <c r="J261" s="49"/>
      <c r="K261" s="49"/>
      <c r="L261" s="49"/>
      <c r="M261" s="49"/>
      <c r="N261" s="49"/>
      <c r="O261" s="49"/>
      <c r="P261" s="49"/>
      <c r="Q261" s="49"/>
      <c r="R261" s="49"/>
      <c r="S261" s="49"/>
      <c r="T261" s="49"/>
      <c r="U261" s="49"/>
      <c r="V261" s="49"/>
      <c r="W261" s="49"/>
      <c r="X261" s="49"/>
      <c r="Y261" s="49"/>
      <c r="Z261" s="49"/>
      <c r="AA261" s="49"/>
      <c r="AB261" s="49"/>
      <c r="AC261" s="49"/>
      <c r="AD261" s="49"/>
      <c r="AE261" s="49"/>
      <c r="AF261" s="49"/>
    </row>
    <row r="262" ht="15.75" customHeight="1">
      <c r="A262" s="94" t="s">
        <v>1830</v>
      </c>
      <c r="B262" s="95">
        <v>2.0</v>
      </c>
      <c r="C262" s="28" t="s">
        <v>1793</v>
      </c>
      <c r="D262" s="28" t="s">
        <v>1794</v>
      </c>
      <c r="E262" s="96" t="s">
        <v>1837</v>
      </c>
      <c r="F262" s="191"/>
      <c r="G262" s="27"/>
      <c r="H262" s="30"/>
      <c r="I262" s="30"/>
      <c r="J262" s="30"/>
      <c r="K262" s="30"/>
      <c r="L262" s="30"/>
      <c r="M262" s="30"/>
      <c r="N262" s="30"/>
      <c r="O262" s="30"/>
      <c r="P262" s="30"/>
      <c r="Q262" s="30"/>
      <c r="R262" s="30"/>
      <c r="S262" s="30"/>
      <c r="T262" s="30"/>
      <c r="U262" s="30"/>
      <c r="V262" s="30"/>
      <c r="W262" s="30"/>
      <c r="X262" s="30"/>
      <c r="Y262" s="30"/>
      <c r="Z262" s="30"/>
      <c r="AA262" s="30"/>
      <c r="AB262" s="30"/>
      <c r="AC262" s="30"/>
      <c r="AD262" s="30"/>
      <c r="AE262" s="30"/>
      <c r="AF262" s="30"/>
    </row>
    <row r="263" ht="15.75" customHeight="1">
      <c r="A263" s="94" t="s">
        <v>1830</v>
      </c>
      <c r="B263" s="95">
        <v>3.0</v>
      </c>
      <c r="C263" s="28" t="s">
        <v>1800</v>
      </c>
      <c r="D263" s="28" t="s">
        <v>1802</v>
      </c>
      <c r="E263" s="96" t="s">
        <v>1842</v>
      </c>
      <c r="F263" s="27"/>
      <c r="G263" s="27"/>
      <c r="H263" s="30"/>
      <c r="I263" s="30"/>
      <c r="J263" s="30"/>
      <c r="K263" s="30"/>
      <c r="L263" s="30"/>
      <c r="M263" s="30"/>
      <c r="N263" s="30"/>
      <c r="O263" s="30"/>
      <c r="P263" s="30"/>
      <c r="Q263" s="30"/>
      <c r="R263" s="30"/>
      <c r="S263" s="30"/>
      <c r="T263" s="30"/>
      <c r="U263" s="30"/>
      <c r="V263" s="30"/>
      <c r="W263" s="30"/>
      <c r="X263" s="30"/>
      <c r="Y263" s="30"/>
      <c r="Z263" s="30"/>
      <c r="AA263" s="30"/>
      <c r="AB263" s="30"/>
      <c r="AC263" s="30"/>
      <c r="AD263" s="30"/>
      <c r="AE263" s="30"/>
      <c r="AF263" s="30"/>
    </row>
    <row r="264" ht="15.75" customHeight="1">
      <c r="A264" s="77" t="s">
        <v>1830</v>
      </c>
      <c r="B264" s="111">
        <v>-777.0</v>
      </c>
      <c r="C264" s="42" t="s">
        <v>1824</v>
      </c>
      <c r="D264" s="42" t="s">
        <v>479</v>
      </c>
      <c r="E264" s="82" t="s">
        <v>1825</v>
      </c>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row>
    <row r="265" ht="15.75" customHeight="1">
      <c r="A265" s="114"/>
      <c r="B265" s="115"/>
      <c r="C265" s="114"/>
      <c r="D265" s="114"/>
      <c r="E265" s="114"/>
      <c r="F265" s="30"/>
      <c r="G265" s="30"/>
      <c r="H265" s="30"/>
      <c r="I265" s="30"/>
      <c r="J265" s="30"/>
      <c r="K265" s="30"/>
      <c r="L265" s="30"/>
      <c r="M265" s="30"/>
      <c r="N265" s="30"/>
      <c r="O265" s="30"/>
      <c r="P265" s="30"/>
      <c r="Q265" s="30"/>
      <c r="R265" s="30"/>
      <c r="S265" s="30"/>
      <c r="T265" s="30"/>
      <c r="U265" s="30"/>
      <c r="V265" s="30"/>
      <c r="W265" s="30"/>
      <c r="X265" s="30"/>
      <c r="Y265" s="30"/>
      <c r="Z265" s="30"/>
      <c r="AA265" s="30"/>
      <c r="AB265" s="30"/>
      <c r="AC265" s="30"/>
      <c r="AD265" s="30"/>
      <c r="AE265" s="30"/>
      <c r="AF265" s="30"/>
    </row>
    <row r="266" ht="15.75" customHeight="1">
      <c r="A266" s="123" t="s">
        <v>1853</v>
      </c>
      <c r="B266" s="126">
        <v>0.0</v>
      </c>
      <c r="C266" s="136" t="s">
        <v>228</v>
      </c>
      <c r="D266" s="136" t="s">
        <v>230</v>
      </c>
      <c r="E266" s="136" t="s">
        <v>232</v>
      </c>
      <c r="F266" s="49"/>
      <c r="G266" s="49"/>
      <c r="H266" s="49"/>
      <c r="I266" s="49"/>
      <c r="J266" s="49"/>
      <c r="K266" s="49"/>
      <c r="L266" s="49"/>
      <c r="M266" s="49"/>
      <c r="N266" s="49"/>
      <c r="O266" s="49"/>
      <c r="P266" s="49"/>
      <c r="Q266" s="49"/>
      <c r="R266" s="49"/>
      <c r="S266" s="49"/>
      <c r="T266" s="49"/>
      <c r="U266" s="49"/>
      <c r="V266" s="49"/>
      <c r="W266" s="49"/>
      <c r="X266" s="49"/>
      <c r="Y266" s="49"/>
      <c r="Z266" s="49"/>
      <c r="AA266" s="49"/>
      <c r="AB266" s="49"/>
      <c r="AC266" s="49"/>
      <c r="AD266" s="49"/>
      <c r="AE266" s="30"/>
      <c r="AF266" s="30"/>
    </row>
    <row r="267" ht="15.75" customHeight="1">
      <c r="A267" s="94" t="s">
        <v>1853</v>
      </c>
      <c r="B267" s="95">
        <v>1.0</v>
      </c>
      <c r="C267" s="28" t="s">
        <v>1866</v>
      </c>
      <c r="D267" s="28" t="s">
        <v>1868</v>
      </c>
      <c r="E267" s="28" t="s">
        <v>1869</v>
      </c>
      <c r="F267" s="30"/>
      <c r="G267" s="30"/>
      <c r="H267" s="30"/>
      <c r="I267" s="30"/>
      <c r="J267" s="30"/>
      <c r="K267" s="30"/>
      <c r="L267" s="30"/>
      <c r="M267" s="30"/>
      <c r="N267" s="30"/>
      <c r="O267" s="30"/>
      <c r="P267" s="30"/>
      <c r="Q267" s="30"/>
      <c r="R267" s="30"/>
      <c r="S267" s="30"/>
      <c r="T267" s="30"/>
      <c r="U267" s="30"/>
      <c r="V267" s="30"/>
      <c r="W267" s="30"/>
      <c r="X267" s="30"/>
      <c r="Y267" s="30"/>
      <c r="Z267" s="30"/>
      <c r="AA267" s="30"/>
      <c r="AB267" s="30"/>
      <c r="AC267" s="30"/>
      <c r="AD267" s="30"/>
      <c r="AE267" s="30"/>
      <c r="AF267" s="30"/>
    </row>
    <row r="268" ht="15.75" customHeight="1">
      <c r="A268" s="94" t="s">
        <v>1853</v>
      </c>
      <c r="B268" s="95">
        <v>2.0</v>
      </c>
      <c r="C268" s="28" t="s">
        <v>1870</v>
      </c>
      <c r="D268" s="28" t="s">
        <v>1871</v>
      </c>
      <c r="E268" s="96" t="s">
        <v>1872</v>
      </c>
      <c r="F268" s="30"/>
      <c r="G268" s="30"/>
      <c r="H268" s="30"/>
      <c r="I268" s="30"/>
      <c r="J268" s="30"/>
      <c r="K268" s="30"/>
      <c r="L268" s="30"/>
      <c r="M268" s="30"/>
      <c r="N268" s="30"/>
      <c r="O268" s="30"/>
      <c r="P268" s="30"/>
      <c r="Q268" s="30"/>
      <c r="R268" s="30"/>
      <c r="S268" s="30"/>
      <c r="T268" s="30"/>
      <c r="U268" s="30"/>
      <c r="V268" s="30"/>
      <c r="W268" s="30"/>
      <c r="X268" s="30"/>
      <c r="Y268" s="30"/>
      <c r="Z268" s="30"/>
      <c r="AA268" s="30"/>
      <c r="AB268" s="30"/>
      <c r="AC268" s="30"/>
      <c r="AD268" s="30"/>
      <c r="AE268" s="30"/>
      <c r="AF268" s="30"/>
    </row>
    <row r="269" ht="15.75" customHeight="1">
      <c r="A269" s="94" t="s">
        <v>1853</v>
      </c>
      <c r="B269" s="95">
        <v>3.0</v>
      </c>
      <c r="C269" s="28" t="s">
        <v>1874</v>
      </c>
      <c r="D269" s="28" t="s">
        <v>1875</v>
      </c>
      <c r="E269" s="28" t="s">
        <v>1876</v>
      </c>
      <c r="F269" s="30"/>
      <c r="G269" s="30"/>
      <c r="H269" s="30"/>
      <c r="I269" s="30"/>
      <c r="J269" s="30"/>
      <c r="K269" s="30"/>
      <c r="L269" s="30"/>
      <c r="M269" s="30"/>
      <c r="N269" s="30"/>
      <c r="O269" s="30"/>
      <c r="P269" s="30"/>
      <c r="Q269" s="30"/>
      <c r="R269" s="30"/>
      <c r="S269" s="30"/>
      <c r="T269" s="30"/>
      <c r="U269" s="30"/>
      <c r="V269" s="30"/>
      <c r="W269" s="30"/>
      <c r="X269" s="30"/>
      <c r="Y269" s="30"/>
      <c r="Z269" s="30"/>
      <c r="AA269" s="30"/>
      <c r="AB269" s="30"/>
      <c r="AC269" s="30"/>
      <c r="AD269" s="30"/>
      <c r="AE269" s="30"/>
      <c r="AF269" s="30"/>
    </row>
    <row r="270" ht="15.75" customHeight="1">
      <c r="A270" s="94" t="s">
        <v>1853</v>
      </c>
      <c r="B270" s="95">
        <v>4.0</v>
      </c>
      <c r="C270" s="28" t="s">
        <v>1881</v>
      </c>
      <c r="D270" s="28" t="s">
        <v>1882</v>
      </c>
      <c r="E270" s="96" t="s">
        <v>1883</v>
      </c>
      <c r="F270" s="30"/>
      <c r="G270" s="30"/>
      <c r="H270" s="30"/>
      <c r="I270" s="30"/>
      <c r="J270" s="30"/>
      <c r="K270" s="30"/>
      <c r="L270" s="30"/>
      <c r="M270" s="30"/>
      <c r="N270" s="30"/>
      <c r="O270" s="30"/>
      <c r="P270" s="30"/>
      <c r="Q270" s="30"/>
      <c r="R270" s="30"/>
      <c r="S270" s="30"/>
      <c r="T270" s="30"/>
      <c r="U270" s="30"/>
      <c r="V270" s="30"/>
      <c r="W270" s="30"/>
      <c r="X270" s="30"/>
      <c r="Y270" s="30"/>
      <c r="Z270" s="30"/>
      <c r="AA270" s="30"/>
      <c r="AB270" s="30"/>
      <c r="AC270" s="30"/>
      <c r="AD270" s="30"/>
      <c r="AE270" s="30"/>
      <c r="AF270" s="30"/>
    </row>
    <row r="271" ht="15.75" customHeight="1">
      <c r="A271" s="94" t="s">
        <v>1853</v>
      </c>
      <c r="B271" s="95">
        <v>5.0</v>
      </c>
      <c r="C271" s="28" t="s">
        <v>1890</v>
      </c>
      <c r="D271" s="28" t="s">
        <v>1891</v>
      </c>
      <c r="E271" s="28" t="s">
        <v>1892</v>
      </c>
      <c r="F271" s="30"/>
      <c r="G271" s="30"/>
      <c r="H271" s="30"/>
      <c r="I271" s="30"/>
      <c r="J271" s="30"/>
      <c r="K271" s="30"/>
      <c r="L271" s="30"/>
      <c r="M271" s="30"/>
      <c r="N271" s="30"/>
      <c r="O271" s="30"/>
      <c r="P271" s="30"/>
      <c r="Q271" s="30"/>
      <c r="R271" s="30"/>
      <c r="S271" s="30"/>
      <c r="T271" s="30"/>
      <c r="U271" s="30"/>
      <c r="V271" s="30"/>
      <c r="W271" s="30"/>
      <c r="X271" s="30"/>
      <c r="Y271" s="30"/>
      <c r="Z271" s="30"/>
      <c r="AA271" s="30"/>
      <c r="AB271" s="30"/>
      <c r="AC271" s="30"/>
      <c r="AD271" s="30"/>
      <c r="AE271" s="30"/>
      <c r="AF271" s="30"/>
    </row>
    <row r="272" ht="15.75" customHeight="1">
      <c r="A272" s="94" t="s">
        <v>1853</v>
      </c>
      <c r="B272" s="95">
        <v>6.0</v>
      </c>
      <c r="C272" s="28" t="s">
        <v>1897</v>
      </c>
      <c r="D272" s="28" t="s">
        <v>1898</v>
      </c>
      <c r="E272" s="28" t="s">
        <v>1899</v>
      </c>
      <c r="F272" s="30"/>
      <c r="G272" s="30"/>
      <c r="H272" s="30"/>
      <c r="I272" s="30"/>
      <c r="J272" s="30"/>
      <c r="K272" s="30"/>
      <c r="L272" s="30"/>
      <c r="M272" s="30"/>
      <c r="N272" s="30"/>
      <c r="O272" s="30"/>
      <c r="P272" s="30"/>
      <c r="Q272" s="30"/>
      <c r="R272" s="30"/>
      <c r="S272" s="30"/>
      <c r="T272" s="30"/>
      <c r="U272" s="30"/>
      <c r="V272" s="30"/>
      <c r="W272" s="30"/>
      <c r="X272" s="30"/>
      <c r="Y272" s="30"/>
      <c r="Z272" s="30"/>
      <c r="AA272" s="30"/>
      <c r="AB272" s="30"/>
      <c r="AC272" s="30"/>
      <c r="AD272" s="30"/>
      <c r="AE272" s="30"/>
      <c r="AF272" s="30"/>
    </row>
    <row r="273" ht="15.75" customHeight="1">
      <c r="A273" s="94" t="s">
        <v>1853</v>
      </c>
      <c r="B273" s="95">
        <v>7.0</v>
      </c>
      <c r="C273" s="28" t="s">
        <v>1912</v>
      </c>
      <c r="D273" s="28" t="s">
        <v>1914</v>
      </c>
      <c r="E273" s="28" t="s">
        <v>1916</v>
      </c>
      <c r="F273" s="30"/>
      <c r="G273" s="30"/>
      <c r="H273" s="30"/>
      <c r="I273" s="30"/>
      <c r="J273" s="30"/>
      <c r="K273" s="30"/>
      <c r="L273" s="30"/>
      <c r="M273" s="30"/>
      <c r="N273" s="30"/>
      <c r="O273" s="30"/>
      <c r="P273" s="30"/>
      <c r="Q273" s="30"/>
      <c r="R273" s="30"/>
      <c r="S273" s="30"/>
      <c r="T273" s="30"/>
      <c r="U273" s="30"/>
      <c r="V273" s="30"/>
      <c r="W273" s="30"/>
      <c r="X273" s="30"/>
      <c r="Y273" s="30"/>
      <c r="Z273" s="30"/>
      <c r="AA273" s="30"/>
      <c r="AB273" s="30"/>
      <c r="AC273" s="30"/>
      <c r="AD273" s="30"/>
      <c r="AE273" s="30"/>
      <c r="AF273" s="30"/>
    </row>
    <row r="274" ht="15.75" customHeight="1">
      <c r="A274" s="94" t="s">
        <v>1853</v>
      </c>
      <c r="B274" s="95">
        <v>8.0</v>
      </c>
      <c r="C274" s="28" t="s">
        <v>1923</v>
      </c>
      <c r="D274" s="28" t="s">
        <v>1927</v>
      </c>
      <c r="E274" s="96" t="s">
        <v>1928</v>
      </c>
      <c r="F274" s="30"/>
      <c r="G274" s="30"/>
      <c r="H274" s="30"/>
      <c r="I274" s="30"/>
      <c r="J274" s="30"/>
      <c r="K274" s="30"/>
      <c r="L274" s="30"/>
      <c r="M274" s="30"/>
      <c r="N274" s="30"/>
      <c r="O274" s="30"/>
      <c r="P274" s="30"/>
      <c r="Q274" s="30"/>
      <c r="R274" s="30"/>
      <c r="S274" s="30"/>
      <c r="T274" s="30"/>
      <c r="U274" s="30"/>
      <c r="V274" s="30"/>
      <c r="W274" s="30"/>
      <c r="X274" s="30"/>
      <c r="Y274" s="30"/>
      <c r="Z274" s="30"/>
      <c r="AA274" s="30"/>
      <c r="AB274" s="30"/>
      <c r="AC274" s="30"/>
      <c r="AD274" s="30"/>
      <c r="AE274" s="30"/>
      <c r="AF274" s="30"/>
    </row>
    <row r="275" ht="15.75" customHeight="1">
      <c r="A275" s="94" t="s">
        <v>1853</v>
      </c>
      <c r="B275" s="95">
        <v>9.0</v>
      </c>
      <c r="C275" s="28" t="s">
        <v>1937</v>
      </c>
      <c r="D275" s="28" t="s">
        <v>1939</v>
      </c>
      <c r="E275" s="28" t="s">
        <v>1940</v>
      </c>
      <c r="F275" s="30"/>
      <c r="G275" s="30"/>
      <c r="H275" s="30"/>
      <c r="I275" s="30"/>
      <c r="J275" s="30"/>
      <c r="K275" s="30"/>
      <c r="L275" s="30"/>
      <c r="M275" s="30"/>
      <c r="N275" s="30"/>
      <c r="O275" s="30"/>
      <c r="P275" s="30"/>
      <c r="Q275" s="30"/>
      <c r="R275" s="30"/>
      <c r="S275" s="30"/>
      <c r="T275" s="30"/>
      <c r="U275" s="30"/>
      <c r="V275" s="30"/>
      <c r="W275" s="30"/>
      <c r="X275" s="30"/>
      <c r="Y275" s="30"/>
      <c r="Z275" s="30"/>
      <c r="AA275" s="30"/>
      <c r="AB275" s="30"/>
      <c r="AC275" s="30"/>
      <c r="AD275" s="30"/>
      <c r="AE275" s="30"/>
      <c r="AF275" s="30"/>
    </row>
    <row r="276" ht="15.75" customHeight="1">
      <c r="A276" s="94" t="s">
        <v>1853</v>
      </c>
      <c r="B276" s="95">
        <v>10.0</v>
      </c>
      <c r="C276" s="28" t="s">
        <v>1950</v>
      </c>
      <c r="D276" s="28" t="s">
        <v>1952</v>
      </c>
      <c r="E276" s="28" t="s">
        <v>1953</v>
      </c>
      <c r="F276" s="30"/>
      <c r="G276" s="30"/>
      <c r="H276" s="30"/>
      <c r="I276" s="30"/>
      <c r="J276" s="30"/>
      <c r="K276" s="30"/>
      <c r="L276" s="30"/>
      <c r="M276" s="30"/>
      <c r="N276" s="30"/>
      <c r="O276" s="30"/>
      <c r="P276" s="30"/>
      <c r="Q276" s="30"/>
      <c r="R276" s="30"/>
      <c r="S276" s="30"/>
      <c r="T276" s="30"/>
      <c r="U276" s="30"/>
      <c r="V276" s="30"/>
      <c r="W276" s="30"/>
      <c r="X276" s="30"/>
      <c r="Y276" s="30"/>
      <c r="Z276" s="30"/>
      <c r="AA276" s="30"/>
      <c r="AB276" s="30"/>
      <c r="AC276" s="30"/>
      <c r="AD276" s="30"/>
      <c r="AE276" s="30"/>
      <c r="AF276" s="30"/>
    </row>
    <row r="277" ht="15.75" customHeight="1">
      <c r="A277" s="94" t="s">
        <v>1853</v>
      </c>
      <c r="B277" s="95">
        <v>11.0</v>
      </c>
      <c r="C277" s="28" t="s">
        <v>1957</v>
      </c>
      <c r="D277" s="28" t="s">
        <v>1959</v>
      </c>
      <c r="E277" s="96" t="s">
        <v>1962</v>
      </c>
      <c r="F277" s="30"/>
      <c r="G277" s="30"/>
      <c r="H277" s="30"/>
      <c r="I277" s="30"/>
      <c r="J277" s="30"/>
      <c r="K277" s="30"/>
      <c r="L277" s="30"/>
      <c r="M277" s="30"/>
      <c r="N277" s="30"/>
      <c r="O277" s="30"/>
      <c r="P277" s="30"/>
      <c r="Q277" s="30"/>
      <c r="R277" s="30"/>
      <c r="S277" s="30"/>
      <c r="T277" s="30"/>
      <c r="U277" s="30"/>
      <c r="V277" s="30"/>
      <c r="W277" s="30"/>
      <c r="X277" s="30"/>
      <c r="Y277" s="30"/>
      <c r="Z277" s="30"/>
      <c r="AA277" s="30"/>
      <c r="AB277" s="30"/>
      <c r="AC277" s="30"/>
      <c r="AD277" s="30"/>
      <c r="AE277" s="30"/>
      <c r="AF277" s="30"/>
    </row>
    <row r="278" ht="15.75" customHeight="1">
      <c r="A278" s="94" t="s">
        <v>1853</v>
      </c>
      <c r="B278" s="95">
        <v>12.0</v>
      </c>
      <c r="C278" s="28" t="s">
        <v>1973</v>
      </c>
      <c r="D278" s="28" t="s">
        <v>1974</v>
      </c>
      <c r="E278" s="96" t="s">
        <v>1975</v>
      </c>
      <c r="F278" s="30"/>
      <c r="G278" s="30"/>
      <c r="H278" s="30"/>
      <c r="I278" s="30"/>
      <c r="J278" s="30"/>
      <c r="K278" s="30"/>
      <c r="L278" s="30"/>
      <c r="M278" s="30"/>
      <c r="N278" s="30"/>
      <c r="O278" s="30"/>
      <c r="P278" s="30"/>
      <c r="Q278" s="30"/>
      <c r="R278" s="30"/>
      <c r="S278" s="30"/>
      <c r="T278" s="30"/>
      <c r="U278" s="30"/>
      <c r="V278" s="30"/>
      <c r="W278" s="30"/>
      <c r="X278" s="30"/>
      <c r="Y278" s="30"/>
      <c r="Z278" s="30"/>
      <c r="AA278" s="30"/>
      <c r="AB278" s="30"/>
      <c r="AC278" s="30"/>
      <c r="AD278" s="30"/>
      <c r="AE278" s="30"/>
      <c r="AF278" s="30"/>
    </row>
    <row r="279" ht="15.75" customHeight="1">
      <c r="A279" s="77" t="s">
        <v>1853</v>
      </c>
      <c r="B279" s="111">
        <v>-777.0</v>
      </c>
      <c r="C279" s="42" t="s">
        <v>478</v>
      </c>
      <c r="D279" s="42" t="s">
        <v>479</v>
      </c>
      <c r="E279" s="42" t="s">
        <v>1825</v>
      </c>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30"/>
      <c r="AF279" s="30"/>
    </row>
    <row r="280" ht="15.75" customHeight="1">
      <c r="A280" s="77"/>
      <c r="B280" s="42"/>
      <c r="C280" s="42"/>
      <c r="D280" s="42"/>
      <c r="E280" s="42"/>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30"/>
      <c r="AF280" s="30"/>
    </row>
    <row r="281" ht="15.75" customHeight="1">
      <c r="A281" s="94" t="s">
        <v>2002</v>
      </c>
      <c r="B281" s="95">
        <v>1.0</v>
      </c>
      <c r="C281" s="28" t="s">
        <v>2003</v>
      </c>
      <c r="D281" s="28" t="s">
        <v>2004</v>
      </c>
      <c r="E281" s="28" t="s">
        <v>2005</v>
      </c>
      <c r="F281" s="30"/>
      <c r="G281" s="30"/>
      <c r="H281" s="30"/>
      <c r="I281" s="30"/>
      <c r="J281" s="30"/>
      <c r="K281" s="30"/>
      <c r="L281" s="30"/>
      <c r="M281" s="30"/>
      <c r="N281" s="30"/>
      <c r="O281" s="30"/>
      <c r="P281" s="30"/>
      <c r="Q281" s="30"/>
      <c r="R281" s="30"/>
      <c r="S281" s="30"/>
      <c r="T281" s="30"/>
      <c r="U281" s="30"/>
      <c r="V281" s="30"/>
      <c r="W281" s="30"/>
      <c r="X281" s="30"/>
      <c r="Y281" s="30"/>
      <c r="Z281" s="30"/>
      <c r="AA281" s="30"/>
      <c r="AB281" s="30"/>
      <c r="AC281" s="30"/>
      <c r="AD281" s="30"/>
      <c r="AE281" s="30"/>
      <c r="AF281" s="30"/>
    </row>
    <row r="282" ht="15.75" customHeight="1">
      <c r="A282" s="94" t="s">
        <v>2002</v>
      </c>
      <c r="B282" s="95">
        <v>2.0</v>
      </c>
      <c r="C282" s="28" t="s">
        <v>2014</v>
      </c>
      <c r="D282" s="28" t="s">
        <v>2015</v>
      </c>
      <c r="E282" s="28" t="s">
        <v>2016</v>
      </c>
      <c r="F282" s="30"/>
      <c r="G282" s="30"/>
      <c r="H282" s="30"/>
      <c r="I282" s="30"/>
      <c r="J282" s="30"/>
      <c r="K282" s="30"/>
      <c r="L282" s="30"/>
      <c r="M282" s="30"/>
      <c r="N282" s="30"/>
      <c r="O282" s="30"/>
      <c r="P282" s="30"/>
      <c r="Q282" s="30"/>
      <c r="R282" s="30"/>
      <c r="S282" s="30"/>
      <c r="T282" s="30"/>
      <c r="U282" s="30"/>
      <c r="V282" s="30"/>
      <c r="W282" s="30"/>
      <c r="X282" s="30"/>
      <c r="Y282" s="30"/>
      <c r="Z282" s="30"/>
      <c r="AA282" s="30"/>
      <c r="AB282" s="30"/>
      <c r="AC282" s="30"/>
      <c r="AD282" s="30"/>
      <c r="AE282" s="30"/>
      <c r="AF282" s="30"/>
    </row>
    <row r="283" ht="15.75" customHeight="1">
      <c r="A283" s="94" t="s">
        <v>2002</v>
      </c>
      <c r="B283" s="95">
        <v>3.0</v>
      </c>
      <c r="C283" s="28" t="s">
        <v>2023</v>
      </c>
      <c r="D283" s="28" t="s">
        <v>2032</v>
      </c>
      <c r="E283" s="28" t="s">
        <v>2034</v>
      </c>
      <c r="F283" s="30"/>
      <c r="G283" s="30"/>
      <c r="H283" s="30"/>
      <c r="I283" s="30"/>
      <c r="J283" s="30"/>
      <c r="K283" s="30"/>
      <c r="L283" s="30"/>
      <c r="M283" s="30"/>
      <c r="N283" s="30"/>
      <c r="O283" s="30"/>
      <c r="P283" s="30"/>
      <c r="Q283" s="30"/>
      <c r="R283" s="30"/>
      <c r="S283" s="30"/>
      <c r="T283" s="30"/>
      <c r="U283" s="30"/>
      <c r="V283" s="30"/>
      <c r="W283" s="30"/>
      <c r="X283" s="30"/>
      <c r="Y283" s="30"/>
      <c r="Z283" s="30"/>
      <c r="AA283" s="30"/>
      <c r="AB283" s="30"/>
      <c r="AC283" s="30"/>
      <c r="AD283" s="30"/>
      <c r="AE283" s="30"/>
      <c r="AF283" s="30"/>
    </row>
    <row r="284" ht="15.75" customHeight="1">
      <c r="A284" s="94" t="s">
        <v>2002</v>
      </c>
      <c r="B284" s="95">
        <v>4.0</v>
      </c>
      <c r="C284" s="28" t="s">
        <v>2041</v>
      </c>
      <c r="D284" s="28" t="s">
        <v>2042</v>
      </c>
      <c r="E284" s="28" t="s">
        <v>2043</v>
      </c>
      <c r="F284" s="30"/>
      <c r="G284" s="30"/>
      <c r="H284" s="30"/>
      <c r="I284" s="30"/>
      <c r="J284" s="30"/>
      <c r="K284" s="30"/>
      <c r="L284" s="30"/>
      <c r="M284" s="30"/>
      <c r="N284" s="30"/>
      <c r="O284" s="30"/>
      <c r="P284" s="30"/>
      <c r="Q284" s="30"/>
      <c r="R284" s="30"/>
      <c r="S284" s="30"/>
      <c r="T284" s="30"/>
      <c r="U284" s="30"/>
      <c r="V284" s="30"/>
      <c r="W284" s="30"/>
      <c r="X284" s="30"/>
      <c r="Y284" s="30"/>
      <c r="Z284" s="30"/>
      <c r="AA284" s="30"/>
      <c r="AB284" s="30"/>
      <c r="AC284" s="30"/>
      <c r="AD284" s="30"/>
      <c r="AE284" s="30"/>
      <c r="AF284" s="30"/>
    </row>
    <row r="285" ht="15.75" customHeight="1">
      <c r="A285" s="94" t="s">
        <v>2002</v>
      </c>
      <c r="B285" s="95">
        <v>5.0</v>
      </c>
      <c r="C285" s="28" t="s">
        <v>2047</v>
      </c>
      <c r="D285" s="28" t="s">
        <v>2048</v>
      </c>
      <c r="E285" s="28" t="s">
        <v>2049</v>
      </c>
      <c r="F285" s="30"/>
      <c r="G285" s="30"/>
      <c r="H285" s="30"/>
      <c r="I285" s="30"/>
      <c r="J285" s="30"/>
      <c r="K285" s="30"/>
      <c r="L285" s="30"/>
      <c r="M285" s="30"/>
      <c r="N285" s="30"/>
      <c r="O285" s="30"/>
      <c r="P285" s="30"/>
      <c r="Q285" s="30"/>
      <c r="R285" s="30"/>
      <c r="S285" s="30"/>
      <c r="T285" s="30"/>
      <c r="U285" s="30"/>
      <c r="V285" s="30"/>
      <c r="W285" s="30"/>
      <c r="X285" s="30"/>
      <c r="Y285" s="30"/>
      <c r="Z285" s="30"/>
      <c r="AA285" s="30"/>
      <c r="AB285" s="30"/>
      <c r="AC285" s="30"/>
      <c r="AD285" s="30"/>
      <c r="AE285" s="30"/>
      <c r="AF285" s="30"/>
    </row>
    <row r="286" ht="15.75" customHeight="1">
      <c r="A286" s="77" t="s">
        <v>2002</v>
      </c>
      <c r="B286" s="111">
        <v>0.0</v>
      </c>
      <c r="C286" s="42" t="s">
        <v>228</v>
      </c>
      <c r="D286" s="42" t="s">
        <v>230</v>
      </c>
      <c r="E286" s="42" t="s">
        <v>232</v>
      </c>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30"/>
      <c r="AF286" s="30"/>
    </row>
    <row r="287" ht="15.75" customHeight="1">
      <c r="A287" s="77"/>
      <c r="B287" s="42"/>
      <c r="C287" s="42"/>
      <c r="D287" s="42"/>
      <c r="E287" s="42"/>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30"/>
      <c r="AF287" s="30"/>
    </row>
    <row r="288" ht="15.75" customHeight="1">
      <c r="A288" s="94" t="s">
        <v>2072</v>
      </c>
      <c r="B288" s="95">
        <v>1.0</v>
      </c>
      <c r="C288" s="28" t="s">
        <v>2073</v>
      </c>
      <c r="D288" s="28" t="s">
        <v>2077</v>
      </c>
      <c r="E288" s="28" t="s">
        <v>2079</v>
      </c>
      <c r="F288" s="30"/>
      <c r="G288" s="30"/>
      <c r="H288" s="30"/>
      <c r="I288" s="30"/>
      <c r="J288" s="30"/>
      <c r="K288" s="30"/>
      <c r="L288" s="30"/>
      <c r="M288" s="30"/>
      <c r="N288" s="30"/>
      <c r="O288" s="30"/>
      <c r="P288" s="30"/>
      <c r="Q288" s="30"/>
      <c r="R288" s="30"/>
      <c r="S288" s="30"/>
      <c r="T288" s="30"/>
      <c r="U288" s="30"/>
      <c r="V288" s="30"/>
      <c r="W288" s="30"/>
      <c r="X288" s="30"/>
      <c r="Y288" s="30"/>
      <c r="Z288" s="30"/>
      <c r="AA288" s="30"/>
      <c r="AB288" s="30"/>
      <c r="AC288" s="30"/>
      <c r="AD288" s="30"/>
      <c r="AE288" s="30"/>
      <c r="AF288" s="30"/>
    </row>
    <row r="289" ht="15.75" customHeight="1">
      <c r="A289" s="94" t="s">
        <v>2072</v>
      </c>
      <c r="B289" s="95">
        <v>2.0</v>
      </c>
      <c r="C289" s="28" t="s">
        <v>2085</v>
      </c>
      <c r="D289" s="28" t="s">
        <v>2087</v>
      </c>
      <c r="E289" s="28" t="s">
        <v>2089</v>
      </c>
      <c r="F289" s="30"/>
      <c r="G289" s="30"/>
      <c r="H289" s="30"/>
      <c r="I289" s="30"/>
      <c r="J289" s="30"/>
      <c r="K289" s="30"/>
      <c r="L289" s="30"/>
      <c r="M289" s="30"/>
      <c r="N289" s="30"/>
      <c r="O289" s="30"/>
      <c r="P289" s="30"/>
      <c r="Q289" s="30"/>
      <c r="R289" s="30"/>
      <c r="S289" s="30"/>
      <c r="T289" s="30"/>
      <c r="U289" s="30"/>
      <c r="V289" s="30"/>
      <c r="W289" s="30"/>
      <c r="X289" s="30"/>
      <c r="Y289" s="30"/>
      <c r="Z289" s="30"/>
      <c r="AA289" s="30"/>
      <c r="AB289" s="30"/>
      <c r="AC289" s="30"/>
      <c r="AD289" s="30"/>
      <c r="AE289" s="30"/>
      <c r="AF289" s="30"/>
    </row>
    <row r="290" ht="15.75" customHeight="1">
      <c r="A290" s="94" t="s">
        <v>2072</v>
      </c>
      <c r="B290" s="95">
        <v>3.0</v>
      </c>
      <c r="C290" s="28" t="s">
        <v>2099</v>
      </c>
      <c r="D290" s="28" t="s">
        <v>2100</v>
      </c>
      <c r="E290" s="96" t="s">
        <v>2101</v>
      </c>
      <c r="F290" s="30"/>
      <c r="G290" s="30"/>
      <c r="H290" s="30"/>
      <c r="I290" s="30"/>
      <c r="J290" s="30"/>
      <c r="K290" s="30"/>
      <c r="L290" s="30"/>
      <c r="M290" s="30"/>
      <c r="N290" s="30"/>
      <c r="O290" s="30"/>
      <c r="P290" s="30"/>
      <c r="Q290" s="30"/>
      <c r="R290" s="30"/>
      <c r="S290" s="30"/>
      <c r="T290" s="30"/>
      <c r="U290" s="30"/>
      <c r="V290" s="30"/>
      <c r="W290" s="30"/>
      <c r="X290" s="30"/>
      <c r="Y290" s="30"/>
      <c r="Z290" s="30"/>
      <c r="AA290" s="30"/>
      <c r="AB290" s="30"/>
      <c r="AC290" s="30"/>
      <c r="AD290" s="30"/>
      <c r="AE290" s="30"/>
      <c r="AF290" s="30"/>
    </row>
    <row r="291" ht="15.75" customHeight="1">
      <c r="A291" s="94" t="s">
        <v>2072</v>
      </c>
      <c r="B291" s="95">
        <v>4.0</v>
      </c>
      <c r="C291" s="28" t="s">
        <v>2110</v>
      </c>
      <c r="D291" s="28" t="s">
        <v>2111</v>
      </c>
      <c r="E291" s="28" t="s">
        <v>2113</v>
      </c>
      <c r="F291" s="30"/>
      <c r="G291" s="30"/>
      <c r="H291" s="30"/>
      <c r="I291" s="30"/>
      <c r="J291" s="30"/>
      <c r="K291" s="30"/>
      <c r="L291" s="30"/>
      <c r="M291" s="30"/>
      <c r="N291" s="30"/>
      <c r="O291" s="30"/>
      <c r="P291" s="30"/>
      <c r="Q291" s="30"/>
      <c r="R291" s="30"/>
      <c r="S291" s="30"/>
      <c r="T291" s="30"/>
      <c r="U291" s="30"/>
      <c r="V291" s="30"/>
      <c r="W291" s="30"/>
      <c r="X291" s="30"/>
      <c r="Y291" s="30"/>
      <c r="Z291" s="30"/>
      <c r="AA291" s="30"/>
      <c r="AB291" s="30"/>
      <c r="AC291" s="30"/>
      <c r="AD291" s="30"/>
      <c r="AE291" s="30"/>
      <c r="AF291" s="30"/>
    </row>
    <row r="292" ht="15.75" customHeight="1">
      <c r="A292" s="94" t="s">
        <v>2072</v>
      </c>
      <c r="B292" s="95">
        <v>5.0</v>
      </c>
      <c r="C292" s="28" t="s">
        <v>2121</v>
      </c>
      <c r="D292" s="28" t="s">
        <v>2122</v>
      </c>
      <c r="E292" s="28" t="s">
        <v>2123</v>
      </c>
      <c r="F292" s="30"/>
      <c r="G292" s="30"/>
      <c r="H292" s="30"/>
      <c r="I292" s="30"/>
      <c r="J292" s="30"/>
      <c r="K292" s="30"/>
      <c r="L292" s="30"/>
      <c r="M292" s="30"/>
      <c r="N292" s="30"/>
      <c r="O292" s="30"/>
      <c r="P292" s="30"/>
      <c r="Q292" s="30"/>
      <c r="R292" s="30"/>
      <c r="S292" s="30"/>
      <c r="T292" s="30"/>
      <c r="U292" s="30"/>
      <c r="V292" s="30"/>
      <c r="W292" s="30"/>
      <c r="X292" s="30"/>
      <c r="Y292" s="30"/>
      <c r="Z292" s="30"/>
      <c r="AA292" s="30"/>
      <c r="AB292" s="30"/>
      <c r="AC292" s="30"/>
      <c r="AD292" s="30"/>
      <c r="AE292" s="30"/>
      <c r="AF292" s="30"/>
    </row>
    <row r="293" ht="15.75" customHeight="1">
      <c r="A293" s="94" t="s">
        <v>2072</v>
      </c>
      <c r="B293" s="95">
        <v>6.0</v>
      </c>
      <c r="C293" s="28" t="s">
        <v>2133</v>
      </c>
      <c r="D293" s="28" t="s">
        <v>2135</v>
      </c>
      <c r="E293" s="28" t="s">
        <v>2136</v>
      </c>
      <c r="F293" s="30"/>
      <c r="G293" s="30"/>
      <c r="H293" s="30"/>
      <c r="I293" s="30"/>
      <c r="J293" s="30"/>
      <c r="K293" s="30"/>
      <c r="L293" s="30"/>
      <c r="M293" s="30"/>
      <c r="N293" s="30"/>
      <c r="O293" s="30"/>
      <c r="P293" s="30"/>
      <c r="Q293" s="30"/>
      <c r="R293" s="30"/>
      <c r="S293" s="30"/>
      <c r="T293" s="30"/>
      <c r="U293" s="30"/>
      <c r="V293" s="30"/>
      <c r="W293" s="30"/>
      <c r="X293" s="30"/>
      <c r="Y293" s="30"/>
      <c r="Z293" s="30"/>
      <c r="AA293" s="30"/>
      <c r="AB293" s="30"/>
      <c r="AC293" s="30"/>
      <c r="AD293" s="30"/>
      <c r="AE293" s="30"/>
      <c r="AF293" s="30"/>
    </row>
    <row r="294" ht="15.75" customHeight="1">
      <c r="A294" s="77" t="s">
        <v>2072</v>
      </c>
      <c r="B294" s="111">
        <v>0.0</v>
      </c>
      <c r="C294" s="42" t="s">
        <v>228</v>
      </c>
      <c r="D294" s="42" t="s">
        <v>230</v>
      </c>
      <c r="E294" s="42" t="s">
        <v>232</v>
      </c>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30"/>
      <c r="AF294" s="30"/>
    </row>
    <row r="295" ht="15.75" customHeight="1">
      <c r="A295" s="114"/>
      <c r="B295" s="115"/>
      <c r="C295" s="114"/>
      <c r="D295" s="114"/>
      <c r="E295" s="210"/>
      <c r="F295" s="30"/>
      <c r="G295" s="30"/>
      <c r="H295" s="30"/>
      <c r="I295" s="30"/>
      <c r="J295" s="30"/>
      <c r="K295" s="30"/>
      <c r="L295" s="30"/>
      <c r="M295" s="30"/>
      <c r="N295" s="30"/>
      <c r="O295" s="30"/>
      <c r="P295" s="30"/>
      <c r="Q295" s="30"/>
      <c r="R295" s="30"/>
      <c r="S295" s="30"/>
      <c r="T295" s="30"/>
      <c r="U295" s="30"/>
      <c r="V295" s="30"/>
      <c r="W295" s="30"/>
      <c r="X295" s="30"/>
      <c r="Y295" s="30"/>
      <c r="Z295" s="30"/>
      <c r="AA295" s="30"/>
      <c r="AB295" s="30"/>
      <c r="AC295" s="30"/>
      <c r="AD295" s="30"/>
      <c r="AE295" s="30"/>
      <c r="AF295" s="30"/>
    </row>
    <row r="296" ht="15.75" customHeight="1">
      <c r="A296" s="123" t="s">
        <v>2159</v>
      </c>
      <c r="B296" s="126">
        <v>0.0</v>
      </c>
      <c r="C296" s="136" t="s">
        <v>228</v>
      </c>
      <c r="D296" s="136" t="s">
        <v>230</v>
      </c>
      <c r="E296" s="136" t="s">
        <v>232</v>
      </c>
      <c r="F296" s="133"/>
      <c r="G296" s="133"/>
      <c r="H296" s="49"/>
      <c r="I296" s="49"/>
      <c r="J296" s="49"/>
      <c r="K296" s="49"/>
      <c r="L296" s="49"/>
      <c r="M296" s="49"/>
      <c r="N296" s="49"/>
      <c r="O296" s="49"/>
      <c r="P296" s="49"/>
      <c r="Q296" s="49"/>
      <c r="R296" s="49"/>
      <c r="S296" s="49"/>
      <c r="T296" s="49"/>
      <c r="U296" s="49"/>
      <c r="V296" s="49"/>
      <c r="W296" s="49"/>
      <c r="X296" s="49"/>
      <c r="Y296" s="49"/>
      <c r="Z296" s="49"/>
      <c r="AA296" s="49"/>
      <c r="AB296" s="49"/>
      <c r="AC296" s="49"/>
      <c r="AD296" s="49"/>
      <c r="AE296" s="49"/>
      <c r="AF296" s="49"/>
    </row>
    <row r="297" ht="15.75" customHeight="1">
      <c r="A297" s="94" t="s">
        <v>2159</v>
      </c>
      <c r="B297" s="95">
        <v>1.0</v>
      </c>
      <c r="C297" s="28" t="s">
        <v>2172</v>
      </c>
      <c r="D297" s="28" t="s">
        <v>2172</v>
      </c>
      <c r="E297" s="96" t="s">
        <v>2172</v>
      </c>
      <c r="F297" s="191"/>
      <c r="G297" s="27"/>
      <c r="H297" s="30"/>
      <c r="I297" s="30"/>
      <c r="J297" s="30"/>
      <c r="K297" s="30"/>
      <c r="L297" s="30"/>
      <c r="M297" s="30"/>
      <c r="N297" s="30"/>
      <c r="O297" s="30"/>
      <c r="P297" s="30"/>
      <c r="Q297" s="30"/>
      <c r="R297" s="30"/>
      <c r="S297" s="30"/>
      <c r="T297" s="30"/>
      <c r="U297" s="30"/>
      <c r="V297" s="30"/>
      <c r="W297" s="30"/>
      <c r="X297" s="30"/>
      <c r="Y297" s="30"/>
      <c r="Z297" s="30"/>
      <c r="AA297" s="30"/>
      <c r="AB297" s="30"/>
      <c r="AC297" s="30"/>
      <c r="AD297" s="30"/>
      <c r="AE297" s="30"/>
      <c r="AF297" s="30"/>
    </row>
    <row r="298" ht="15.75" customHeight="1">
      <c r="A298" s="94" t="s">
        <v>2159</v>
      </c>
      <c r="B298" s="95">
        <v>2.0</v>
      </c>
      <c r="C298" s="28" t="s">
        <v>2178</v>
      </c>
      <c r="D298" s="28" t="s">
        <v>2178</v>
      </c>
      <c r="E298" s="28" t="s">
        <v>2178</v>
      </c>
      <c r="F298" s="27"/>
      <c r="G298" s="27"/>
      <c r="H298" s="30"/>
      <c r="I298" s="30"/>
      <c r="J298" s="30"/>
      <c r="K298" s="30"/>
      <c r="L298" s="30"/>
      <c r="M298" s="30"/>
      <c r="N298" s="30"/>
      <c r="O298" s="30"/>
      <c r="P298" s="30"/>
      <c r="Q298" s="30"/>
      <c r="R298" s="30"/>
      <c r="S298" s="30"/>
      <c r="T298" s="30"/>
      <c r="U298" s="30"/>
      <c r="V298" s="30"/>
      <c r="W298" s="30"/>
      <c r="X298" s="30"/>
      <c r="Y298" s="30"/>
      <c r="Z298" s="30"/>
      <c r="AA298" s="30"/>
      <c r="AB298" s="30"/>
      <c r="AC298" s="30"/>
      <c r="AD298" s="30"/>
      <c r="AE298" s="30"/>
      <c r="AF298" s="30"/>
    </row>
    <row r="299" ht="15.75" customHeight="1">
      <c r="A299" s="94" t="s">
        <v>2159</v>
      </c>
      <c r="B299" s="95">
        <v>3.0</v>
      </c>
      <c r="C299" s="28" t="s">
        <v>2189</v>
      </c>
      <c r="D299" s="28" t="s">
        <v>2189</v>
      </c>
      <c r="E299" s="28" t="s">
        <v>2189</v>
      </c>
      <c r="F299" s="27"/>
      <c r="G299" s="27"/>
      <c r="H299" s="30"/>
      <c r="I299" s="30"/>
      <c r="J299" s="30"/>
      <c r="K299" s="30"/>
      <c r="L299" s="30"/>
      <c r="M299" s="30"/>
      <c r="N299" s="30"/>
      <c r="O299" s="30"/>
      <c r="P299" s="30"/>
      <c r="Q299" s="30"/>
      <c r="R299" s="30"/>
      <c r="S299" s="30"/>
      <c r="T299" s="30"/>
      <c r="U299" s="30"/>
      <c r="V299" s="30"/>
      <c r="W299" s="30"/>
      <c r="X299" s="30"/>
      <c r="Y299" s="30"/>
      <c r="Z299" s="30"/>
      <c r="AA299" s="30"/>
      <c r="AB299" s="30"/>
      <c r="AC299" s="30"/>
      <c r="AD299" s="30"/>
      <c r="AE299" s="30"/>
      <c r="AF299" s="30"/>
    </row>
    <row r="300" ht="15.75" customHeight="1">
      <c r="A300" s="94" t="s">
        <v>2159</v>
      </c>
      <c r="B300" s="95">
        <v>4.0</v>
      </c>
      <c r="C300" s="28" t="s">
        <v>2197</v>
      </c>
      <c r="D300" s="28" t="s">
        <v>2197</v>
      </c>
      <c r="E300" s="96" t="s">
        <v>2197</v>
      </c>
      <c r="F300" s="27"/>
      <c r="G300" s="27"/>
      <c r="H300" s="30"/>
      <c r="I300" s="30"/>
      <c r="J300" s="30"/>
      <c r="K300" s="30"/>
      <c r="L300" s="30"/>
      <c r="M300" s="30"/>
      <c r="N300" s="30"/>
      <c r="O300" s="30"/>
      <c r="P300" s="30"/>
      <c r="Q300" s="30"/>
      <c r="R300" s="30"/>
      <c r="S300" s="30"/>
      <c r="T300" s="30"/>
      <c r="U300" s="30"/>
      <c r="V300" s="30"/>
      <c r="W300" s="30"/>
      <c r="X300" s="30"/>
      <c r="Y300" s="30"/>
      <c r="Z300" s="30"/>
      <c r="AA300" s="30"/>
      <c r="AB300" s="30"/>
      <c r="AC300" s="30"/>
      <c r="AD300" s="30"/>
      <c r="AE300" s="30"/>
      <c r="AF300" s="30"/>
    </row>
    <row r="301" ht="15.75" customHeight="1">
      <c r="A301" s="94" t="s">
        <v>2159</v>
      </c>
      <c r="B301" s="95">
        <v>5.0</v>
      </c>
      <c r="C301" s="28" t="s">
        <v>2206</v>
      </c>
      <c r="D301" s="28" t="s">
        <v>2206</v>
      </c>
      <c r="E301" s="96" t="s">
        <v>2206</v>
      </c>
      <c r="F301" s="191"/>
      <c r="G301" s="191"/>
      <c r="H301" s="30"/>
      <c r="I301" s="30"/>
      <c r="J301" s="30"/>
      <c r="K301" s="30"/>
      <c r="L301" s="30"/>
      <c r="M301" s="30"/>
      <c r="N301" s="30"/>
      <c r="O301" s="30"/>
      <c r="P301" s="30"/>
      <c r="Q301" s="30"/>
      <c r="R301" s="30"/>
      <c r="S301" s="30"/>
      <c r="T301" s="30"/>
      <c r="U301" s="30"/>
      <c r="V301" s="30"/>
      <c r="W301" s="30"/>
      <c r="X301" s="30"/>
      <c r="Y301" s="30"/>
      <c r="Z301" s="30"/>
      <c r="AA301" s="30"/>
      <c r="AB301" s="30"/>
      <c r="AC301" s="30"/>
      <c r="AD301" s="30"/>
      <c r="AE301" s="30"/>
      <c r="AF301" s="30"/>
    </row>
    <row r="302" ht="15.75" customHeight="1">
      <c r="A302" s="77" t="s">
        <v>2159</v>
      </c>
      <c r="B302" s="111">
        <v>6.0</v>
      </c>
      <c r="C302" s="42" t="s">
        <v>2214</v>
      </c>
      <c r="D302" s="42" t="s">
        <v>2214</v>
      </c>
      <c r="E302" s="42" t="s">
        <v>2214</v>
      </c>
      <c r="F302" s="41"/>
      <c r="G302" s="41"/>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row>
    <row r="303" ht="15.75" customHeight="1">
      <c r="A303" s="77" t="s">
        <v>2159</v>
      </c>
      <c r="B303" s="111">
        <v>7.0</v>
      </c>
      <c r="C303" s="42" t="s">
        <v>2231</v>
      </c>
      <c r="D303" s="42" t="s">
        <v>2231</v>
      </c>
      <c r="E303" s="82" t="s">
        <v>2231</v>
      </c>
      <c r="F303" s="41"/>
      <c r="G303" s="41"/>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row>
    <row r="304" ht="15.75" customHeight="1">
      <c r="A304" s="94" t="s">
        <v>2159</v>
      </c>
      <c r="B304" s="95">
        <v>8.0</v>
      </c>
      <c r="C304" s="28" t="s">
        <v>2244</v>
      </c>
      <c r="D304" s="28" t="s">
        <v>2244</v>
      </c>
      <c r="E304" s="28" t="s">
        <v>2244</v>
      </c>
      <c r="F304" s="27"/>
      <c r="G304" s="27"/>
      <c r="H304" s="30"/>
      <c r="I304" s="30"/>
      <c r="J304" s="30"/>
      <c r="K304" s="30"/>
      <c r="L304" s="30"/>
      <c r="M304" s="30"/>
      <c r="N304" s="30"/>
      <c r="O304" s="30"/>
      <c r="P304" s="30"/>
      <c r="Q304" s="30"/>
      <c r="R304" s="30"/>
      <c r="S304" s="30"/>
      <c r="T304" s="30"/>
      <c r="U304" s="30"/>
      <c r="V304" s="30"/>
      <c r="W304" s="30"/>
      <c r="X304" s="30"/>
      <c r="Y304" s="30"/>
      <c r="Z304" s="30"/>
      <c r="AA304" s="30"/>
      <c r="AB304" s="30"/>
      <c r="AC304" s="30"/>
      <c r="AD304" s="30"/>
      <c r="AE304" s="30"/>
      <c r="AF304" s="30"/>
    </row>
    <row r="305" ht="15.75" customHeight="1">
      <c r="A305" s="94" t="s">
        <v>2159</v>
      </c>
      <c r="B305" s="95">
        <v>9.0</v>
      </c>
      <c r="C305" s="28" t="s">
        <v>2253</v>
      </c>
      <c r="D305" s="28" t="s">
        <v>2253</v>
      </c>
      <c r="E305" s="28" t="s">
        <v>2253</v>
      </c>
      <c r="F305" s="27"/>
      <c r="G305" s="27"/>
      <c r="H305" s="30"/>
      <c r="I305" s="30"/>
      <c r="J305" s="30"/>
      <c r="K305" s="30"/>
      <c r="L305" s="30"/>
      <c r="M305" s="30"/>
      <c r="N305" s="30"/>
      <c r="O305" s="30"/>
      <c r="P305" s="30"/>
      <c r="Q305" s="30"/>
      <c r="R305" s="30"/>
      <c r="S305" s="30"/>
      <c r="T305" s="30"/>
      <c r="U305" s="30"/>
      <c r="V305" s="30"/>
      <c r="W305" s="30"/>
      <c r="X305" s="30"/>
      <c r="Y305" s="30"/>
      <c r="Z305" s="30"/>
      <c r="AA305" s="30"/>
      <c r="AB305" s="30"/>
      <c r="AC305" s="30"/>
      <c r="AD305" s="30"/>
      <c r="AE305" s="30"/>
      <c r="AF305" s="30"/>
    </row>
    <row r="306" ht="15.75" customHeight="1">
      <c r="A306" s="94" t="s">
        <v>2159</v>
      </c>
      <c r="B306" s="95">
        <v>10.0</v>
      </c>
      <c r="C306" s="28" t="s">
        <v>2265</v>
      </c>
      <c r="D306" s="28" t="s">
        <v>2265</v>
      </c>
      <c r="E306" s="28" t="s">
        <v>2265</v>
      </c>
      <c r="F306" s="27"/>
      <c r="G306" s="27"/>
      <c r="H306" s="30"/>
      <c r="I306" s="30"/>
      <c r="J306" s="30"/>
      <c r="K306" s="30"/>
      <c r="L306" s="30"/>
      <c r="M306" s="30"/>
      <c r="N306" s="30"/>
      <c r="O306" s="30"/>
      <c r="P306" s="30"/>
      <c r="Q306" s="30"/>
      <c r="R306" s="30"/>
      <c r="S306" s="30"/>
      <c r="T306" s="30"/>
      <c r="U306" s="30"/>
      <c r="V306" s="30"/>
      <c r="W306" s="30"/>
      <c r="X306" s="30"/>
      <c r="Y306" s="30"/>
      <c r="Z306" s="30"/>
      <c r="AA306" s="30"/>
      <c r="AB306" s="30"/>
      <c r="AC306" s="30"/>
      <c r="AD306" s="30"/>
      <c r="AE306" s="30"/>
      <c r="AF306" s="30"/>
    </row>
    <row r="307" ht="15.75" customHeight="1">
      <c r="A307" s="94" t="s">
        <v>2159</v>
      </c>
      <c r="B307" s="95">
        <v>11.0</v>
      </c>
      <c r="C307" s="28" t="s">
        <v>2277</v>
      </c>
      <c r="D307" s="28" t="s">
        <v>2277</v>
      </c>
      <c r="E307" s="259" t="s">
        <v>2277</v>
      </c>
      <c r="F307" s="27"/>
      <c r="G307" s="27"/>
      <c r="H307" s="30"/>
      <c r="I307" s="30"/>
      <c r="J307" s="30"/>
      <c r="K307" s="30"/>
      <c r="L307" s="30"/>
      <c r="M307" s="30"/>
      <c r="N307" s="30"/>
      <c r="O307" s="30"/>
      <c r="P307" s="30"/>
      <c r="Q307" s="30"/>
      <c r="R307" s="30"/>
      <c r="S307" s="30"/>
      <c r="T307" s="30"/>
      <c r="U307" s="30"/>
      <c r="V307" s="30"/>
      <c r="W307" s="30"/>
      <c r="X307" s="30"/>
      <c r="Y307" s="30"/>
      <c r="Z307" s="30"/>
      <c r="AA307" s="30"/>
      <c r="AB307" s="30"/>
      <c r="AC307" s="30"/>
      <c r="AD307" s="30"/>
      <c r="AE307" s="30"/>
      <c r="AF307" s="30"/>
    </row>
    <row r="308" ht="15.75" customHeight="1">
      <c r="A308" s="94" t="s">
        <v>2159</v>
      </c>
      <c r="B308" s="95">
        <v>12.0</v>
      </c>
      <c r="C308" s="28" t="s">
        <v>2283</v>
      </c>
      <c r="D308" s="28" t="s">
        <v>2283</v>
      </c>
      <c r="E308" s="28" t="s">
        <v>2283</v>
      </c>
      <c r="F308" s="27"/>
      <c r="G308" s="27"/>
      <c r="H308" s="30"/>
      <c r="I308" s="30"/>
      <c r="J308" s="30"/>
      <c r="K308" s="30"/>
      <c r="L308" s="30"/>
      <c r="M308" s="30"/>
      <c r="N308" s="30"/>
      <c r="O308" s="30"/>
      <c r="P308" s="30"/>
      <c r="Q308" s="30"/>
      <c r="R308" s="30"/>
      <c r="S308" s="30"/>
      <c r="T308" s="30"/>
      <c r="U308" s="30"/>
      <c r="V308" s="30"/>
      <c r="W308" s="30"/>
      <c r="X308" s="30"/>
      <c r="Y308" s="30"/>
      <c r="Z308" s="30"/>
      <c r="AA308" s="30"/>
      <c r="AB308" s="30"/>
      <c r="AC308" s="30"/>
      <c r="AD308" s="30"/>
      <c r="AE308" s="30"/>
      <c r="AF308" s="30"/>
    </row>
    <row r="309" ht="15.75" customHeight="1">
      <c r="A309" s="77" t="s">
        <v>2159</v>
      </c>
      <c r="B309" s="111">
        <v>13.0</v>
      </c>
      <c r="C309" s="42" t="s">
        <v>2295</v>
      </c>
      <c r="D309" s="42" t="s">
        <v>2295</v>
      </c>
      <c r="E309" s="82" t="s">
        <v>2295</v>
      </c>
      <c r="F309" s="20"/>
      <c r="G309" s="41"/>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row>
    <row r="310" ht="15.75" customHeight="1">
      <c r="A310" s="77" t="s">
        <v>2159</v>
      </c>
      <c r="B310" s="111">
        <v>14.0</v>
      </c>
      <c r="C310" s="42" t="s">
        <v>2308</v>
      </c>
      <c r="D310" s="42" t="s">
        <v>2308</v>
      </c>
      <c r="E310" s="42" t="s">
        <v>2308</v>
      </c>
      <c r="F310" s="41"/>
      <c r="G310" s="41"/>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row>
    <row r="311" ht="15.75" customHeight="1">
      <c r="A311" s="94" t="s">
        <v>2159</v>
      </c>
      <c r="B311" s="95">
        <v>15.0</v>
      </c>
      <c r="C311" s="28" t="s">
        <v>2320</v>
      </c>
      <c r="D311" s="28" t="s">
        <v>2320</v>
      </c>
      <c r="E311" s="96" t="s">
        <v>2320</v>
      </c>
      <c r="F311" s="27"/>
      <c r="G311" s="27"/>
      <c r="H311" s="30"/>
      <c r="I311" s="30"/>
      <c r="J311" s="30"/>
      <c r="K311" s="30"/>
      <c r="L311" s="30"/>
      <c r="M311" s="30"/>
      <c r="N311" s="30"/>
      <c r="O311" s="30"/>
      <c r="P311" s="30"/>
      <c r="Q311" s="30"/>
      <c r="R311" s="30"/>
      <c r="S311" s="30"/>
      <c r="T311" s="30"/>
      <c r="U311" s="30"/>
      <c r="V311" s="30"/>
      <c r="W311" s="30"/>
      <c r="X311" s="30"/>
      <c r="Y311" s="30"/>
      <c r="Z311" s="30"/>
      <c r="AA311" s="30"/>
      <c r="AB311" s="30"/>
      <c r="AC311" s="30"/>
      <c r="AD311" s="30"/>
      <c r="AE311" s="30"/>
      <c r="AF311" s="30"/>
    </row>
    <row r="312" ht="15.75" customHeight="1">
      <c r="A312" s="94" t="s">
        <v>2159</v>
      </c>
      <c r="B312" s="95">
        <v>16.0</v>
      </c>
      <c r="C312" s="28" t="s">
        <v>2330</v>
      </c>
      <c r="D312" s="28" t="s">
        <v>2330</v>
      </c>
      <c r="E312" s="28" t="s">
        <v>2330</v>
      </c>
      <c r="F312" s="27"/>
      <c r="G312" s="27"/>
      <c r="H312" s="30"/>
      <c r="I312" s="30"/>
      <c r="J312" s="30"/>
      <c r="K312" s="30"/>
      <c r="L312" s="30"/>
      <c r="M312" s="30"/>
      <c r="N312" s="30"/>
      <c r="O312" s="30"/>
      <c r="P312" s="30"/>
      <c r="Q312" s="30"/>
      <c r="R312" s="30"/>
      <c r="S312" s="30"/>
      <c r="T312" s="30"/>
      <c r="U312" s="30"/>
      <c r="V312" s="30"/>
      <c r="W312" s="30"/>
      <c r="X312" s="30"/>
      <c r="Y312" s="30"/>
      <c r="Z312" s="30"/>
      <c r="AA312" s="30"/>
      <c r="AB312" s="30"/>
      <c r="AC312" s="30"/>
      <c r="AD312" s="30"/>
      <c r="AE312" s="30"/>
      <c r="AF312" s="30"/>
    </row>
    <row r="313" ht="15.75" customHeight="1">
      <c r="A313" s="94" t="s">
        <v>2159</v>
      </c>
      <c r="B313" s="95">
        <v>17.0</v>
      </c>
      <c r="C313" s="28" t="s">
        <v>2337</v>
      </c>
      <c r="D313" s="28" t="s">
        <v>2337</v>
      </c>
      <c r="E313" s="28" t="s">
        <v>2337</v>
      </c>
      <c r="F313" s="27"/>
      <c r="G313" s="27"/>
      <c r="H313" s="30"/>
      <c r="I313" s="30"/>
      <c r="J313" s="30"/>
      <c r="K313" s="30"/>
      <c r="L313" s="30"/>
      <c r="M313" s="30"/>
      <c r="N313" s="30"/>
      <c r="O313" s="30"/>
      <c r="P313" s="30"/>
      <c r="Q313" s="30"/>
      <c r="R313" s="30"/>
      <c r="S313" s="30"/>
      <c r="T313" s="30"/>
      <c r="U313" s="30"/>
      <c r="V313" s="30"/>
      <c r="W313" s="30"/>
      <c r="X313" s="30"/>
      <c r="Y313" s="30"/>
      <c r="Z313" s="30"/>
      <c r="AA313" s="30"/>
      <c r="AB313" s="30"/>
      <c r="AC313" s="30"/>
      <c r="AD313" s="30"/>
      <c r="AE313" s="30"/>
      <c r="AF313" s="30"/>
    </row>
    <row r="314" ht="15.75" customHeight="1">
      <c r="A314" s="94" t="s">
        <v>2159</v>
      </c>
      <c r="B314" s="95">
        <v>18.0</v>
      </c>
      <c r="C314" s="28" t="s">
        <v>2345</v>
      </c>
      <c r="D314" s="28" t="s">
        <v>2345</v>
      </c>
      <c r="E314" s="96" t="s">
        <v>2345</v>
      </c>
      <c r="F314" s="191"/>
      <c r="G314" s="191"/>
      <c r="H314" s="30"/>
      <c r="I314" s="30"/>
      <c r="J314" s="30"/>
      <c r="K314" s="30"/>
      <c r="L314" s="30"/>
      <c r="M314" s="30"/>
      <c r="N314" s="30"/>
      <c r="O314" s="30"/>
      <c r="P314" s="30"/>
      <c r="Q314" s="30"/>
      <c r="R314" s="30"/>
      <c r="S314" s="30"/>
      <c r="T314" s="30"/>
      <c r="U314" s="30"/>
      <c r="V314" s="30"/>
      <c r="W314" s="30"/>
      <c r="X314" s="30"/>
      <c r="Y314" s="30"/>
      <c r="Z314" s="30"/>
      <c r="AA314" s="30"/>
      <c r="AB314" s="30"/>
      <c r="AC314" s="30"/>
      <c r="AD314" s="30"/>
      <c r="AE314" s="30"/>
      <c r="AF314" s="30"/>
    </row>
    <row r="315" ht="15.75" customHeight="1">
      <c r="A315" s="77" t="s">
        <v>2159</v>
      </c>
      <c r="B315" s="111">
        <v>19.0</v>
      </c>
      <c r="C315" s="42" t="s">
        <v>2354</v>
      </c>
      <c r="D315" s="42" t="s">
        <v>2354</v>
      </c>
      <c r="E315" s="42" t="s">
        <v>2354</v>
      </c>
      <c r="F315" s="41"/>
      <c r="G315" s="41"/>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row>
    <row r="316" ht="15.75" customHeight="1">
      <c r="A316" s="77" t="s">
        <v>2159</v>
      </c>
      <c r="B316" s="111">
        <v>20.0</v>
      </c>
      <c r="C316" s="42" t="s">
        <v>2362</v>
      </c>
      <c r="D316" s="42" t="s">
        <v>2362</v>
      </c>
      <c r="E316" s="42" t="s">
        <v>2362</v>
      </c>
      <c r="F316" s="41"/>
      <c r="G316" s="41"/>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row>
    <row r="317" ht="15.75" customHeight="1">
      <c r="A317" s="94" t="s">
        <v>2159</v>
      </c>
      <c r="B317" s="95">
        <v>21.0</v>
      </c>
      <c r="C317" s="28" t="s">
        <v>2369</v>
      </c>
      <c r="D317" s="28" t="s">
        <v>2369</v>
      </c>
      <c r="E317" s="28" t="s">
        <v>2369</v>
      </c>
      <c r="F317" s="27"/>
      <c r="G317" s="27"/>
      <c r="H317" s="30"/>
      <c r="I317" s="30"/>
      <c r="J317" s="30"/>
      <c r="K317" s="30"/>
      <c r="L317" s="30"/>
      <c r="M317" s="30"/>
      <c r="N317" s="30"/>
      <c r="O317" s="30"/>
      <c r="P317" s="30"/>
      <c r="Q317" s="30"/>
      <c r="R317" s="30"/>
      <c r="S317" s="30"/>
      <c r="T317" s="30"/>
      <c r="U317" s="30"/>
      <c r="V317" s="30"/>
      <c r="W317" s="30"/>
      <c r="X317" s="30"/>
      <c r="Y317" s="30"/>
      <c r="Z317" s="30"/>
      <c r="AA317" s="30"/>
      <c r="AB317" s="30"/>
      <c r="AC317" s="30"/>
      <c r="AD317" s="30"/>
      <c r="AE317" s="30"/>
      <c r="AF317" s="30"/>
    </row>
    <row r="318" ht="15.75" customHeight="1">
      <c r="A318" s="94" t="s">
        <v>2159</v>
      </c>
      <c r="B318" s="95">
        <v>22.0</v>
      </c>
      <c r="C318" s="28" t="s">
        <v>2374</v>
      </c>
      <c r="D318" s="28" t="s">
        <v>2374</v>
      </c>
      <c r="E318" s="28" t="s">
        <v>2374</v>
      </c>
      <c r="F318" s="27"/>
      <c r="G318" s="27"/>
      <c r="H318" s="30"/>
      <c r="I318" s="30"/>
      <c r="J318" s="30"/>
      <c r="K318" s="30"/>
      <c r="L318" s="30"/>
      <c r="M318" s="30"/>
      <c r="N318" s="30"/>
      <c r="O318" s="30"/>
      <c r="P318" s="30"/>
      <c r="Q318" s="30"/>
      <c r="R318" s="30"/>
      <c r="S318" s="30"/>
      <c r="T318" s="30"/>
      <c r="U318" s="30"/>
      <c r="V318" s="30"/>
      <c r="W318" s="30"/>
      <c r="X318" s="30"/>
      <c r="Y318" s="30"/>
      <c r="Z318" s="30"/>
      <c r="AA318" s="30"/>
      <c r="AB318" s="30"/>
      <c r="AC318" s="30"/>
      <c r="AD318" s="30"/>
      <c r="AE318" s="30"/>
      <c r="AF318" s="30"/>
    </row>
    <row r="319" ht="15.75" customHeight="1">
      <c r="A319" s="94" t="s">
        <v>2159</v>
      </c>
      <c r="B319" s="95">
        <v>23.0</v>
      </c>
      <c r="C319" s="28" t="s">
        <v>2376</v>
      </c>
      <c r="D319" s="28" t="s">
        <v>2376</v>
      </c>
      <c r="E319" s="259" t="s">
        <v>2376</v>
      </c>
      <c r="F319" s="27"/>
      <c r="G319" s="27"/>
      <c r="H319" s="30"/>
      <c r="I319" s="30"/>
      <c r="J319" s="30"/>
      <c r="K319" s="30"/>
      <c r="L319" s="30"/>
      <c r="M319" s="30"/>
      <c r="N319" s="30"/>
      <c r="O319" s="30"/>
      <c r="P319" s="30"/>
      <c r="Q319" s="30"/>
      <c r="R319" s="30"/>
      <c r="S319" s="30"/>
      <c r="T319" s="30"/>
      <c r="U319" s="30"/>
      <c r="V319" s="30"/>
      <c r="W319" s="30"/>
      <c r="X319" s="30"/>
      <c r="Y319" s="30"/>
      <c r="Z319" s="30"/>
      <c r="AA319" s="30"/>
      <c r="AB319" s="30"/>
      <c r="AC319" s="30"/>
      <c r="AD319" s="30"/>
      <c r="AE319" s="30"/>
      <c r="AF319" s="30"/>
    </row>
    <row r="320" ht="15.75" customHeight="1">
      <c r="A320" s="77" t="s">
        <v>2159</v>
      </c>
      <c r="B320" s="111">
        <v>24.0</v>
      </c>
      <c r="C320" s="42" t="s">
        <v>2381</v>
      </c>
      <c r="D320" s="42" t="s">
        <v>2381</v>
      </c>
      <c r="E320" s="42" t="s">
        <v>2381</v>
      </c>
      <c r="F320" s="41"/>
      <c r="G320" s="41"/>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row>
    <row r="321" ht="15.75" customHeight="1">
      <c r="A321" s="77" t="s">
        <v>2159</v>
      </c>
      <c r="B321" s="111">
        <v>25.0</v>
      </c>
      <c r="C321" s="42" t="s">
        <v>2386</v>
      </c>
      <c r="D321" s="42" t="s">
        <v>2386</v>
      </c>
      <c r="E321" s="42" t="s">
        <v>2386</v>
      </c>
      <c r="F321" s="41"/>
      <c r="G321" s="41"/>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row>
    <row r="322" ht="15.75" customHeight="1">
      <c r="A322" s="94" t="s">
        <v>2159</v>
      </c>
      <c r="B322" s="95">
        <v>26.0</v>
      </c>
      <c r="C322" s="28" t="s">
        <v>2395</v>
      </c>
      <c r="D322" s="28" t="s">
        <v>2395</v>
      </c>
      <c r="E322" s="28" t="s">
        <v>2395</v>
      </c>
      <c r="F322" s="27"/>
      <c r="G322" s="27"/>
      <c r="H322" s="30"/>
      <c r="I322" s="30"/>
      <c r="J322" s="30"/>
      <c r="K322" s="30"/>
      <c r="L322" s="30"/>
      <c r="M322" s="30"/>
      <c r="N322" s="30"/>
      <c r="O322" s="30"/>
      <c r="P322" s="30"/>
      <c r="Q322" s="30"/>
      <c r="R322" s="30"/>
      <c r="S322" s="30"/>
      <c r="T322" s="30"/>
      <c r="U322" s="30"/>
      <c r="V322" s="30"/>
      <c r="W322" s="30"/>
      <c r="X322" s="30"/>
      <c r="Y322" s="30"/>
      <c r="Z322" s="30"/>
      <c r="AA322" s="30"/>
      <c r="AB322" s="30"/>
      <c r="AC322" s="30"/>
      <c r="AD322" s="30"/>
      <c r="AE322" s="30"/>
      <c r="AF322" s="30"/>
    </row>
    <row r="323" ht="15.75" customHeight="1">
      <c r="A323" s="94" t="s">
        <v>2159</v>
      </c>
      <c r="B323" s="95">
        <v>27.0</v>
      </c>
      <c r="C323" s="28" t="s">
        <v>2403</v>
      </c>
      <c r="D323" s="28" t="s">
        <v>2403</v>
      </c>
      <c r="E323" s="259" t="s">
        <v>2403</v>
      </c>
      <c r="F323" s="191"/>
      <c r="G323" s="191"/>
      <c r="H323" s="30"/>
      <c r="I323" s="30"/>
      <c r="J323" s="30"/>
      <c r="K323" s="30"/>
      <c r="L323" s="30"/>
      <c r="M323" s="30"/>
      <c r="N323" s="30"/>
      <c r="O323" s="30"/>
      <c r="P323" s="30"/>
      <c r="Q323" s="30"/>
      <c r="R323" s="30"/>
      <c r="S323" s="30"/>
      <c r="T323" s="30"/>
      <c r="U323" s="30"/>
      <c r="V323" s="30"/>
      <c r="W323" s="30"/>
      <c r="X323" s="30"/>
      <c r="Y323" s="30"/>
      <c r="Z323" s="30"/>
      <c r="AA323" s="30"/>
      <c r="AB323" s="30"/>
      <c r="AC323" s="30"/>
      <c r="AD323" s="30"/>
      <c r="AE323" s="30"/>
      <c r="AF323" s="30"/>
    </row>
    <row r="324" ht="15.75" customHeight="1">
      <c r="A324" s="94" t="s">
        <v>2159</v>
      </c>
      <c r="B324" s="95">
        <v>28.0</v>
      </c>
      <c r="C324" s="28" t="s">
        <v>2410</v>
      </c>
      <c r="D324" s="28" t="s">
        <v>2410</v>
      </c>
      <c r="E324" s="28" t="s">
        <v>2410</v>
      </c>
      <c r="F324" s="27"/>
      <c r="G324" s="27"/>
      <c r="H324" s="30"/>
      <c r="I324" s="30"/>
      <c r="J324" s="30"/>
      <c r="K324" s="30"/>
      <c r="L324" s="30"/>
      <c r="M324" s="30"/>
      <c r="N324" s="30"/>
      <c r="O324" s="30"/>
      <c r="P324" s="30"/>
      <c r="Q324" s="30"/>
      <c r="R324" s="30"/>
      <c r="S324" s="30"/>
      <c r="T324" s="30"/>
      <c r="U324" s="30"/>
      <c r="V324" s="30"/>
      <c r="W324" s="30"/>
      <c r="X324" s="30"/>
      <c r="Y324" s="30"/>
      <c r="Z324" s="30"/>
      <c r="AA324" s="30"/>
      <c r="AB324" s="30"/>
      <c r="AC324" s="30"/>
      <c r="AD324" s="30"/>
      <c r="AE324" s="30"/>
      <c r="AF324" s="30"/>
    </row>
    <row r="325" ht="15.75" customHeight="1">
      <c r="A325" s="94" t="s">
        <v>2159</v>
      </c>
      <c r="B325" s="95">
        <v>29.0</v>
      </c>
      <c r="C325" s="28" t="s">
        <v>2418</v>
      </c>
      <c r="D325" s="28" t="s">
        <v>2418</v>
      </c>
      <c r="E325" s="96" t="s">
        <v>2418</v>
      </c>
      <c r="F325" s="191"/>
      <c r="G325" s="27"/>
      <c r="H325" s="30"/>
      <c r="I325" s="30"/>
      <c r="J325" s="30"/>
      <c r="K325" s="30"/>
      <c r="L325" s="30"/>
      <c r="M325" s="30"/>
      <c r="N325" s="30"/>
      <c r="O325" s="30"/>
      <c r="P325" s="30"/>
      <c r="Q325" s="30"/>
      <c r="R325" s="30"/>
      <c r="S325" s="30"/>
      <c r="T325" s="30"/>
      <c r="U325" s="30"/>
      <c r="V325" s="30"/>
      <c r="W325" s="30"/>
      <c r="X325" s="30"/>
      <c r="Y325" s="30"/>
      <c r="Z325" s="30"/>
      <c r="AA325" s="30"/>
      <c r="AB325" s="30"/>
      <c r="AC325" s="30"/>
      <c r="AD325" s="30"/>
      <c r="AE325" s="30"/>
      <c r="AF325" s="30"/>
    </row>
    <row r="326" ht="15.75" customHeight="1">
      <c r="A326" s="94" t="s">
        <v>2159</v>
      </c>
      <c r="B326" s="95">
        <v>30.0</v>
      </c>
      <c r="C326" s="28" t="s">
        <v>2424</v>
      </c>
      <c r="D326" s="28" t="s">
        <v>2424</v>
      </c>
      <c r="E326" s="96" t="s">
        <v>2424</v>
      </c>
      <c r="F326" s="191"/>
      <c r="G326" s="191"/>
      <c r="H326" s="30"/>
      <c r="I326" s="30"/>
      <c r="J326" s="30"/>
      <c r="K326" s="30"/>
      <c r="L326" s="30"/>
      <c r="M326" s="30"/>
      <c r="N326" s="30"/>
      <c r="O326" s="30"/>
      <c r="P326" s="30"/>
      <c r="Q326" s="30"/>
      <c r="R326" s="30"/>
      <c r="S326" s="30"/>
      <c r="T326" s="30"/>
      <c r="U326" s="30"/>
      <c r="V326" s="30"/>
      <c r="W326" s="30"/>
      <c r="X326" s="30"/>
      <c r="Y326" s="30"/>
      <c r="Z326" s="30"/>
      <c r="AA326" s="30"/>
      <c r="AB326" s="30"/>
      <c r="AC326" s="30"/>
      <c r="AD326" s="30"/>
      <c r="AE326" s="30"/>
      <c r="AF326" s="30"/>
    </row>
    <row r="327" ht="15.75" customHeight="1">
      <c r="A327" s="94" t="s">
        <v>2159</v>
      </c>
      <c r="B327" s="95">
        <v>31.0</v>
      </c>
      <c r="C327" s="28" t="s">
        <v>2432</v>
      </c>
      <c r="D327" s="28" t="s">
        <v>2432</v>
      </c>
      <c r="E327" s="259" t="s">
        <v>2432</v>
      </c>
      <c r="F327" s="27"/>
      <c r="G327" s="27"/>
      <c r="H327" s="30"/>
      <c r="I327" s="30"/>
      <c r="J327" s="30"/>
      <c r="K327" s="30"/>
      <c r="L327" s="30"/>
      <c r="M327" s="30"/>
      <c r="N327" s="30"/>
      <c r="O327" s="30"/>
      <c r="P327" s="30"/>
      <c r="Q327" s="30"/>
      <c r="R327" s="30"/>
      <c r="S327" s="30"/>
      <c r="T327" s="30"/>
      <c r="U327" s="30"/>
      <c r="V327" s="30"/>
      <c r="W327" s="30"/>
      <c r="X327" s="30"/>
      <c r="Y327" s="30"/>
      <c r="Z327" s="30"/>
      <c r="AA327" s="30"/>
      <c r="AB327" s="30"/>
      <c r="AC327" s="30"/>
      <c r="AD327" s="30"/>
      <c r="AE327" s="30"/>
      <c r="AF327" s="30"/>
    </row>
    <row r="328" ht="15.75" customHeight="1">
      <c r="A328" s="77" t="s">
        <v>2159</v>
      </c>
      <c r="B328" s="111">
        <v>32.0</v>
      </c>
      <c r="C328" s="42" t="s">
        <v>2441</v>
      </c>
      <c r="D328" s="42" t="s">
        <v>2441</v>
      </c>
      <c r="E328" s="42" t="s">
        <v>2441</v>
      </c>
      <c r="F328" s="41"/>
      <c r="G328" s="41"/>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row>
    <row r="329" ht="15.75" customHeight="1">
      <c r="A329" s="77" t="s">
        <v>2159</v>
      </c>
      <c r="B329" s="111">
        <v>33.0</v>
      </c>
      <c r="C329" s="42" t="s">
        <v>2446</v>
      </c>
      <c r="D329" s="42" t="s">
        <v>2446</v>
      </c>
      <c r="E329" s="82" t="s">
        <v>2446</v>
      </c>
      <c r="F329" s="41"/>
      <c r="G329" s="41"/>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row>
    <row r="330" ht="15.75" customHeight="1">
      <c r="A330" s="94" t="s">
        <v>2159</v>
      </c>
      <c r="B330" s="95">
        <v>34.0</v>
      </c>
      <c r="C330" s="28" t="s">
        <v>2453</v>
      </c>
      <c r="D330" s="28" t="s">
        <v>2453</v>
      </c>
      <c r="E330" s="96" t="s">
        <v>2453</v>
      </c>
      <c r="F330" s="27"/>
      <c r="G330" s="27"/>
      <c r="H330" s="30"/>
      <c r="I330" s="30"/>
      <c r="J330" s="30"/>
      <c r="K330" s="30"/>
      <c r="L330" s="30"/>
      <c r="M330" s="30"/>
      <c r="N330" s="30"/>
      <c r="O330" s="30"/>
      <c r="P330" s="30"/>
      <c r="Q330" s="30"/>
      <c r="R330" s="30"/>
      <c r="S330" s="30"/>
      <c r="T330" s="30"/>
      <c r="U330" s="30"/>
      <c r="V330" s="30"/>
      <c r="W330" s="30"/>
      <c r="X330" s="30"/>
      <c r="Y330" s="30"/>
      <c r="Z330" s="30"/>
      <c r="AA330" s="30"/>
      <c r="AB330" s="30"/>
      <c r="AC330" s="30"/>
      <c r="AD330" s="30"/>
      <c r="AE330" s="30"/>
      <c r="AF330" s="30"/>
    </row>
    <row r="331" ht="15.75" customHeight="1">
      <c r="A331" s="94" t="s">
        <v>2159</v>
      </c>
      <c r="B331" s="95">
        <v>35.0</v>
      </c>
      <c r="C331" s="28" t="s">
        <v>2459</v>
      </c>
      <c r="D331" s="28" t="s">
        <v>2459</v>
      </c>
      <c r="E331" s="28" t="s">
        <v>2459</v>
      </c>
      <c r="F331" s="27"/>
      <c r="G331" s="27"/>
      <c r="H331" s="30"/>
      <c r="I331" s="30"/>
      <c r="J331" s="30"/>
      <c r="K331" s="30"/>
      <c r="L331" s="30"/>
      <c r="M331" s="30"/>
      <c r="N331" s="30"/>
      <c r="O331" s="30"/>
      <c r="P331" s="30"/>
      <c r="Q331" s="30"/>
      <c r="R331" s="30"/>
      <c r="S331" s="30"/>
      <c r="T331" s="30"/>
      <c r="U331" s="30"/>
      <c r="V331" s="30"/>
      <c r="W331" s="30"/>
      <c r="X331" s="30"/>
      <c r="Y331" s="30"/>
      <c r="Z331" s="30"/>
      <c r="AA331" s="30"/>
      <c r="AB331" s="30"/>
      <c r="AC331" s="30"/>
      <c r="AD331" s="30"/>
      <c r="AE331" s="30"/>
      <c r="AF331" s="30"/>
    </row>
    <row r="332" ht="15.75" customHeight="1">
      <c r="A332" s="94" t="s">
        <v>2159</v>
      </c>
      <c r="B332" s="95">
        <v>36.0</v>
      </c>
      <c r="C332" s="28" t="s">
        <v>2466</v>
      </c>
      <c r="D332" s="28" t="s">
        <v>2466</v>
      </c>
      <c r="E332" s="28" t="s">
        <v>2466</v>
      </c>
      <c r="F332" s="27"/>
      <c r="G332" s="27"/>
      <c r="H332" s="30"/>
      <c r="I332" s="30"/>
      <c r="J332" s="30"/>
      <c r="K332" s="30"/>
      <c r="L332" s="30"/>
      <c r="M332" s="30"/>
      <c r="N332" s="30"/>
      <c r="O332" s="30"/>
      <c r="P332" s="30"/>
      <c r="Q332" s="30"/>
      <c r="R332" s="30"/>
      <c r="S332" s="30"/>
      <c r="T332" s="30"/>
      <c r="U332" s="30"/>
      <c r="V332" s="30"/>
      <c r="W332" s="30"/>
      <c r="X332" s="30"/>
      <c r="Y332" s="30"/>
      <c r="Z332" s="30"/>
      <c r="AA332" s="30"/>
      <c r="AB332" s="30"/>
      <c r="AC332" s="30"/>
      <c r="AD332" s="30"/>
      <c r="AE332" s="30"/>
      <c r="AF332" s="30"/>
    </row>
    <row r="333" ht="15.75" customHeight="1">
      <c r="A333" s="94" t="s">
        <v>2159</v>
      </c>
      <c r="B333" s="95">
        <v>37.0</v>
      </c>
      <c r="C333" s="28" t="s">
        <v>2477</v>
      </c>
      <c r="D333" s="28" t="s">
        <v>2477</v>
      </c>
      <c r="E333" s="28" t="s">
        <v>2477</v>
      </c>
      <c r="F333" s="27"/>
      <c r="G333" s="27"/>
      <c r="H333" s="30"/>
      <c r="I333" s="30"/>
      <c r="J333" s="30"/>
      <c r="K333" s="30"/>
      <c r="L333" s="30"/>
      <c r="M333" s="30"/>
      <c r="N333" s="30"/>
      <c r="O333" s="30"/>
      <c r="P333" s="30"/>
      <c r="Q333" s="30"/>
      <c r="R333" s="30"/>
      <c r="S333" s="30"/>
      <c r="T333" s="30"/>
      <c r="U333" s="30"/>
      <c r="V333" s="30"/>
      <c r="W333" s="30"/>
      <c r="X333" s="30"/>
      <c r="Y333" s="30"/>
      <c r="Z333" s="30"/>
      <c r="AA333" s="30"/>
      <c r="AB333" s="30"/>
      <c r="AC333" s="30"/>
      <c r="AD333" s="30"/>
      <c r="AE333" s="30"/>
      <c r="AF333" s="30"/>
    </row>
    <row r="334" ht="15.75" customHeight="1">
      <c r="A334" s="94" t="s">
        <v>2159</v>
      </c>
      <c r="B334" s="95">
        <v>38.0</v>
      </c>
      <c r="C334" s="28" t="s">
        <v>2483</v>
      </c>
      <c r="D334" s="28" t="s">
        <v>2483</v>
      </c>
      <c r="E334" s="28" t="s">
        <v>2483</v>
      </c>
      <c r="F334" s="27"/>
      <c r="G334" s="27"/>
      <c r="H334" s="30"/>
      <c r="I334" s="30"/>
      <c r="J334" s="30"/>
      <c r="K334" s="30"/>
      <c r="L334" s="30"/>
      <c r="M334" s="30"/>
      <c r="N334" s="30"/>
      <c r="O334" s="30"/>
      <c r="P334" s="30"/>
      <c r="Q334" s="30"/>
      <c r="R334" s="30"/>
      <c r="S334" s="30"/>
      <c r="T334" s="30"/>
      <c r="U334" s="30"/>
      <c r="V334" s="30"/>
      <c r="W334" s="30"/>
      <c r="X334" s="30"/>
      <c r="Y334" s="30"/>
      <c r="Z334" s="30"/>
      <c r="AA334" s="30"/>
      <c r="AB334" s="30"/>
      <c r="AC334" s="30"/>
      <c r="AD334" s="30"/>
      <c r="AE334" s="30"/>
      <c r="AF334" s="30"/>
    </row>
    <row r="335" ht="15.75" customHeight="1">
      <c r="A335" s="94" t="s">
        <v>2159</v>
      </c>
      <c r="B335" s="95">
        <v>39.0</v>
      </c>
      <c r="C335" s="28" t="s">
        <v>2492</v>
      </c>
      <c r="D335" s="28" t="s">
        <v>2492</v>
      </c>
      <c r="E335" s="96" t="s">
        <v>2492</v>
      </c>
      <c r="F335" s="191"/>
      <c r="G335" s="191"/>
      <c r="H335" s="30"/>
      <c r="I335" s="30"/>
      <c r="J335" s="30"/>
      <c r="K335" s="30"/>
      <c r="L335" s="30"/>
      <c r="M335" s="30"/>
      <c r="N335" s="30"/>
      <c r="O335" s="30"/>
      <c r="P335" s="30"/>
      <c r="Q335" s="30"/>
      <c r="R335" s="30"/>
      <c r="S335" s="30"/>
      <c r="T335" s="30"/>
      <c r="U335" s="30"/>
      <c r="V335" s="30"/>
      <c r="W335" s="30"/>
      <c r="X335" s="30"/>
      <c r="Y335" s="30"/>
      <c r="Z335" s="30"/>
      <c r="AA335" s="30"/>
      <c r="AB335" s="30"/>
      <c r="AC335" s="30"/>
      <c r="AD335" s="30"/>
      <c r="AE335" s="30"/>
      <c r="AF335" s="30"/>
    </row>
    <row r="336" ht="15.75" customHeight="1">
      <c r="A336" s="94" t="s">
        <v>2159</v>
      </c>
      <c r="B336" s="95">
        <v>40.0</v>
      </c>
      <c r="C336" s="28" t="s">
        <v>2502</v>
      </c>
      <c r="D336" s="28" t="s">
        <v>2502</v>
      </c>
      <c r="E336" s="28" t="s">
        <v>2502</v>
      </c>
      <c r="F336" s="27"/>
      <c r="G336" s="27"/>
      <c r="H336" s="30"/>
      <c r="I336" s="30"/>
      <c r="J336" s="30"/>
      <c r="K336" s="30"/>
      <c r="L336" s="30"/>
      <c r="M336" s="30"/>
      <c r="N336" s="30"/>
      <c r="O336" s="30"/>
      <c r="P336" s="30"/>
      <c r="Q336" s="30"/>
      <c r="R336" s="30"/>
      <c r="S336" s="30"/>
      <c r="T336" s="30"/>
      <c r="U336" s="30"/>
      <c r="V336" s="30"/>
      <c r="W336" s="30"/>
      <c r="X336" s="30"/>
      <c r="Y336" s="30"/>
      <c r="Z336" s="30"/>
      <c r="AA336" s="30"/>
      <c r="AB336" s="30"/>
      <c r="AC336" s="30"/>
      <c r="AD336" s="30"/>
      <c r="AE336" s="30"/>
      <c r="AF336" s="30"/>
    </row>
    <row r="337" ht="15.75" customHeight="1">
      <c r="A337" s="77" t="s">
        <v>2159</v>
      </c>
      <c r="B337" s="111">
        <v>41.0</v>
      </c>
      <c r="C337" s="42" t="s">
        <v>2507</v>
      </c>
      <c r="D337" s="42" t="s">
        <v>2507</v>
      </c>
      <c r="E337" s="42" t="s">
        <v>2507</v>
      </c>
      <c r="F337" s="41"/>
      <c r="G337" s="41"/>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row>
    <row r="338" ht="15.75" customHeight="1">
      <c r="A338" s="77" t="s">
        <v>2159</v>
      </c>
      <c r="B338" s="111">
        <v>42.0</v>
      </c>
      <c r="C338" s="42" t="s">
        <v>2515</v>
      </c>
      <c r="D338" s="42" t="s">
        <v>2515</v>
      </c>
      <c r="E338" s="42" t="s">
        <v>2515</v>
      </c>
      <c r="F338" s="41"/>
      <c r="G338" s="41"/>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row>
    <row r="339" ht="15.75" customHeight="1">
      <c r="A339" s="114"/>
      <c r="B339" s="115"/>
      <c r="C339" s="114"/>
      <c r="D339" s="114"/>
      <c r="E339" s="210"/>
      <c r="F339" s="30"/>
      <c r="G339" s="30"/>
      <c r="H339" s="30"/>
      <c r="I339" s="30"/>
      <c r="J339" s="30"/>
      <c r="K339" s="30"/>
      <c r="L339" s="30"/>
      <c r="M339" s="30"/>
      <c r="N339" s="30"/>
      <c r="O339" s="30"/>
      <c r="P339" s="30"/>
      <c r="Q339" s="30"/>
      <c r="R339" s="30"/>
      <c r="S339" s="30"/>
      <c r="T339" s="30"/>
      <c r="U339" s="30"/>
      <c r="V339" s="30"/>
      <c r="W339" s="30"/>
      <c r="X339" s="30"/>
      <c r="Y339" s="30"/>
      <c r="Z339" s="30"/>
      <c r="AA339" s="30"/>
      <c r="AB339" s="30"/>
      <c r="AC339" s="30"/>
      <c r="AD339" s="30"/>
      <c r="AE339" s="30"/>
      <c r="AF339" s="30"/>
    </row>
    <row r="340" ht="15.75" customHeight="1">
      <c r="A340" s="123" t="s">
        <v>2529</v>
      </c>
      <c r="B340" s="126">
        <v>0.0</v>
      </c>
      <c r="C340" s="136" t="s">
        <v>228</v>
      </c>
      <c r="D340" s="136" t="s">
        <v>230</v>
      </c>
      <c r="E340" s="136" t="s">
        <v>232</v>
      </c>
      <c r="F340" s="133"/>
      <c r="G340" s="223">
        <v>0.0</v>
      </c>
      <c r="H340" s="49"/>
      <c r="I340" s="49"/>
      <c r="J340" s="49"/>
      <c r="K340" s="49"/>
      <c r="L340" s="49"/>
      <c r="M340" s="49"/>
      <c r="N340" s="49"/>
      <c r="O340" s="49"/>
      <c r="P340" s="49"/>
      <c r="Q340" s="49"/>
      <c r="R340" s="49"/>
      <c r="S340" s="49"/>
      <c r="T340" s="49"/>
      <c r="U340" s="49"/>
      <c r="V340" s="49"/>
      <c r="W340" s="49"/>
      <c r="X340" s="49"/>
      <c r="Y340" s="49"/>
      <c r="Z340" s="49"/>
      <c r="AA340" s="49"/>
      <c r="AB340" s="49"/>
      <c r="AC340" s="49"/>
      <c r="AD340" s="49"/>
      <c r="AE340" s="49"/>
      <c r="AF340" s="49"/>
    </row>
    <row r="341" ht="15.75" customHeight="1">
      <c r="A341" s="94" t="s">
        <v>2529</v>
      </c>
      <c r="B341" s="95">
        <v>2.0</v>
      </c>
      <c r="C341" s="28" t="s">
        <v>913</v>
      </c>
      <c r="D341" s="28" t="s">
        <v>914</v>
      </c>
      <c r="E341" s="28" t="s">
        <v>915</v>
      </c>
      <c r="F341" s="27"/>
      <c r="G341" s="26">
        <v>1.0</v>
      </c>
      <c r="H341" s="30"/>
      <c r="I341" s="30"/>
      <c r="J341" s="30"/>
      <c r="K341" s="30"/>
      <c r="L341" s="30"/>
      <c r="M341" s="30"/>
      <c r="N341" s="30"/>
      <c r="O341" s="30"/>
      <c r="P341" s="30"/>
      <c r="Q341" s="30"/>
      <c r="R341" s="30"/>
      <c r="S341" s="30"/>
      <c r="T341" s="30"/>
      <c r="U341" s="30"/>
      <c r="V341" s="30"/>
      <c r="W341" s="30"/>
      <c r="X341" s="30"/>
      <c r="Y341" s="30"/>
      <c r="Z341" s="30"/>
      <c r="AA341" s="30"/>
      <c r="AB341" s="30"/>
      <c r="AC341" s="30"/>
      <c r="AD341" s="30"/>
      <c r="AE341" s="30"/>
      <c r="AF341" s="30"/>
    </row>
    <row r="342" ht="15.75" customHeight="1">
      <c r="A342" s="94" t="s">
        <v>2529</v>
      </c>
      <c r="B342" s="95">
        <v>3.0</v>
      </c>
      <c r="C342" s="28" t="s">
        <v>920</v>
      </c>
      <c r="D342" s="28" t="s">
        <v>921</v>
      </c>
      <c r="E342" s="28" t="s">
        <v>920</v>
      </c>
      <c r="F342" s="27"/>
      <c r="G342" s="26">
        <v>2.0</v>
      </c>
      <c r="H342" s="30"/>
      <c r="I342" s="30"/>
      <c r="J342" s="30"/>
      <c r="K342" s="30"/>
      <c r="L342" s="30"/>
      <c r="M342" s="30"/>
      <c r="N342" s="30"/>
      <c r="O342" s="30"/>
      <c r="P342" s="30"/>
      <c r="Q342" s="30"/>
      <c r="R342" s="30"/>
      <c r="S342" s="30"/>
      <c r="T342" s="30"/>
      <c r="U342" s="30"/>
      <c r="V342" s="30"/>
      <c r="W342" s="30"/>
      <c r="X342" s="30"/>
      <c r="Y342" s="30"/>
      <c r="Z342" s="30"/>
      <c r="AA342" s="30"/>
      <c r="AB342" s="30"/>
      <c r="AC342" s="30"/>
      <c r="AD342" s="30"/>
      <c r="AE342" s="30"/>
      <c r="AF342" s="30"/>
    </row>
    <row r="343" ht="15.75" customHeight="1">
      <c r="A343" s="94" t="s">
        <v>2529</v>
      </c>
      <c r="B343" s="95">
        <v>4.0</v>
      </c>
      <c r="C343" s="28" t="s">
        <v>925</v>
      </c>
      <c r="D343" s="28" t="s">
        <v>925</v>
      </c>
      <c r="E343" s="28" t="s">
        <v>925</v>
      </c>
      <c r="F343" s="27"/>
      <c r="G343" s="26">
        <v>3.0</v>
      </c>
      <c r="H343" s="30"/>
      <c r="I343" s="30"/>
      <c r="J343" s="30"/>
      <c r="K343" s="30"/>
      <c r="L343" s="30"/>
      <c r="M343" s="30"/>
      <c r="N343" s="30"/>
      <c r="O343" s="30"/>
      <c r="P343" s="30"/>
      <c r="Q343" s="30"/>
      <c r="R343" s="30"/>
      <c r="S343" s="30"/>
      <c r="T343" s="30"/>
      <c r="U343" s="30"/>
      <c r="V343" s="30"/>
      <c r="W343" s="30"/>
      <c r="X343" s="30"/>
      <c r="Y343" s="30"/>
      <c r="Z343" s="30"/>
      <c r="AA343" s="30"/>
      <c r="AB343" s="30"/>
      <c r="AC343" s="30"/>
      <c r="AD343" s="30"/>
      <c r="AE343" s="30"/>
      <c r="AF343" s="30"/>
    </row>
    <row r="344" ht="15.75" customHeight="1">
      <c r="A344" s="94" t="s">
        <v>2529</v>
      </c>
      <c r="B344" s="95">
        <v>5.0</v>
      </c>
      <c r="C344" s="28" t="s">
        <v>929</v>
      </c>
      <c r="D344" s="28" t="s">
        <v>930</v>
      </c>
      <c r="E344" s="28" t="s">
        <v>931</v>
      </c>
      <c r="F344" s="27"/>
      <c r="G344" s="26">
        <v>4.0</v>
      </c>
      <c r="H344" s="30"/>
      <c r="I344" s="30"/>
      <c r="J344" s="30"/>
      <c r="K344" s="30"/>
      <c r="L344" s="30"/>
      <c r="M344" s="30"/>
      <c r="N344" s="30"/>
      <c r="O344" s="30"/>
      <c r="P344" s="30"/>
      <c r="Q344" s="30"/>
      <c r="R344" s="30"/>
      <c r="S344" s="30"/>
      <c r="T344" s="30"/>
      <c r="U344" s="30"/>
      <c r="V344" s="30"/>
      <c r="W344" s="30"/>
      <c r="X344" s="30"/>
      <c r="Y344" s="30"/>
      <c r="Z344" s="30"/>
      <c r="AA344" s="30"/>
      <c r="AB344" s="30"/>
      <c r="AC344" s="30"/>
      <c r="AD344" s="30"/>
      <c r="AE344" s="30"/>
      <c r="AF344" s="30"/>
    </row>
    <row r="345" ht="15.75" customHeight="1">
      <c r="A345" s="94" t="s">
        <v>2529</v>
      </c>
      <c r="B345" s="95">
        <v>6.0</v>
      </c>
      <c r="C345" s="28" t="s">
        <v>939</v>
      </c>
      <c r="D345" s="28" t="s">
        <v>940</v>
      </c>
      <c r="E345" s="96" t="s">
        <v>941</v>
      </c>
      <c r="F345" s="27"/>
      <c r="G345" s="26">
        <v>5.0</v>
      </c>
      <c r="H345" s="30"/>
      <c r="I345" s="30"/>
      <c r="J345" s="30"/>
      <c r="K345" s="30"/>
      <c r="L345" s="30"/>
      <c r="M345" s="30"/>
      <c r="N345" s="30"/>
      <c r="O345" s="30"/>
      <c r="P345" s="30"/>
      <c r="Q345" s="30"/>
      <c r="R345" s="30"/>
      <c r="S345" s="30"/>
      <c r="T345" s="30"/>
      <c r="U345" s="30"/>
      <c r="V345" s="30"/>
      <c r="W345" s="30"/>
      <c r="X345" s="30"/>
      <c r="Y345" s="30"/>
      <c r="Z345" s="30"/>
      <c r="AA345" s="30"/>
      <c r="AB345" s="30"/>
      <c r="AC345" s="30"/>
      <c r="AD345" s="30"/>
      <c r="AE345" s="30"/>
      <c r="AF345" s="30"/>
    </row>
    <row r="346" ht="15.75" customHeight="1">
      <c r="A346" s="94" t="s">
        <v>2529</v>
      </c>
      <c r="B346" s="95">
        <v>7.0</v>
      </c>
      <c r="C346" s="28" t="s">
        <v>942</v>
      </c>
      <c r="D346" s="28" t="s">
        <v>943</v>
      </c>
      <c r="E346" s="28" t="s">
        <v>942</v>
      </c>
      <c r="F346" s="27"/>
      <c r="G346" s="26">
        <v>6.0</v>
      </c>
      <c r="H346" s="30"/>
      <c r="I346" s="30"/>
      <c r="J346" s="30"/>
      <c r="K346" s="30"/>
      <c r="L346" s="30"/>
      <c r="M346" s="30"/>
      <c r="N346" s="30"/>
      <c r="O346" s="30"/>
      <c r="P346" s="30"/>
      <c r="Q346" s="30"/>
      <c r="R346" s="30"/>
      <c r="S346" s="30"/>
      <c r="T346" s="30"/>
      <c r="U346" s="30"/>
      <c r="V346" s="30"/>
      <c r="W346" s="30"/>
      <c r="X346" s="30"/>
      <c r="Y346" s="30"/>
      <c r="Z346" s="30"/>
      <c r="AA346" s="30"/>
      <c r="AB346" s="30"/>
      <c r="AC346" s="30"/>
      <c r="AD346" s="30"/>
      <c r="AE346" s="30"/>
      <c r="AF346" s="30"/>
    </row>
    <row r="347" ht="15.75" customHeight="1">
      <c r="A347" s="94" t="s">
        <v>2529</v>
      </c>
      <c r="B347" s="95">
        <v>8.0</v>
      </c>
      <c r="C347" s="28" t="s">
        <v>945</v>
      </c>
      <c r="D347" s="28" t="s">
        <v>945</v>
      </c>
      <c r="E347" s="28" t="s">
        <v>945</v>
      </c>
      <c r="F347" s="27"/>
      <c r="G347" s="26">
        <v>7.0</v>
      </c>
      <c r="H347" s="30"/>
      <c r="I347" s="30"/>
      <c r="J347" s="30"/>
      <c r="K347" s="30"/>
      <c r="L347" s="30"/>
      <c r="M347" s="30"/>
      <c r="N347" s="30"/>
      <c r="O347" s="30"/>
      <c r="P347" s="30"/>
      <c r="Q347" s="30"/>
      <c r="R347" s="30"/>
      <c r="S347" s="30"/>
      <c r="T347" s="30"/>
      <c r="U347" s="30"/>
      <c r="V347" s="30"/>
      <c r="W347" s="30"/>
      <c r="X347" s="30"/>
      <c r="Y347" s="30"/>
      <c r="Z347" s="30"/>
      <c r="AA347" s="30"/>
      <c r="AB347" s="30"/>
      <c r="AC347" s="30"/>
      <c r="AD347" s="30"/>
      <c r="AE347" s="30"/>
      <c r="AF347" s="30"/>
    </row>
    <row r="348" ht="15.75" customHeight="1">
      <c r="A348" s="94" t="s">
        <v>2529</v>
      </c>
      <c r="B348" s="95">
        <v>9.0</v>
      </c>
      <c r="C348" s="28" t="s">
        <v>949</v>
      </c>
      <c r="D348" s="28" t="s">
        <v>949</v>
      </c>
      <c r="E348" s="28" t="s">
        <v>949</v>
      </c>
      <c r="F348" s="27"/>
      <c r="G348" s="26">
        <v>8.0</v>
      </c>
      <c r="H348" s="30"/>
      <c r="I348" s="30"/>
      <c r="J348" s="30"/>
      <c r="K348" s="30"/>
      <c r="L348" s="30"/>
      <c r="M348" s="30"/>
      <c r="N348" s="30"/>
      <c r="O348" s="30"/>
      <c r="P348" s="30"/>
      <c r="Q348" s="30"/>
      <c r="R348" s="30"/>
      <c r="S348" s="30"/>
      <c r="T348" s="30"/>
      <c r="U348" s="30"/>
      <c r="V348" s="30"/>
      <c r="W348" s="30"/>
      <c r="X348" s="30"/>
      <c r="Y348" s="30"/>
      <c r="Z348" s="30"/>
      <c r="AA348" s="30"/>
      <c r="AB348" s="30"/>
      <c r="AC348" s="30"/>
      <c r="AD348" s="30"/>
      <c r="AE348" s="30"/>
      <c r="AF348" s="30"/>
    </row>
    <row r="349" ht="15.75" customHeight="1">
      <c r="A349" s="94" t="s">
        <v>2529</v>
      </c>
      <c r="B349" s="95">
        <v>10.0</v>
      </c>
      <c r="C349" s="28" t="s">
        <v>957</v>
      </c>
      <c r="D349" s="28" t="s">
        <v>959</v>
      </c>
      <c r="E349" s="28" t="s">
        <v>960</v>
      </c>
      <c r="F349" s="27"/>
      <c r="G349" s="26">
        <v>9.0</v>
      </c>
      <c r="H349" s="30"/>
      <c r="I349" s="30"/>
      <c r="J349" s="30"/>
      <c r="K349" s="30"/>
      <c r="L349" s="30"/>
      <c r="M349" s="30"/>
      <c r="N349" s="30"/>
      <c r="O349" s="30"/>
      <c r="P349" s="30"/>
      <c r="Q349" s="30"/>
      <c r="R349" s="30"/>
      <c r="S349" s="30"/>
      <c r="T349" s="30"/>
      <c r="U349" s="30"/>
      <c r="V349" s="30"/>
      <c r="W349" s="30"/>
      <c r="X349" s="30"/>
      <c r="Y349" s="30"/>
      <c r="Z349" s="30"/>
      <c r="AA349" s="30"/>
      <c r="AB349" s="30"/>
      <c r="AC349" s="30"/>
      <c r="AD349" s="30"/>
      <c r="AE349" s="30"/>
      <c r="AF349" s="30"/>
    </row>
    <row r="350" ht="15.75" customHeight="1">
      <c r="A350" s="94" t="s">
        <v>2529</v>
      </c>
      <c r="B350" s="95">
        <v>11.0</v>
      </c>
      <c r="C350" s="28" t="s">
        <v>965</v>
      </c>
      <c r="D350" s="28" t="s">
        <v>966</v>
      </c>
      <c r="E350" s="28" t="s">
        <v>965</v>
      </c>
      <c r="F350" s="27"/>
      <c r="G350" s="26">
        <v>10.0</v>
      </c>
      <c r="H350" s="30"/>
      <c r="I350" s="30"/>
      <c r="J350" s="30"/>
      <c r="K350" s="30"/>
      <c r="L350" s="30"/>
      <c r="M350" s="30"/>
      <c r="N350" s="30"/>
      <c r="O350" s="30"/>
      <c r="P350" s="30"/>
      <c r="Q350" s="30"/>
      <c r="R350" s="30"/>
      <c r="S350" s="30"/>
      <c r="T350" s="30"/>
      <c r="U350" s="30"/>
      <c r="V350" s="30"/>
      <c r="W350" s="30"/>
      <c r="X350" s="30"/>
      <c r="Y350" s="30"/>
      <c r="Z350" s="30"/>
      <c r="AA350" s="30"/>
      <c r="AB350" s="30"/>
      <c r="AC350" s="30"/>
      <c r="AD350" s="30"/>
      <c r="AE350" s="30"/>
      <c r="AF350" s="30"/>
    </row>
    <row r="351" ht="15.75" customHeight="1">
      <c r="A351" s="94" t="s">
        <v>2529</v>
      </c>
      <c r="B351" s="95">
        <v>12.0</v>
      </c>
      <c r="C351" s="28" t="s">
        <v>972</v>
      </c>
      <c r="D351" s="28" t="s">
        <v>972</v>
      </c>
      <c r="E351" s="28" t="s">
        <v>972</v>
      </c>
      <c r="F351" s="27"/>
      <c r="G351" s="26">
        <v>11.0</v>
      </c>
      <c r="H351" s="30"/>
      <c r="I351" s="30"/>
      <c r="J351" s="30"/>
      <c r="K351" s="30"/>
      <c r="L351" s="30"/>
      <c r="M351" s="30"/>
      <c r="N351" s="30"/>
      <c r="O351" s="30"/>
      <c r="P351" s="30"/>
      <c r="Q351" s="30"/>
      <c r="R351" s="30"/>
      <c r="S351" s="30"/>
      <c r="T351" s="30"/>
      <c r="U351" s="30"/>
      <c r="V351" s="30"/>
      <c r="W351" s="30"/>
      <c r="X351" s="30"/>
      <c r="Y351" s="30"/>
      <c r="Z351" s="30"/>
      <c r="AA351" s="30"/>
      <c r="AB351" s="30"/>
      <c r="AC351" s="30"/>
      <c r="AD351" s="30"/>
      <c r="AE351" s="30"/>
      <c r="AF351" s="30"/>
    </row>
    <row r="352" ht="15.75" customHeight="1">
      <c r="A352" s="94" t="s">
        <v>2529</v>
      </c>
      <c r="B352" s="95">
        <v>13.0</v>
      </c>
      <c r="C352" s="28" t="s">
        <v>978</v>
      </c>
      <c r="D352" s="28" t="s">
        <v>979</v>
      </c>
      <c r="E352" s="28" t="s">
        <v>978</v>
      </c>
      <c r="F352" s="27"/>
      <c r="G352" s="26">
        <v>12.0</v>
      </c>
      <c r="H352" s="30"/>
      <c r="I352" s="30"/>
      <c r="J352" s="30"/>
      <c r="K352" s="30"/>
      <c r="L352" s="30"/>
      <c r="M352" s="30"/>
      <c r="N352" s="30"/>
      <c r="O352" s="30"/>
      <c r="P352" s="30"/>
      <c r="Q352" s="30"/>
      <c r="R352" s="30"/>
      <c r="S352" s="30"/>
      <c r="T352" s="30"/>
      <c r="U352" s="30"/>
      <c r="V352" s="30"/>
      <c r="W352" s="30"/>
      <c r="X352" s="30"/>
      <c r="Y352" s="30"/>
      <c r="Z352" s="30"/>
      <c r="AA352" s="30"/>
      <c r="AB352" s="30"/>
      <c r="AC352" s="30"/>
      <c r="AD352" s="30"/>
      <c r="AE352" s="30"/>
      <c r="AF352" s="30"/>
    </row>
    <row r="353" ht="15.75" customHeight="1">
      <c r="A353" s="94" t="s">
        <v>2529</v>
      </c>
      <c r="B353" s="95">
        <v>14.0</v>
      </c>
      <c r="C353" s="28" t="s">
        <v>988</v>
      </c>
      <c r="D353" s="28" t="s">
        <v>988</v>
      </c>
      <c r="E353" s="28" t="s">
        <v>988</v>
      </c>
      <c r="F353" s="27"/>
      <c r="G353" s="26">
        <v>13.0</v>
      </c>
      <c r="H353" s="30"/>
      <c r="I353" s="30"/>
      <c r="J353" s="30"/>
      <c r="K353" s="30"/>
      <c r="L353" s="30"/>
      <c r="M353" s="30"/>
      <c r="N353" s="30"/>
      <c r="O353" s="30"/>
      <c r="P353" s="30"/>
      <c r="Q353" s="30"/>
      <c r="R353" s="30"/>
      <c r="S353" s="30"/>
      <c r="T353" s="30"/>
      <c r="U353" s="30"/>
      <c r="V353" s="30"/>
      <c r="W353" s="30"/>
      <c r="X353" s="30"/>
      <c r="Y353" s="30"/>
      <c r="Z353" s="30"/>
      <c r="AA353" s="30"/>
      <c r="AB353" s="30"/>
      <c r="AC353" s="30"/>
      <c r="AD353" s="30"/>
      <c r="AE353" s="30"/>
      <c r="AF353" s="30"/>
    </row>
    <row r="354" ht="15.75" customHeight="1">
      <c r="A354" s="94" t="s">
        <v>2529</v>
      </c>
      <c r="B354" s="95">
        <v>15.0</v>
      </c>
      <c r="C354" s="28" t="s">
        <v>997</v>
      </c>
      <c r="D354" s="28" t="s">
        <v>998</v>
      </c>
      <c r="E354" s="28" t="s">
        <v>997</v>
      </c>
      <c r="F354" s="27"/>
      <c r="G354" s="26">
        <v>14.0</v>
      </c>
      <c r="H354" s="30"/>
      <c r="I354" s="30"/>
      <c r="J354" s="30"/>
      <c r="K354" s="30"/>
      <c r="L354" s="30"/>
      <c r="M354" s="30"/>
      <c r="N354" s="30"/>
      <c r="O354" s="30"/>
      <c r="P354" s="30"/>
      <c r="Q354" s="30"/>
      <c r="R354" s="30"/>
      <c r="S354" s="30"/>
      <c r="T354" s="30"/>
      <c r="U354" s="30"/>
      <c r="V354" s="30"/>
      <c r="W354" s="30"/>
      <c r="X354" s="30"/>
      <c r="Y354" s="30"/>
      <c r="Z354" s="30"/>
      <c r="AA354" s="30"/>
      <c r="AB354" s="30"/>
      <c r="AC354" s="30"/>
      <c r="AD354" s="30"/>
      <c r="AE354" s="30"/>
      <c r="AF354" s="30"/>
    </row>
    <row r="355" ht="15.75" customHeight="1">
      <c r="A355" s="94" t="s">
        <v>2529</v>
      </c>
      <c r="B355" s="95">
        <v>16.0</v>
      </c>
      <c r="C355" s="28" t="s">
        <v>1004</v>
      </c>
      <c r="D355" s="28" t="s">
        <v>1005</v>
      </c>
      <c r="E355" s="28" t="s">
        <v>1004</v>
      </c>
      <c r="F355" s="27"/>
      <c r="G355" s="26">
        <v>15.0</v>
      </c>
      <c r="H355" s="30"/>
      <c r="I355" s="30"/>
      <c r="J355" s="30"/>
      <c r="K355" s="30"/>
      <c r="L355" s="30"/>
      <c r="M355" s="30"/>
      <c r="N355" s="30"/>
      <c r="O355" s="30"/>
      <c r="P355" s="30"/>
      <c r="Q355" s="30"/>
      <c r="R355" s="30"/>
      <c r="S355" s="30"/>
      <c r="T355" s="30"/>
      <c r="U355" s="30"/>
      <c r="V355" s="30"/>
      <c r="W355" s="30"/>
      <c r="X355" s="30"/>
      <c r="Y355" s="30"/>
      <c r="Z355" s="30"/>
      <c r="AA355" s="30"/>
      <c r="AB355" s="30"/>
      <c r="AC355" s="30"/>
      <c r="AD355" s="30"/>
      <c r="AE355" s="30"/>
      <c r="AF355" s="30"/>
    </row>
    <row r="356" ht="15.75" customHeight="1">
      <c r="A356" s="94" t="s">
        <v>2529</v>
      </c>
      <c r="B356" s="95">
        <v>17.0</v>
      </c>
      <c r="C356" s="28" t="s">
        <v>1012</v>
      </c>
      <c r="D356" s="28" t="s">
        <v>1013</v>
      </c>
      <c r="E356" s="28" t="s">
        <v>1014</v>
      </c>
      <c r="F356" s="27"/>
      <c r="G356" s="26">
        <v>16.0</v>
      </c>
      <c r="H356" s="30"/>
      <c r="I356" s="30"/>
      <c r="J356" s="30"/>
      <c r="K356" s="30"/>
      <c r="L356" s="30"/>
      <c r="M356" s="30"/>
      <c r="N356" s="30"/>
      <c r="O356" s="30"/>
      <c r="P356" s="30"/>
      <c r="Q356" s="30"/>
      <c r="R356" s="30"/>
      <c r="S356" s="30"/>
      <c r="T356" s="30"/>
      <c r="U356" s="30"/>
      <c r="V356" s="30"/>
      <c r="W356" s="30"/>
      <c r="X356" s="30"/>
      <c r="Y356" s="30"/>
      <c r="Z356" s="30"/>
      <c r="AA356" s="30"/>
      <c r="AB356" s="30"/>
      <c r="AC356" s="30"/>
      <c r="AD356" s="30"/>
      <c r="AE356" s="30"/>
      <c r="AF356" s="30"/>
    </row>
    <row r="357" ht="15.75" customHeight="1">
      <c r="A357" s="94" t="s">
        <v>2529</v>
      </c>
      <c r="B357" s="95">
        <v>18.0</v>
      </c>
      <c r="C357" s="28" t="s">
        <v>1021</v>
      </c>
      <c r="D357" s="28" t="s">
        <v>1021</v>
      </c>
      <c r="E357" s="28" t="s">
        <v>1022</v>
      </c>
      <c r="F357" s="27"/>
      <c r="G357" s="26">
        <v>17.0</v>
      </c>
      <c r="H357" s="30"/>
      <c r="I357" s="30"/>
      <c r="J357" s="30"/>
      <c r="K357" s="30"/>
      <c r="L357" s="30"/>
      <c r="M357" s="30"/>
      <c r="N357" s="30"/>
      <c r="O357" s="30"/>
      <c r="P357" s="30"/>
      <c r="Q357" s="30"/>
      <c r="R357" s="30"/>
      <c r="S357" s="30"/>
      <c r="T357" s="30"/>
      <c r="U357" s="30"/>
      <c r="V357" s="30"/>
      <c r="W357" s="30"/>
      <c r="X357" s="30"/>
      <c r="Y357" s="30"/>
      <c r="Z357" s="30"/>
      <c r="AA357" s="30"/>
      <c r="AB357" s="30"/>
      <c r="AC357" s="30"/>
      <c r="AD357" s="30"/>
      <c r="AE357" s="30"/>
      <c r="AF357" s="30"/>
    </row>
    <row r="358" ht="15.75" customHeight="1">
      <c r="A358" s="94" t="s">
        <v>2529</v>
      </c>
      <c r="B358" s="95">
        <v>19.0</v>
      </c>
      <c r="C358" s="28" t="s">
        <v>1024</v>
      </c>
      <c r="D358" s="28" t="s">
        <v>1024</v>
      </c>
      <c r="E358" s="28" t="s">
        <v>1025</v>
      </c>
      <c r="F358" s="27"/>
      <c r="G358" s="26">
        <v>18.0</v>
      </c>
      <c r="H358" s="30"/>
      <c r="I358" s="30"/>
      <c r="J358" s="30"/>
      <c r="K358" s="30"/>
      <c r="L358" s="30"/>
      <c r="M358" s="30"/>
      <c r="N358" s="30"/>
      <c r="O358" s="30"/>
      <c r="P358" s="30"/>
      <c r="Q358" s="30"/>
      <c r="R358" s="30"/>
      <c r="S358" s="30"/>
      <c r="T358" s="30"/>
      <c r="U358" s="30"/>
      <c r="V358" s="30"/>
      <c r="W358" s="30"/>
      <c r="X358" s="30"/>
      <c r="Y358" s="30"/>
      <c r="Z358" s="30"/>
      <c r="AA358" s="30"/>
      <c r="AB358" s="30"/>
      <c r="AC358" s="30"/>
      <c r="AD358" s="30"/>
      <c r="AE358" s="30"/>
      <c r="AF358" s="30"/>
    </row>
    <row r="359" ht="15.75" customHeight="1">
      <c r="A359" s="94" t="s">
        <v>2529</v>
      </c>
      <c r="B359" s="95">
        <v>20.0</v>
      </c>
      <c r="C359" s="28" t="s">
        <v>1027</v>
      </c>
      <c r="D359" s="28" t="s">
        <v>1028</v>
      </c>
      <c r="E359" s="96" t="s">
        <v>1029</v>
      </c>
      <c r="F359" s="27"/>
      <c r="G359" s="26">
        <v>19.0</v>
      </c>
      <c r="H359" s="30"/>
      <c r="I359" s="30"/>
      <c r="J359" s="30"/>
      <c r="K359" s="30"/>
      <c r="L359" s="30"/>
      <c r="M359" s="30"/>
      <c r="N359" s="30"/>
      <c r="O359" s="30"/>
      <c r="P359" s="30"/>
      <c r="Q359" s="30"/>
      <c r="R359" s="30"/>
      <c r="S359" s="30"/>
      <c r="T359" s="30"/>
      <c r="U359" s="30"/>
      <c r="V359" s="30"/>
      <c r="W359" s="30"/>
      <c r="X359" s="30"/>
      <c r="Y359" s="30"/>
      <c r="Z359" s="30"/>
      <c r="AA359" s="30"/>
      <c r="AB359" s="30"/>
      <c r="AC359" s="30"/>
      <c r="AD359" s="30"/>
      <c r="AE359" s="30"/>
      <c r="AF359" s="30"/>
    </row>
    <row r="360" ht="15.75" customHeight="1">
      <c r="A360" s="94" t="s">
        <v>2529</v>
      </c>
      <c r="B360" s="95">
        <v>21.0</v>
      </c>
      <c r="C360" s="28" t="s">
        <v>1033</v>
      </c>
      <c r="D360" s="28" t="s">
        <v>1034</v>
      </c>
      <c r="E360" s="28" t="s">
        <v>1035</v>
      </c>
      <c r="F360" s="27"/>
      <c r="G360" s="26">
        <v>20.0</v>
      </c>
      <c r="H360" s="30"/>
      <c r="I360" s="30"/>
      <c r="J360" s="30"/>
      <c r="K360" s="30"/>
      <c r="L360" s="30"/>
      <c r="M360" s="30"/>
      <c r="N360" s="30"/>
      <c r="O360" s="30"/>
      <c r="P360" s="30"/>
      <c r="Q360" s="30"/>
      <c r="R360" s="30"/>
      <c r="S360" s="30"/>
      <c r="T360" s="30"/>
      <c r="U360" s="30"/>
      <c r="V360" s="30"/>
      <c r="W360" s="30"/>
      <c r="X360" s="30"/>
      <c r="Y360" s="30"/>
      <c r="Z360" s="30"/>
      <c r="AA360" s="30"/>
      <c r="AB360" s="30"/>
      <c r="AC360" s="30"/>
      <c r="AD360" s="30"/>
      <c r="AE360" s="30"/>
      <c r="AF360" s="30"/>
    </row>
    <row r="361" ht="15.75" customHeight="1">
      <c r="A361" s="94" t="s">
        <v>2529</v>
      </c>
      <c r="B361" s="95">
        <v>-777.0</v>
      </c>
      <c r="C361" s="28" t="s">
        <v>478</v>
      </c>
      <c r="D361" s="28" t="s">
        <v>479</v>
      </c>
      <c r="E361" s="28" t="s">
        <v>909</v>
      </c>
      <c r="F361" s="27"/>
      <c r="G361" s="26">
        <v>-777.0</v>
      </c>
      <c r="H361" s="30"/>
      <c r="I361" s="30"/>
      <c r="J361" s="30"/>
      <c r="K361" s="30"/>
      <c r="L361" s="30"/>
      <c r="M361" s="30"/>
      <c r="N361" s="30"/>
      <c r="O361" s="30"/>
      <c r="P361" s="30"/>
      <c r="Q361" s="30"/>
      <c r="R361" s="30"/>
      <c r="S361" s="30"/>
      <c r="T361" s="30"/>
      <c r="U361" s="30"/>
      <c r="V361" s="30"/>
      <c r="W361" s="30"/>
      <c r="X361" s="30"/>
      <c r="Y361" s="30"/>
      <c r="Z361" s="30"/>
      <c r="AA361" s="30"/>
      <c r="AB361" s="30"/>
      <c r="AC361" s="30"/>
      <c r="AD361" s="30"/>
      <c r="AE361" s="30"/>
      <c r="AF361" s="30"/>
    </row>
    <row r="362" ht="15.75" customHeight="1">
      <c r="A362" s="77" t="s">
        <v>2529</v>
      </c>
      <c r="B362" s="111">
        <v>-999.0</v>
      </c>
      <c r="C362" s="42" t="s">
        <v>134</v>
      </c>
      <c r="D362" s="42" t="s">
        <v>135</v>
      </c>
      <c r="E362" s="42" t="s">
        <v>136</v>
      </c>
      <c r="F362" s="41"/>
      <c r="G362" s="39">
        <v>-999.0</v>
      </c>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row>
    <row r="363" ht="15.75" customHeight="1">
      <c r="A363" s="114"/>
      <c r="B363" s="115"/>
      <c r="C363" s="114"/>
      <c r="D363" s="114"/>
      <c r="E363" s="210"/>
      <c r="F363" s="30"/>
      <c r="G363" s="30"/>
      <c r="H363" s="30"/>
      <c r="I363" s="30"/>
      <c r="J363" s="30"/>
      <c r="K363" s="30"/>
      <c r="L363" s="30"/>
      <c r="M363" s="30"/>
      <c r="N363" s="30"/>
      <c r="O363" s="30"/>
      <c r="P363" s="30"/>
      <c r="Q363" s="30"/>
      <c r="R363" s="30"/>
      <c r="S363" s="30"/>
      <c r="T363" s="30"/>
      <c r="U363" s="30"/>
      <c r="V363" s="30"/>
      <c r="W363" s="30"/>
      <c r="X363" s="30"/>
      <c r="Y363" s="30"/>
      <c r="Z363" s="30"/>
      <c r="AA363" s="30"/>
      <c r="AB363" s="30"/>
      <c r="AC363" s="30"/>
      <c r="AD363" s="30"/>
      <c r="AE363" s="30"/>
      <c r="AF363" s="30"/>
    </row>
    <row r="364" ht="15.75" customHeight="1">
      <c r="A364" s="123" t="s">
        <v>2877</v>
      </c>
      <c r="B364" s="126">
        <v>1.0</v>
      </c>
      <c r="C364" s="136" t="s">
        <v>2878</v>
      </c>
      <c r="D364" s="268" t="s">
        <v>2878</v>
      </c>
      <c r="E364" s="268" t="s">
        <v>2883</v>
      </c>
      <c r="F364" s="49"/>
      <c r="G364" s="49"/>
      <c r="H364" s="49"/>
      <c r="I364" s="49"/>
      <c r="J364" s="49"/>
      <c r="K364" s="49"/>
      <c r="L364" s="49"/>
      <c r="M364" s="49"/>
      <c r="N364" s="49"/>
      <c r="O364" s="49"/>
      <c r="P364" s="49"/>
      <c r="Q364" s="49"/>
      <c r="R364" s="49"/>
      <c r="S364" s="49"/>
      <c r="T364" s="49"/>
      <c r="U364" s="49"/>
      <c r="V364" s="49"/>
      <c r="W364" s="49"/>
      <c r="X364" s="49"/>
      <c r="Y364" s="49"/>
      <c r="Z364" s="49"/>
      <c r="AA364" s="49"/>
      <c r="AB364" s="49"/>
      <c r="AC364" s="49"/>
      <c r="AD364" s="49"/>
      <c r="AE364" s="49"/>
      <c r="AF364" s="49"/>
    </row>
    <row r="365" ht="15.75" customHeight="1">
      <c r="A365" s="94" t="s">
        <v>2877</v>
      </c>
      <c r="B365" s="95">
        <v>2.0</v>
      </c>
      <c r="C365" s="28" t="s">
        <v>2893</v>
      </c>
      <c r="D365" s="114" t="s">
        <v>2895</v>
      </c>
      <c r="E365" s="114" t="s">
        <v>2893</v>
      </c>
      <c r="F365" s="30"/>
      <c r="G365" s="30"/>
      <c r="H365" s="30"/>
      <c r="I365" s="30"/>
      <c r="J365" s="30"/>
      <c r="K365" s="30"/>
      <c r="L365" s="30"/>
      <c r="M365" s="30"/>
      <c r="N365" s="30"/>
      <c r="O365" s="30"/>
      <c r="P365" s="30"/>
      <c r="Q365" s="30"/>
      <c r="R365" s="30"/>
      <c r="S365" s="30"/>
      <c r="T365" s="30"/>
      <c r="U365" s="30"/>
      <c r="V365" s="30"/>
      <c r="W365" s="30"/>
      <c r="X365" s="30"/>
      <c r="Y365" s="30"/>
      <c r="Z365" s="30"/>
      <c r="AA365" s="30"/>
      <c r="AB365" s="30"/>
      <c r="AC365" s="30"/>
      <c r="AD365" s="30"/>
      <c r="AE365" s="30"/>
      <c r="AF365" s="30"/>
    </row>
    <row r="366" ht="15.75" customHeight="1">
      <c r="A366" s="94" t="s">
        <v>2877</v>
      </c>
      <c r="B366" s="95">
        <v>3.0</v>
      </c>
      <c r="C366" s="28" t="s">
        <v>2902</v>
      </c>
      <c r="D366" s="114" t="s">
        <v>2903</v>
      </c>
      <c r="E366" s="114" t="s">
        <v>2904</v>
      </c>
      <c r="F366" s="30"/>
      <c r="G366" s="30"/>
      <c r="H366" s="30"/>
      <c r="I366" s="30"/>
      <c r="J366" s="30"/>
      <c r="K366" s="30"/>
      <c r="L366" s="30"/>
      <c r="M366" s="30"/>
      <c r="N366" s="30"/>
      <c r="O366" s="30"/>
      <c r="P366" s="30"/>
      <c r="Q366" s="30"/>
      <c r="R366" s="30"/>
      <c r="S366" s="30"/>
      <c r="T366" s="30"/>
      <c r="U366" s="30"/>
      <c r="V366" s="30"/>
      <c r="W366" s="30"/>
      <c r="X366" s="30"/>
      <c r="Y366" s="30"/>
      <c r="Z366" s="30"/>
      <c r="AA366" s="30"/>
      <c r="AB366" s="30"/>
      <c r="AC366" s="30"/>
      <c r="AD366" s="30"/>
      <c r="AE366" s="30"/>
      <c r="AF366" s="30"/>
    </row>
    <row r="367" ht="15.75" customHeight="1">
      <c r="A367" s="77" t="s">
        <v>2877</v>
      </c>
      <c r="B367" s="111">
        <v>4.0</v>
      </c>
      <c r="C367" s="42" t="s">
        <v>2911</v>
      </c>
      <c r="D367" s="112" t="s">
        <v>2912</v>
      </c>
      <c r="E367" s="112" t="s">
        <v>2914</v>
      </c>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row>
    <row r="368" ht="15.75" customHeight="1">
      <c r="A368" s="77" t="s">
        <v>2877</v>
      </c>
      <c r="B368" s="111">
        <v>-777.0</v>
      </c>
      <c r="C368" s="42" t="s">
        <v>478</v>
      </c>
      <c r="D368" s="42" t="s">
        <v>479</v>
      </c>
      <c r="E368" s="42" t="s">
        <v>1784</v>
      </c>
      <c r="F368" s="41"/>
      <c r="G368" s="41"/>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row>
    <row r="369" ht="15.75" customHeight="1">
      <c r="A369" s="114"/>
      <c r="B369" s="115"/>
      <c r="C369" s="114"/>
      <c r="D369" s="114"/>
      <c r="E369" s="210"/>
      <c r="F369" s="30"/>
      <c r="G369" s="30"/>
      <c r="H369" s="30"/>
      <c r="I369" s="30"/>
      <c r="J369" s="30"/>
      <c r="K369" s="30"/>
      <c r="L369" s="30"/>
      <c r="M369" s="30"/>
      <c r="N369" s="30"/>
      <c r="O369" s="30"/>
      <c r="P369" s="30"/>
      <c r="Q369" s="30"/>
      <c r="R369" s="30"/>
      <c r="S369" s="30"/>
      <c r="T369" s="30"/>
      <c r="U369" s="30"/>
      <c r="V369" s="30"/>
      <c r="W369" s="30"/>
      <c r="X369" s="30"/>
      <c r="Y369" s="30"/>
      <c r="Z369" s="30"/>
      <c r="AA369" s="30"/>
      <c r="AB369" s="30"/>
      <c r="AC369" s="30"/>
      <c r="AD369" s="30"/>
      <c r="AE369" s="30"/>
      <c r="AF369" s="30"/>
    </row>
    <row r="370" ht="15.75" customHeight="1">
      <c r="A370" s="123" t="s">
        <v>2938</v>
      </c>
      <c r="B370" s="126">
        <v>1.0</v>
      </c>
      <c r="C370" s="136" t="s">
        <v>2939</v>
      </c>
      <c r="D370" s="136" t="s">
        <v>2940</v>
      </c>
      <c r="E370" s="136" t="s">
        <v>2943</v>
      </c>
      <c r="F370" s="133"/>
      <c r="G370" s="133"/>
      <c r="H370" s="49"/>
      <c r="I370" s="49"/>
      <c r="J370" s="49"/>
      <c r="K370" s="49"/>
      <c r="L370" s="49"/>
      <c r="M370" s="49"/>
      <c r="N370" s="49"/>
      <c r="O370" s="49"/>
      <c r="P370" s="49"/>
      <c r="Q370" s="49"/>
      <c r="R370" s="49"/>
      <c r="S370" s="49"/>
      <c r="T370" s="49"/>
      <c r="U370" s="49"/>
      <c r="V370" s="49"/>
      <c r="W370" s="49"/>
      <c r="X370" s="49"/>
      <c r="Y370" s="49"/>
      <c r="Z370" s="49"/>
      <c r="AA370" s="49"/>
      <c r="AB370" s="49"/>
      <c r="AC370" s="49"/>
      <c r="AD370" s="49"/>
      <c r="AE370" s="49"/>
      <c r="AF370" s="49"/>
    </row>
    <row r="371" ht="15.75" customHeight="1">
      <c r="A371" s="94" t="s">
        <v>2938</v>
      </c>
      <c r="B371" s="95">
        <v>2.0</v>
      </c>
      <c r="C371" s="28" t="s">
        <v>2954</v>
      </c>
      <c r="D371" s="28" t="s">
        <v>2955</v>
      </c>
      <c r="E371" s="96" t="s">
        <v>2956</v>
      </c>
      <c r="F371" s="27"/>
      <c r="G371" s="27"/>
      <c r="H371" s="30"/>
      <c r="I371" s="30"/>
      <c r="J371" s="30"/>
      <c r="K371" s="30"/>
      <c r="L371" s="30"/>
      <c r="M371" s="30"/>
      <c r="N371" s="30"/>
      <c r="O371" s="30"/>
      <c r="P371" s="30"/>
      <c r="Q371" s="30"/>
      <c r="R371" s="30"/>
      <c r="S371" s="30"/>
      <c r="T371" s="30"/>
      <c r="U371" s="30"/>
      <c r="V371" s="30"/>
      <c r="W371" s="30"/>
      <c r="X371" s="30"/>
      <c r="Y371" s="30"/>
      <c r="Z371" s="30"/>
      <c r="AA371" s="30"/>
      <c r="AB371" s="30"/>
      <c r="AC371" s="30"/>
      <c r="AD371" s="30"/>
      <c r="AE371" s="30"/>
      <c r="AF371" s="30"/>
    </row>
    <row r="372" ht="15.75" customHeight="1">
      <c r="A372" s="94" t="s">
        <v>2938</v>
      </c>
      <c r="B372" s="95">
        <v>3.0</v>
      </c>
      <c r="C372" s="28" t="s">
        <v>2965</v>
      </c>
      <c r="D372" s="28" t="s">
        <v>2966</v>
      </c>
      <c r="E372" s="96" t="s">
        <v>2967</v>
      </c>
      <c r="F372" s="27"/>
      <c r="G372" s="27"/>
      <c r="H372" s="30"/>
      <c r="I372" s="30"/>
      <c r="J372" s="30"/>
      <c r="K372" s="30"/>
      <c r="L372" s="30"/>
      <c r="M372" s="30"/>
      <c r="N372" s="30"/>
      <c r="O372" s="30"/>
      <c r="P372" s="30"/>
      <c r="Q372" s="30"/>
      <c r="R372" s="30"/>
      <c r="S372" s="30"/>
      <c r="T372" s="30"/>
      <c r="U372" s="30"/>
      <c r="V372" s="30"/>
      <c r="W372" s="30"/>
      <c r="X372" s="30"/>
      <c r="Y372" s="30"/>
      <c r="Z372" s="30"/>
      <c r="AA372" s="30"/>
      <c r="AB372" s="30"/>
      <c r="AC372" s="30"/>
      <c r="AD372" s="30"/>
      <c r="AE372" s="30"/>
      <c r="AF372" s="30"/>
    </row>
    <row r="373" ht="15.75" customHeight="1">
      <c r="A373" s="94" t="s">
        <v>2938</v>
      </c>
      <c r="B373" s="271">
        <v>4.0</v>
      </c>
      <c r="C373" s="162" t="s">
        <v>2975</v>
      </c>
      <c r="D373" s="114" t="s">
        <v>2976</v>
      </c>
      <c r="E373" s="210" t="s">
        <v>2977</v>
      </c>
      <c r="F373" s="107"/>
      <c r="G373" s="107"/>
      <c r="H373" s="30"/>
      <c r="I373" s="30"/>
      <c r="J373" s="30"/>
      <c r="K373" s="30"/>
      <c r="L373" s="30"/>
      <c r="M373" s="30"/>
      <c r="N373" s="30"/>
      <c r="O373" s="30"/>
      <c r="P373" s="30"/>
      <c r="Q373" s="30"/>
      <c r="R373" s="30"/>
      <c r="S373" s="30"/>
      <c r="T373" s="30"/>
      <c r="U373" s="30"/>
      <c r="V373" s="30"/>
      <c r="W373" s="30"/>
      <c r="X373" s="30"/>
      <c r="Y373" s="30"/>
      <c r="Z373" s="30"/>
      <c r="AA373" s="30"/>
      <c r="AB373" s="30"/>
      <c r="AC373" s="30"/>
      <c r="AD373" s="30"/>
      <c r="AE373" s="30"/>
      <c r="AF373" s="30"/>
    </row>
    <row r="374" ht="15.75" customHeight="1">
      <c r="A374" s="77" t="s">
        <v>2938</v>
      </c>
      <c r="B374" s="111">
        <v>-777.0</v>
      </c>
      <c r="C374" s="42" t="s">
        <v>478</v>
      </c>
      <c r="D374" s="42" t="s">
        <v>479</v>
      </c>
      <c r="E374" s="42" t="s">
        <v>480</v>
      </c>
      <c r="F374" s="41"/>
      <c r="G374" s="41"/>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row>
    <row r="375" ht="15.75" customHeight="1">
      <c r="A375" s="77"/>
      <c r="B375" s="42"/>
      <c r="C375" s="42"/>
      <c r="D375" s="42"/>
      <c r="E375" s="42"/>
      <c r="F375" s="41"/>
      <c r="G375" s="41"/>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row>
    <row r="376" ht="15.75" customHeight="1">
      <c r="A376" s="94" t="s">
        <v>3001</v>
      </c>
      <c r="B376" s="95">
        <v>0.0</v>
      </c>
      <c r="C376" s="28" t="s">
        <v>228</v>
      </c>
      <c r="D376" s="28" t="s">
        <v>230</v>
      </c>
      <c r="E376" s="28" t="s">
        <v>232</v>
      </c>
      <c r="F376" s="27"/>
      <c r="G376" s="27"/>
      <c r="H376" s="30"/>
      <c r="I376" s="30"/>
      <c r="J376" s="30"/>
      <c r="K376" s="30"/>
      <c r="L376" s="30"/>
      <c r="M376" s="30"/>
      <c r="N376" s="30"/>
      <c r="O376" s="30"/>
      <c r="P376" s="30"/>
      <c r="Q376" s="30"/>
      <c r="R376" s="30"/>
      <c r="S376" s="30"/>
      <c r="T376" s="30"/>
      <c r="U376" s="30"/>
      <c r="V376" s="30"/>
      <c r="W376" s="30"/>
      <c r="X376" s="30"/>
      <c r="Y376" s="30"/>
      <c r="Z376" s="30"/>
      <c r="AA376" s="30"/>
      <c r="AB376" s="30"/>
      <c r="AC376" s="30"/>
      <c r="AD376" s="30"/>
      <c r="AE376" s="30"/>
      <c r="AF376" s="30"/>
    </row>
    <row r="377" ht="15.75" customHeight="1">
      <c r="A377" s="94" t="s">
        <v>3001</v>
      </c>
      <c r="B377" s="95">
        <v>1.0</v>
      </c>
      <c r="C377" s="28" t="s">
        <v>3009</v>
      </c>
      <c r="D377" s="28" t="s">
        <v>3010</v>
      </c>
      <c r="E377" s="96" t="s">
        <v>3011</v>
      </c>
      <c r="F377" s="27"/>
      <c r="G377" s="27"/>
      <c r="H377" s="30"/>
      <c r="I377" s="30"/>
      <c r="J377" s="30"/>
      <c r="K377" s="30"/>
      <c r="L377" s="30"/>
      <c r="M377" s="30"/>
      <c r="N377" s="30"/>
      <c r="O377" s="30"/>
      <c r="P377" s="30"/>
      <c r="Q377" s="30"/>
      <c r="R377" s="30"/>
      <c r="S377" s="30"/>
      <c r="T377" s="30"/>
      <c r="U377" s="30"/>
      <c r="V377" s="30"/>
      <c r="W377" s="30"/>
      <c r="X377" s="30"/>
      <c r="Y377" s="30"/>
      <c r="Z377" s="30"/>
      <c r="AA377" s="30"/>
      <c r="AB377" s="30"/>
      <c r="AC377" s="30"/>
      <c r="AD377" s="30"/>
      <c r="AE377" s="30"/>
      <c r="AF377" s="30"/>
    </row>
    <row r="378" ht="15.75" customHeight="1">
      <c r="A378" s="94" t="s">
        <v>3001</v>
      </c>
      <c r="B378" s="95">
        <v>2.0</v>
      </c>
      <c r="C378" s="28" t="s">
        <v>3018</v>
      </c>
      <c r="D378" s="28" t="s">
        <v>3019</v>
      </c>
      <c r="E378" s="28" t="s">
        <v>3021</v>
      </c>
      <c r="F378" s="27"/>
      <c r="G378" s="27"/>
      <c r="H378" s="30"/>
      <c r="I378" s="30"/>
      <c r="J378" s="30"/>
      <c r="K378" s="30"/>
      <c r="L378" s="30"/>
      <c r="M378" s="30"/>
      <c r="N378" s="30"/>
      <c r="O378" s="30"/>
      <c r="P378" s="30"/>
      <c r="Q378" s="30"/>
      <c r="R378" s="30"/>
      <c r="S378" s="30"/>
      <c r="T378" s="30"/>
      <c r="U378" s="30"/>
      <c r="V378" s="30"/>
      <c r="W378" s="30"/>
      <c r="X378" s="30"/>
      <c r="Y378" s="30"/>
      <c r="Z378" s="30"/>
      <c r="AA378" s="30"/>
      <c r="AB378" s="30"/>
      <c r="AC378" s="30"/>
      <c r="AD378" s="30"/>
      <c r="AE378" s="30"/>
      <c r="AF378" s="30"/>
    </row>
    <row r="379" ht="15.75" customHeight="1">
      <c r="A379" s="94" t="s">
        <v>3001</v>
      </c>
      <c r="B379" s="95">
        <v>3.0</v>
      </c>
      <c r="C379" s="28" t="s">
        <v>3027</v>
      </c>
      <c r="D379" s="28" t="s">
        <v>3029</v>
      </c>
      <c r="E379" s="96" t="s">
        <v>3031</v>
      </c>
      <c r="F379" s="27"/>
      <c r="G379" s="27"/>
      <c r="H379" s="30"/>
      <c r="I379" s="30"/>
      <c r="J379" s="30"/>
      <c r="K379" s="30"/>
      <c r="L379" s="30"/>
      <c r="M379" s="30"/>
      <c r="N379" s="30"/>
      <c r="O379" s="30"/>
      <c r="P379" s="30"/>
      <c r="Q379" s="30"/>
      <c r="R379" s="30"/>
      <c r="S379" s="30"/>
      <c r="T379" s="30"/>
      <c r="U379" s="30"/>
      <c r="V379" s="30"/>
      <c r="W379" s="30"/>
      <c r="X379" s="30"/>
      <c r="Y379" s="30"/>
      <c r="Z379" s="30"/>
      <c r="AA379" s="30"/>
      <c r="AB379" s="30"/>
      <c r="AC379" s="30"/>
      <c r="AD379" s="30"/>
      <c r="AE379" s="30"/>
      <c r="AF379" s="30"/>
    </row>
    <row r="380" ht="15.75" customHeight="1">
      <c r="A380" s="94" t="s">
        <v>3001</v>
      </c>
      <c r="B380" s="95">
        <v>4.0</v>
      </c>
      <c r="C380" s="28" t="s">
        <v>3039</v>
      </c>
      <c r="D380" s="28" t="s">
        <v>3041</v>
      </c>
      <c r="E380" s="96" t="s">
        <v>3042</v>
      </c>
      <c r="F380" s="27"/>
      <c r="G380" s="27"/>
      <c r="H380" s="30"/>
      <c r="I380" s="30"/>
      <c r="J380" s="30"/>
      <c r="K380" s="30"/>
      <c r="L380" s="30"/>
      <c r="M380" s="30"/>
      <c r="N380" s="30"/>
      <c r="O380" s="30"/>
      <c r="P380" s="30"/>
      <c r="Q380" s="30"/>
      <c r="R380" s="30"/>
      <c r="S380" s="30"/>
      <c r="T380" s="30"/>
      <c r="U380" s="30"/>
      <c r="V380" s="30"/>
      <c r="W380" s="30"/>
      <c r="X380" s="30"/>
      <c r="Y380" s="30"/>
      <c r="Z380" s="30"/>
      <c r="AA380" s="30"/>
      <c r="AB380" s="30"/>
      <c r="AC380" s="30"/>
      <c r="AD380" s="30"/>
      <c r="AE380" s="30"/>
      <c r="AF380" s="30"/>
    </row>
    <row r="381" ht="15.75" customHeight="1">
      <c r="A381" s="94" t="s">
        <v>3001</v>
      </c>
      <c r="B381" s="95">
        <v>5.0</v>
      </c>
      <c r="C381" s="28" t="s">
        <v>3049</v>
      </c>
      <c r="D381" s="28" t="s">
        <v>3050</v>
      </c>
      <c r="E381" s="96" t="s">
        <v>3051</v>
      </c>
      <c r="F381" s="27"/>
      <c r="G381" s="27"/>
      <c r="H381" s="30"/>
      <c r="I381" s="30"/>
      <c r="J381" s="30"/>
      <c r="K381" s="30"/>
      <c r="L381" s="30"/>
      <c r="M381" s="30"/>
      <c r="N381" s="30"/>
      <c r="O381" s="30"/>
      <c r="P381" s="30"/>
      <c r="Q381" s="30"/>
      <c r="R381" s="30"/>
      <c r="S381" s="30"/>
      <c r="T381" s="30"/>
      <c r="U381" s="30"/>
      <c r="V381" s="30"/>
      <c r="W381" s="30"/>
      <c r="X381" s="30"/>
      <c r="Y381" s="30"/>
      <c r="Z381" s="30"/>
      <c r="AA381" s="30"/>
      <c r="AB381" s="30"/>
      <c r="AC381" s="30"/>
      <c r="AD381" s="30"/>
      <c r="AE381" s="30"/>
      <c r="AF381" s="30"/>
    </row>
    <row r="382" ht="15.75" customHeight="1">
      <c r="A382" s="77" t="s">
        <v>3001</v>
      </c>
      <c r="B382" s="111">
        <v>6.0</v>
      </c>
      <c r="C382" s="42" t="s">
        <v>3062</v>
      </c>
      <c r="D382" s="42" t="s">
        <v>3063</v>
      </c>
      <c r="E382" s="82" t="s">
        <v>3064</v>
      </c>
      <c r="F382" s="41"/>
      <c r="G382" s="41"/>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row>
    <row r="383" ht="15.75" customHeight="1">
      <c r="A383" s="77" t="s">
        <v>3001</v>
      </c>
      <c r="B383" s="111">
        <v>-777.0</v>
      </c>
      <c r="C383" s="42" t="s">
        <v>478</v>
      </c>
      <c r="D383" s="42" t="s">
        <v>479</v>
      </c>
      <c r="E383" s="42" t="s">
        <v>1784</v>
      </c>
      <c r="F383" s="41"/>
      <c r="G383" s="41"/>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row>
    <row r="384" ht="15.75" customHeight="1">
      <c r="A384" s="77" t="s">
        <v>3001</v>
      </c>
      <c r="B384" s="111">
        <v>-999.0</v>
      </c>
      <c r="C384" s="42" t="s">
        <v>134</v>
      </c>
      <c r="D384" s="42" t="s">
        <v>135</v>
      </c>
      <c r="E384" s="42" t="s">
        <v>136</v>
      </c>
      <c r="F384" s="41"/>
      <c r="G384" s="41"/>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row>
    <row r="385" ht="15.75" customHeight="1">
      <c r="A385" s="77"/>
      <c r="B385" s="42"/>
      <c r="C385" s="42"/>
      <c r="D385" s="42"/>
      <c r="E385" s="42"/>
      <c r="F385" s="41"/>
      <c r="G385" s="41"/>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row>
    <row r="386" ht="15.75" customHeight="1">
      <c r="A386" s="77"/>
      <c r="B386" s="42"/>
      <c r="C386" s="42"/>
      <c r="D386" s="42"/>
      <c r="E386" s="42"/>
      <c r="F386" s="41"/>
      <c r="G386" s="41"/>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row>
    <row r="387" ht="15.75" customHeight="1">
      <c r="A387" s="94" t="s">
        <v>3132</v>
      </c>
      <c r="B387" s="95">
        <v>1.0</v>
      </c>
      <c r="C387" s="28" t="s">
        <v>3133</v>
      </c>
      <c r="D387" s="28" t="s">
        <v>3134</v>
      </c>
      <c r="E387" s="96" t="s">
        <v>3135</v>
      </c>
      <c r="F387" s="27"/>
      <c r="G387" s="27"/>
      <c r="H387" s="30"/>
      <c r="I387" s="30"/>
      <c r="J387" s="30"/>
      <c r="K387" s="30"/>
      <c r="L387" s="30"/>
      <c r="M387" s="30"/>
      <c r="N387" s="30"/>
      <c r="O387" s="30"/>
      <c r="P387" s="30"/>
      <c r="Q387" s="30"/>
      <c r="R387" s="30"/>
      <c r="S387" s="30"/>
      <c r="T387" s="30"/>
      <c r="U387" s="30"/>
      <c r="V387" s="30"/>
      <c r="W387" s="30"/>
      <c r="X387" s="30"/>
      <c r="Y387" s="30"/>
      <c r="Z387" s="30"/>
      <c r="AA387" s="30"/>
      <c r="AB387" s="30"/>
      <c r="AC387" s="30"/>
      <c r="AD387" s="30"/>
      <c r="AE387" s="30"/>
      <c r="AF387" s="30"/>
    </row>
    <row r="388" ht="15.75" customHeight="1">
      <c r="A388" s="94" t="s">
        <v>3132</v>
      </c>
      <c r="B388" s="95">
        <v>2.0</v>
      </c>
      <c r="C388" s="28" t="s">
        <v>3145</v>
      </c>
      <c r="D388" s="28" t="s">
        <v>3146</v>
      </c>
      <c r="E388" s="96" t="s">
        <v>3147</v>
      </c>
      <c r="F388" s="27"/>
      <c r="G388" s="27"/>
      <c r="H388" s="30"/>
      <c r="I388" s="30"/>
      <c r="J388" s="30"/>
      <c r="K388" s="30"/>
      <c r="L388" s="30"/>
      <c r="M388" s="30"/>
      <c r="N388" s="30"/>
      <c r="O388" s="30"/>
      <c r="P388" s="30"/>
      <c r="Q388" s="30"/>
      <c r="R388" s="30"/>
      <c r="S388" s="30"/>
      <c r="T388" s="30"/>
      <c r="U388" s="30"/>
      <c r="V388" s="30"/>
      <c r="W388" s="30"/>
      <c r="X388" s="30"/>
      <c r="Y388" s="30"/>
      <c r="Z388" s="30"/>
      <c r="AA388" s="30"/>
      <c r="AB388" s="30"/>
      <c r="AC388" s="30"/>
      <c r="AD388" s="30"/>
      <c r="AE388" s="30"/>
      <c r="AF388" s="30"/>
    </row>
    <row r="389" ht="15.75" customHeight="1">
      <c r="A389" s="94" t="s">
        <v>3132</v>
      </c>
      <c r="B389" s="95">
        <v>3.0</v>
      </c>
      <c r="C389" s="28" t="s">
        <v>3160</v>
      </c>
      <c r="D389" s="28" t="s">
        <v>3162</v>
      </c>
      <c r="E389" s="96" t="s">
        <v>3163</v>
      </c>
      <c r="F389" s="27"/>
      <c r="G389" s="27"/>
      <c r="H389" s="30"/>
      <c r="I389" s="30"/>
      <c r="J389" s="30"/>
      <c r="K389" s="30"/>
      <c r="L389" s="30"/>
      <c r="M389" s="30"/>
      <c r="N389" s="30"/>
      <c r="O389" s="30"/>
      <c r="P389" s="30"/>
      <c r="Q389" s="30"/>
      <c r="R389" s="30"/>
      <c r="S389" s="30"/>
      <c r="T389" s="30"/>
      <c r="U389" s="30"/>
      <c r="V389" s="30"/>
      <c r="W389" s="30"/>
      <c r="X389" s="30"/>
      <c r="Y389" s="30"/>
      <c r="Z389" s="30"/>
      <c r="AA389" s="30"/>
      <c r="AB389" s="30"/>
      <c r="AC389" s="30"/>
      <c r="AD389" s="30"/>
      <c r="AE389" s="30"/>
      <c r="AF389" s="30"/>
    </row>
    <row r="390" ht="15.75" customHeight="1">
      <c r="A390" s="94" t="s">
        <v>3132</v>
      </c>
      <c r="B390" s="95">
        <v>4.0</v>
      </c>
      <c r="C390" s="28" t="s">
        <v>3168</v>
      </c>
      <c r="D390" s="28" t="s">
        <v>3169</v>
      </c>
      <c r="E390" s="96" t="s">
        <v>3170</v>
      </c>
      <c r="F390" s="191"/>
      <c r="G390" s="27"/>
      <c r="H390" s="30"/>
      <c r="I390" s="30"/>
      <c r="J390" s="30"/>
      <c r="K390" s="30"/>
      <c r="L390" s="30"/>
      <c r="M390" s="30"/>
      <c r="N390" s="30"/>
      <c r="O390" s="30"/>
      <c r="P390" s="30"/>
      <c r="Q390" s="30"/>
      <c r="R390" s="30"/>
      <c r="S390" s="30"/>
      <c r="T390" s="30"/>
      <c r="U390" s="30"/>
      <c r="V390" s="30"/>
      <c r="W390" s="30"/>
      <c r="X390" s="30"/>
      <c r="Y390" s="30"/>
      <c r="Z390" s="30"/>
      <c r="AA390" s="30"/>
      <c r="AB390" s="30"/>
      <c r="AC390" s="30"/>
      <c r="AD390" s="30"/>
      <c r="AE390" s="30"/>
      <c r="AF390" s="30"/>
    </row>
    <row r="391" ht="15.75" customHeight="1">
      <c r="A391" s="94" t="s">
        <v>3132</v>
      </c>
      <c r="B391" s="95">
        <v>5.0</v>
      </c>
      <c r="C391" s="28" t="s">
        <v>3177</v>
      </c>
      <c r="D391" s="28" t="s">
        <v>3178</v>
      </c>
      <c r="E391" s="28" t="s">
        <v>3179</v>
      </c>
      <c r="F391" s="27"/>
      <c r="G391" s="27"/>
      <c r="H391" s="30"/>
      <c r="I391" s="30"/>
      <c r="J391" s="30"/>
      <c r="K391" s="30"/>
      <c r="L391" s="30"/>
      <c r="M391" s="30"/>
      <c r="N391" s="30"/>
      <c r="O391" s="30"/>
      <c r="P391" s="30"/>
      <c r="Q391" s="30"/>
      <c r="R391" s="30"/>
      <c r="S391" s="30"/>
      <c r="T391" s="30"/>
      <c r="U391" s="30"/>
      <c r="V391" s="30"/>
      <c r="W391" s="30"/>
      <c r="X391" s="30"/>
      <c r="Y391" s="30"/>
      <c r="Z391" s="30"/>
      <c r="AA391" s="30"/>
      <c r="AB391" s="30"/>
      <c r="AC391" s="30"/>
      <c r="AD391" s="30"/>
      <c r="AE391" s="30"/>
      <c r="AF391" s="30"/>
    </row>
    <row r="392" ht="15.75" customHeight="1">
      <c r="A392" s="77" t="s">
        <v>3132</v>
      </c>
      <c r="B392" s="111">
        <v>-777.0</v>
      </c>
      <c r="C392" s="42" t="s">
        <v>478</v>
      </c>
      <c r="D392" s="42" t="s">
        <v>479</v>
      </c>
      <c r="E392" s="42" t="s">
        <v>1784</v>
      </c>
      <c r="F392" s="41"/>
      <c r="G392" s="41"/>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row>
    <row r="393" ht="15.75" customHeight="1">
      <c r="A393" s="77"/>
      <c r="B393" s="42"/>
      <c r="C393" s="42"/>
      <c r="D393" s="42"/>
      <c r="E393" s="42"/>
      <c r="F393" s="41"/>
      <c r="G393" s="41"/>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row>
    <row r="394" ht="15.75" customHeight="1">
      <c r="A394" s="77"/>
      <c r="B394" s="42"/>
      <c r="C394" s="42"/>
      <c r="D394" s="42"/>
      <c r="E394" s="42"/>
      <c r="F394" s="41"/>
      <c r="G394" s="41"/>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row>
    <row r="395" ht="15.75" customHeight="1">
      <c r="A395" s="94" t="s">
        <v>3211</v>
      </c>
      <c r="B395" s="95">
        <v>1.0</v>
      </c>
      <c r="C395" s="28" t="s">
        <v>3212</v>
      </c>
      <c r="D395" s="28" t="s">
        <v>3213</v>
      </c>
      <c r="E395" s="28" t="s">
        <v>3214</v>
      </c>
      <c r="F395" s="27"/>
      <c r="G395" s="27"/>
      <c r="H395" s="30"/>
      <c r="I395" s="30"/>
      <c r="J395" s="30"/>
      <c r="K395" s="30"/>
      <c r="L395" s="30"/>
      <c r="M395" s="30"/>
      <c r="N395" s="30"/>
      <c r="O395" s="30"/>
      <c r="P395" s="30"/>
      <c r="Q395" s="30"/>
      <c r="R395" s="30"/>
      <c r="S395" s="30"/>
      <c r="T395" s="30"/>
      <c r="U395" s="30"/>
      <c r="V395" s="30"/>
      <c r="W395" s="30"/>
      <c r="X395" s="30"/>
      <c r="Y395" s="30"/>
      <c r="Z395" s="30"/>
      <c r="AA395" s="30"/>
      <c r="AB395" s="30"/>
      <c r="AC395" s="30"/>
      <c r="AD395" s="30"/>
      <c r="AE395" s="30"/>
      <c r="AF395" s="30"/>
    </row>
    <row r="396" ht="15.75" customHeight="1">
      <c r="A396" s="94" t="s">
        <v>3211</v>
      </c>
      <c r="B396" s="95">
        <v>2.0</v>
      </c>
      <c r="C396" s="28" t="s">
        <v>3221</v>
      </c>
      <c r="D396" s="28" t="s">
        <v>3224</v>
      </c>
      <c r="E396" s="96" t="s">
        <v>3226</v>
      </c>
      <c r="F396" s="191"/>
      <c r="G396" s="27"/>
      <c r="H396" s="30"/>
      <c r="I396" s="30"/>
      <c r="J396" s="30"/>
      <c r="K396" s="30"/>
      <c r="L396" s="30"/>
      <c r="M396" s="30"/>
      <c r="N396" s="30"/>
      <c r="O396" s="30"/>
      <c r="P396" s="30"/>
      <c r="Q396" s="30"/>
      <c r="R396" s="30"/>
      <c r="S396" s="30"/>
      <c r="T396" s="30"/>
      <c r="U396" s="30"/>
      <c r="V396" s="30"/>
      <c r="W396" s="30"/>
      <c r="X396" s="30"/>
      <c r="Y396" s="30"/>
      <c r="Z396" s="30"/>
      <c r="AA396" s="30"/>
      <c r="AB396" s="30"/>
      <c r="AC396" s="30"/>
      <c r="AD396" s="30"/>
      <c r="AE396" s="30"/>
      <c r="AF396" s="30"/>
    </row>
    <row r="397" ht="15.75" customHeight="1">
      <c r="A397" s="94" t="s">
        <v>3211</v>
      </c>
      <c r="B397" s="95">
        <v>3.0</v>
      </c>
      <c r="C397" s="28" t="s">
        <v>3236</v>
      </c>
      <c r="D397" s="28" t="s">
        <v>3237</v>
      </c>
      <c r="E397" s="96" t="s">
        <v>3238</v>
      </c>
      <c r="F397" s="191"/>
      <c r="G397" s="27"/>
      <c r="H397" s="30"/>
      <c r="I397" s="30"/>
      <c r="J397" s="30"/>
      <c r="K397" s="30"/>
      <c r="L397" s="30"/>
      <c r="M397" s="30"/>
      <c r="N397" s="30"/>
      <c r="O397" s="30"/>
      <c r="P397" s="30"/>
      <c r="Q397" s="30"/>
      <c r="R397" s="30"/>
      <c r="S397" s="30"/>
      <c r="T397" s="30"/>
      <c r="U397" s="30"/>
      <c r="V397" s="30"/>
      <c r="W397" s="30"/>
      <c r="X397" s="30"/>
      <c r="Y397" s="30"/>
      <c r="Z397" s="30"/>
      <c r="AA397" s="30"/>
      <c r="AB397" s="30"/>
      <c r="AC397" s="30"/>
      <c r="AD397" s="30"/>
      <c r="AE397" s="30"/>
      <c r="AF397" s="30"/>
    </row>
    <row r="398" ht="15.75" customHeight="1">
      <c r="A398" s="77" t="s">
        <v>3211</v>
      </c>
      <c r="B398" s="111">
        <v>4.0</v>
      </c>
      <c r="C398" s="42" t="s">
        <v>3245</v>
      </c>
      <c r="D398" s="42" t="s">
        <v>3246</v>
      </c>
      <c r="E398" s="82" t="s">
        <v>3248</v>
      </c>
      <c r="F398" s="41"/>
      <c r="G398" s="41"/>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row>
    <row r="399" ht="15.75" customHeight="1">
      <c r="A399" s="77"/>
      <c r="B399" s="42"/>
      <c r="C399" s="42"/>
      <c r="D399" s="42"/>
      <c r="E399" s="42"/>
      <c r="F399" s="41"/>
      <c r="G399" s="41"/>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row>
    <row r="400" ht="15.75" customHeight="1">
      <c r="A400" s="94" t="s">
        <v>3261</v>
      </c>
      <c r="B400" s="95">
        <v>1.0</v>
      </c>
      <c r="C400" s="28" t="s">
        <v>3262</v>
      </c>
      <c r="D400" s="28" t="s">
        <v>3263</v>
      </c>
      <c r="E400" s="28" t="s">
        <v>3264</v>
      </c>
      <c r="F400" s="27"/>
      <c r="G400" s="27"/>
      <c r="H400" s="30"/>
      <c r="I400" s="30"/>
      <c r="J400" s="30"/>
      <c r="K400" s="30"/>
      <c r="L400" s="30"/>
      <c r="M400" s="30"/>
      <c r="N400" s="30"/>
      <c r="O400" s="30"/>
      <c r="P400" s="30"/>
      <c r="Q400" s="30"/>
      <c r="R400" s="30"/>
      <c r="S400" s="30"/>
      <c r="T400" s="30"/>
      <c r="U400" s="30"/>
      <c r="V400" s="30"/>
      <c r="W400" s="30"/>
      <c r="X400" s="30"/>
      <c r="Y400" s="30"/>
      <c r="Z400" s="30"/>
      <c r="AA400" s="30"/>
      <c r="AB400" s="30"/>
      <c r="AC400" s="30"/>
      <c r="AD400" s="30"/>
      <c r="AE400" s="30"/>
      <c r="AF400" s="30"/>
    </row>
    <row r="401" ht="15.75" customHeight="1">
      <c r="A401" s="94" t="s">
        <v>3261</v>
      </c>
      <c r="B401" s="95">
        <v>2.0</v>
      </c>
      <c r="C401" s="28" t="s">
        <v>3269</v>
      </c>
      <c r="D401" s="28" t="s">
        <v>3270</v>
      </c>
      <c r="E401" s="96" t="s">
        <v>3274</v>
      </c>
      <c r="F401" s="191"/>
      <c r="G401" s="191"/>
      <c r="H401" s="30"/>
      <c r="I401" s="30"/>
      <c r="J401" s="30"/>
      <c r="K401" s="30"/>
      <c r="L401" s="30"/>
      <c r="M401" s="30"/>
      <c r="N401" s="30"/>
      <c r="O401" s="30"/>
      <c r="P401" s="30"/>
      <c r="Q401" s="30"/>
      <c r="R401" s="30"/>
      <c r="S401" s="30"/>
      <c r="T401" s="30"/>
      <c r="U401" s="30"/>
      <c r="V401" s="30"/>
      <c r="W401" s="30"/>
      <c r="X401" s="30"/>
      <c r="Y401" s="30"/>
      <c r="Z401" s="30"/>
      <c r="AA401" s="30"/>
      <c r="AB401" s="30"/>
      <c r="AC401" s="30"/>
      <c r="AD401" s="30"/>
      <c r="AE401" s="30"/>
      <c r="AF401" s="30"/>
    </row>
    <row r="402" ht="15.75" customHeight="1">
      <c r="A402" s="94" t="s">
        <v>3261</v>
      </c>
      <c r="B402" s="95">
        <v>3.0</v>
      </c>
      <c r="C402" s="28" t="s">
        <v>3279</v>
      </c>
      <c r="D402" s="28" t="s">
        <v>3282</v>
      </c>
      <c r="E402" s="96" t="s">
        <v>3284</v>
      </c>
      <c r="F402" s="27"/>
      <c r="G402" s="27"/>
      <c r="H402" s="30"/>
      <c r="I402" s="30"/>
      <c r="J402" s="30"/>
      <c r="K402" s="30"/>
      <c r="L402" s="30"/>
      <c r="M402" s="30"/>
      <c r="N402" s="30"/>
      <c r="O402" s="30"/>
      <c r="P402" s="30"/>
      <c r="Q402" s="30"/>
      <c r="R402" s="30"/>
      <c r="S402" s="30"/>
      <c r="T402" s="30"/>
      <c r="U402" s="30"/>
      <c r="V402" s="30"/>
      <c r="W402" s="30"/>
      <c r="X402" s="30"/>
      <c r="Y402" s="30"/>
      <c r="Z402" s="30"/>
      <c r="AA402" s="30"/>
      <c r="AB402" s="30"/>
      <c r="AC402" s="30"/>
      <c r="AD402" s="30"/>
      <c r="AE402" s="30"/>
      <c r="AF402" s="30"/>
    </row>
    <row r="403" ht="15.75" customHeight="1">
      <c r="A403" s="94" t="s">
        <v>3261</v>
      </c>
      <c r="B403" s="95">
        <v>4.0</v>
      </c>
      <c r="C403" s="28" t="s">
        <v>3293</v>
      </c>
      <c r="D403" s="28" t="s">
        <v>3294</v>
      </c>
      <c r="E403" s="28" t="s">
        <v>3295</v>
      </c>
      <c r="F403" s="27"/>
      <c r="G403" s="27"/>
      <c r="H403" s="30"/>
      <c r="I403" s="30"/>
      <c r="J403" s="30"/>
      <c r="K403" s="30"/>
      <c r="L403" s="30"/>
      <c r="M403" s="30"/>
      <c r="N403" s="30"/>
      <c r="O403" s="30"/>
      <c r="P403" s="30"/>
      <c r="Q403" s="30"/>
      <c r="R403" s="30"/>
      <c r="S403" s="30"/>
      <c r="T403" s="30"/>
      <c r="U403" s="30"/>
      <c r="V403" s="30"/>
      <c r="W403" s="30"/>
      <c r="X403" s="30"/>
      <c r="Y403" s="30"/>
      <c r="Z403" s="30"/>
      <c r="AA403" s="30"/>
      <c r="AB403" s="30"/>
      <c r="AC403" s="30"/>
      <c r="AD403" s="30"/>
      <c r="AE403" s="30"/>
      <c r="AF403" s="30"/>
    </row>
    <row r="404" ht="15.75" customHeight="1">
      <c r="A404" s="94" t="s">
        <v>3261</v>
      </c>
      <c r="B404" s="95">
        <v>5.0</v>
      </c>
      <c r="C404" s="28" t="s">
        <v>3300</v>
      </c>
      <c r="D404" s="96" t="s">
        <v>3302</v>
      </c>
      <c r="E404" s="28"/>
      <c r="F404" s="27"/>
      <c r="G404" s="27"/>
      <c r="H404" s="30"/>
      <c r="I404" s="30"/>
      <c r="J404" s="30"/>
      <c r="K404" s="30"/>
      <c r="L404" s="30"/>
      <c r="M404" s="30"/>
      <c r="N404" s="30"/>
      <c r="O404" s="30"/>
      <c r="P404" s="30"/>
      <c r="Q404" s="30"/>
      <c r="R404" s="30"/>
      <c r="S404" s="30"/>
      <c r="T404" s="30"/>
      <c r="U404" s="30"/>
      <c r="V404" s="30"/>
      <c r="W404" s="30"/>
      <c r="X404" s="30"/>
      <c r="Y404" s="30"/>
      <c r="Z404" s="30"/>
      <c r="AA404" s="30"/>
      <c r="AB404" s="30"/>
      <c r="AC404" s="30"/>
      <c r="AD404" s="30"/>
      <c r="AE404" s="30"/>
      <c r="AF404" s="30"/>
    </row>
    <row r="405" ht="15.75" customHeight="1">
      <c r="A405" s="94" t="s">
        <v>3261</v>
      </c>
      <c r="B405" s="95">
        <v>8.0</v>
      </c>
      <c r="C405" s="28" t="s">
        <v>3304</v>
      </c>
      <c r="D405" s="28" t="s">
        <v>3305</v>
      </c>
      <c r="E405" s="96" t="s">
        <v>3306</v>
      </c>
      <c r="F405" s="191"/>
      <c r="G405" s="27"/>
      <c r="H405" s="30"/>
      <c r="I405" s="30"/>
      <c r="J405" s="30"/>
      <c r="K405" s="30"/>
      <c r="L405" s="30"/>
      <c r="M405" s="30"/>
      <c r="N405" s="30"/>
      <c r="O405" s="30"/>
      <c r="P405" s="30"/>
      <c r="Q405" s="30"/>
      <c r="R405" s="30"/>
      <c r="S405" s="30"/>
      <c r="T405" s="30"/>
      <c r="U405" s="30"/>
      <c r="V405" s="30"/>
      <c r="W405" s="30"/>
      <c r="X405" s="30"/>
      <c r="Y405" s="30"/>
      <c r="Z405" s="30"/>
      <c r="AA405" s="30"/>
      <c r="AB405" s="30"/>
      <c r="AC405" s="30"/>
      <c r="AD405" s="30"/>
      <c r="AE405" s="30"/>
      <c r="AF405" s="30"/>
    </row>
    <row r="406" ht="15.75" customHeight="1">
      <c r="A406" s="77" t="s">
        <v>3261</v>
      </c>
      <c r="B406" s="111">
        <v>-777.0</v>
      </c>
      <c r="C406" s="42" t="s">
        <v>3307</v>
      </c>
      <c r="D406" s="42" t="s">
        <v>3308</v>
      </c>
      <c r="E406" s="42" t="s">
        <v>1784</v>
      </c>
      <c r="F406" s="41"/>
      <c r="G406" s="41"/>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row>
    <row r="407" ht="15.75" customHeight="1">
      <c r="A407" s="77"/>
      <c r="B407" s="42"/>
      <c r="C407" s="42"/>
      <c r="D407" s="42"/>
      <c r="E407" s="42"/>
      <c r="F407" s="41"/>
      <c r="G407" s="41"/>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row>
    <row r="408" ht="15.75" customHeight="1">
      <c r="A408" s="94" t="s">
        <v>3318</v>
      </c>
      <c r="B408" s="95">
        <v>0.0</v>
      </c>
      <c r="C408" s="28" t="s">
        <v>3319</v>
      </c>
      <c r="D408" s="28" t="s">
        <v>3320</v>
      </c>
      <c r="E408" s="96" t="s">
        <v>3321</v>
      </c>
      <c r="F408" s="27"/>
      <c r="G408" s="27"/>
      <c r="H408" s="30"/>
      <c r="I408" s="30"/>
      <c r="J408" s="30"/>
      <c r="K408" s="30"/>
      <c r="L408" s="30"/>
      <c r="M408" s="30"/>
      <c r="N408" s="30"/>
      <c r="O408" s="30"/>
      <c r="P408" s="30"/>
      <c r="Q408" s="30"/>
      <c r="R408" s="30"/>
      <c r="S408" s="30"/>
      <c r="T408" s="30"/>
      <c r="U408" s="30"/>
      <c r="V408" s="30"/>
      <c r="W408" s="30"/>
      <c r="X408" s="30"/>
      <c r="Y408" s="30"/>
      <c r="Z408" s="30"/>
      <c r="AA408" s="30"/>
      <c r="AB408" s="30"/>
      <c r="AC408" s="30"/>
      <c r="AD408" s="30"/>
      <c r="AE408" s="30"/>
      <c r="AF408" s="30"/>
    </row>
    <row r="409" ht="15.75" customHeight="1">
      <c r="A409" s="94" t="s">
        <v>3318</v>
      </c>
      <c r="B409" s="95">
        <v>1.0</v>
      </c>
      <c r="C409" s="28" t="s">
        <v>3328</v>
      </c>
      <c r="D409" s="28" t="s">
        <v>3329</v>
      </c>
      <c r="E409" s="96" t="s">
        <v>3330</v>
      </c>
      <c r="F409" s="191"/>
      <c r="G409" s="27"/>
      <c r="H409" s="30"/>
      <c r="I409" s="30"/>
      <c r="J409" s="30"/>
      <c r="K409" s="30"/>
      <c r="L409" s="30"/>
      <c r="M409" s="30"/>
      <c r="N409" s="30"/>
      <c r="O409" s="30"/>
      <c r="P409" s="30"/>
      <c r="Q409" s="30"/>
      <c r="R409" s="30"/>
      <c r="S409" s="30"/>
      <c r="T409" s="30"/>
      <c r="U409" s="30"/>
      <c r="V409" s="30"/>
      <c r="W409" s="30"/>
      <c r="X409" s="30"/>
      <c r="Y409" s="30"/>
      <c r="Z409" s="30"/>
      <c r="AA409" s="30"/>
      <c r="AB409" s="30"/>
      <c r="AC409" s="30"/>
      <c r="AD409" s="30"/>
      <c r="AE409" s="30"/>
      <c r="AF409" s="30"/>
    </row>
    <row r="410" ht="15.75" customHeight="1">
      <c r="A410" s="94" t="s">
        <v>3318</v>
      </c>
      <c r="B410" s="95">
        <v>2.0</v>
      </c>
      <c r="C410" s="28" t="s">
        <v>3337</v>
      </c>
      <c r="D410" s="28" t="s">
        <v>3338</v>
      </c>
      <c r="E410" s="96" t="s">
        <v>3339</v>
      </c>
      <c r="F410" s="27"/>
      <c r="G410" s="27"/>
      <c r="H410" s="30"/>
      <c r="I410" s="30"/>
      <c r="J410" s="30"/>
      <c r="K410" s="30"/>
      <c r="L410" s="30"/>
      <c r="M410" s="30"/>
      <c r="N410" s="30"/>
      <c r="O410" s="30"/>
      <c r="P410" s="30"/>
      <c r="Q410" s="30"/>
      <c r="R410" s="30"/>
      <c r="S410" s="30"/>
      <c r="T410" s="30"/>
      <c r="U410" s="30"/>
      <c r="V410" s="30"/>
      <c r="W410" s="30"/>
      <c r="X410" s="30"/>
      <c r="Y410" s="30"/>
      <c r="Z410" s="30"/>
      <c r="AA410" s="30"/>
      <c r="AB410" s="30"/>
      <c r="AC410" s="30"/>
      <c r="AD410" s="30"/>
      <c r="AE410" s="30"/>
      <c r="AF410" s="30"/>
    </row>
    <row r="411" ht="15.75" customHeight="1">
      <c r="A411" s="94" t="s">
        <v>3318</v>
      </c>
      <c r="B411" s="95">
        <v>3.0</v>
      </c>
      <c r="C411" s="28" t="s">
        <v>3346</v>
      </c>
      <c r="D411" s="28" t="s">
        <v>3347</v>
      </c>
      <c r="E411" s="96" t="s">
        <v>3348</v>
      </c>
      <c r="F411" s="27"/>
      <c r="G411" s="27"/>
      <c r="H411" s="30"/>
      <c r="I411" s="30"/>
      <c r="J411" s="30"/>
      <c r="K411" s="30"/>
      <c r="L411" s="30"/>
      <c r="M411" s="30"/>
      <c r="N411" s="30"/>
      <c r="O411" s="30"/>
      <c r="P411" s="30"/>
      <c r="Q411" s="30"/>
      <c r="R411" s="30"/>
      <c r="S411" s="30"/>
      <c r="T411" s="30"/>
      <c r="U411" s="30"/>
      <c r="V411" s="30"/>
      <c r="W411" s="30"/>
      <c r="X411" s="30"/>
      <c r="Y411" s="30"/>
      <c r="Z411" s="30"/>
      <c r="AA411" s="30"/>
      <c r="AB411" s="30"/>
      <c r="AC411" s="30"/>
      <c r="AD411" s="30"/>
      <c r="AE411" s="30"/>
      <c r="AF411" s="30"/>
    </row>
    <row r="412" ht="15.75" customHeight="1">
      <c r="A412" s="94" t="s">
        <v>3318</v>
      </c>
      <c r="B412" s="95">
        <v>4.0</v>
      </c>
      <c r="C412" s="28" t="s">
        <v>3358</v>
      </c>
      <c r="D412" s="28" t="s">
        <v>3359</v>
      </c>
      <c r="E412" s="28" t="s">
        <v>3360</v>
      </c>
      <c r="F412" s="27"/>
      <c r="G412" s="27"/>
      <c r="H412" s="30"/>
      <c r="I412" s="30"/>
      <c r="J412" s="30"/>
      <c r="K412" s="30"/>
      <c r="L412" s="30"/>
      <c r="M412" s="30"/>
      <c r="N412" s="30"/>
      <c r="O412" s="30"/>
      <c r="P412" s="30"/>
      <c r="Q412" s="30"/>
      <c r="R412" s="30"/>
      <c r="S412" s="30"/>
      <c r="T412" s="30"/>
      <c r="U412" s="30"/>
      <c r="V412" s="30"/>
      <c r="W412" s="30"/>
      <c r="X412" s="30"/>
      <c r="Y412" s="30"/>
      <c r="Z412" s="30"/>
      <c r="AA412" s="30"/>
      <c r="AB412" s="30"/>
      <c r="AC412" s="30"/>
      <c r="AD412" s="30"/>
      <c r="AE412" s="30"/>
      <c r="AF412" s="30"/>
    </row>
    <row r="413" ht="15.75" customHeight="1">
      <c r="A413" s="94" t="s">
        <v>3318</v>
      </c>
      <c r="B413" s="95">
        <v>5.0</v>
      </c>
      <c r="C413" s="28" t="s">
        <v>3365</v>
      </c>
      <c r="D413" s="28" t="s">
        <v>3366</v>
      </c>
      <c r="E413" s="96" t="s">
        <v>3367</v>
      </c>
      <c r="F413" s="191"/>
      <c r="G413" s="27"/>
      <c r="H413" s="30"/>
      <c r="I413" s="30"/>
      <c r="J413" s="30"/>
      <c r="K413" s="30"/>
      <c r="L413" s="30"/>
      <c r="M413" s="30"/>
      <c r="N413" s="30"/>
      <c r="O413" s="30"/>
      <c r="P413" s="30"/>
      <c r="Q413" s="30"/>
      <c r="R413" s="30"/>
      <c r="S413" s="30"/>
      <c r="T413" s="30"/>
      <c r="U413" s="30"/>
      <c r="V413" s="30"/>
      <c r="W413" s="30"/>
      <c r="X413" s="30"/>
      <c r="Y413" s="30"/>
      <c r="Z413" s="30"/>
      <c r="AA413" s="30"/>
      <c r="AB413" s="30"/>
      <c r="AC413" s="30"/>
      <c r="AD413" s="30"/>
      <c r="AE413" s="30"/>
      <c r="AF413" s="30"/>
    </row>
    <row r="414" ht="15.75" customHeight="1">
      <c r="A414" s="94" t="s">
        <v>3318</v>
      </c>
      <c r="B414" s="95">
        <v>6.0</v>
      </c>
      <c r="C414" s="28" t="s">
        <v>3368</v>
      </c>
      <c r="D414" s="28" t="s">
        <v>3369</v>
      </c>
      <c r="E414" s="28" t="s">
        <v>3370</v>
      </c>
      <c r="F414" s="27"/>
      <c r="G414" s="27"/>
      <c r="H414" s="30"/>
      <c r="I414" s="30"/>
      <c r="J414" s="30"/>
      <c r="K414" s="30"/>
      <c r="L414" s="30"/>
      <c r="M414" s="30"/>
      <c r="N414" s="30"/>
      <c r="O414" s="30"/>
      <c r="P414" s="30"/>
      <c r="Q414" s="30"/>
      <c r="R414" s="30"/>
      <c r="S414" s="30"/>
      <c r="T414" s="30"/>
      <c r="U414" s="30"/>
      <c r="V414" s="30"/>
      <c r="W414" s="30"/>
      <c r="X414" s="30"/>
      <c r="Y414" s="30"/>
      <c r="Z414" s="30"/>
      <c r="AA414" s="30"/>
      <c r="AB414" s="30"/>
      <c r="AC414" s="30"/>
      <c r="AD414" s="30"/>
      <c r="AE414" s="30"/>
      <c r="AF414" s="30"/>
    </row>
    <row r="415" ht="15.75" customHeight="1">
      <c r="A415" s="77" t="s">
        <v>3318</v>
      </c>
      <c r="B415" s="111">
        <v>7.0</v>
      </c>
      <c r="C415" s="42" t="s">
        <v>3374</v>
      </c>
      <c r="D415" s="42" t="s">
        <v>3375</v>
      </c>
      <c r="E415" s="82" t="s">
        <v>3376</v>
      </c>
      <c r="F415" s="41"/>
      <c r="G415" s="41"/>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row>
    <row r="416" ht="15.75" customHeight="1">
      <c r="A416" s="114"/>
      <c r="B416" s="115"/>
      <c r="C416" s="114"/>
      <c r="D416" s="114"/>
      <c r="E416" s="210"/>
      <c r="F416" s="30"/>
      <c r="G416" s="30"/>
      <c r="H416" s="30"/>
      <c r="I416" s="30"/>
      <c r="J416" s="30"/>
      <c r="K416" s="30"/>
      <c r="L416" s="30"/>
      <c r="M416" s="30"/>
      <c r="N416" s="30"/>
      <c r="O416" s="30"/>
      <c r="P416" s="30"/>
      <c r="Q416" s="30"/>
      <c r="R416" s="30"/>
      <c r="S416" s="30"/>
      <c r="T416" s="30"/>
      <c r="U416" s="30"/>
      <c r="V416" s="30"/>
      <c r="W416" s="30"/>
      <c r="X416" s="30"/>
      <c r="Y416" s="30"/>
      <c r="Z416" s="30"/>
      <c r="AA416" s="30"/>
      <c r="AB416" s="30"/>
      <c r="AC416" s="30"/>
      <c r="AD416" s="30"/>
      <c r="AE416" s="30"/>
      <c r="AF416" s="30"/>
    </row>
    <row r="417" ht="15.75" customHeight="1">
      <c r="A417" s="94" t="s">
        <v>495</v>
      </c>
      <c r="B417" s="94">
        <v>1.0</v>
      </c>
      <c r="C417" s="94" t="s">
        <v>496</v>
      </c>
      <c r="D417" s="94" t="s">
        <v>497</v>
      </c>
      <c r="E417" s="94" t="s">
        <v>498</v>
      </c>
      <c r="F417" s="133"/>
      <c r="G417" s="133"/>
      <c r="H417" s="49"/>
      <c r="I417" s="49"/>
      <c r="J417" s="49"/>
      <c r="K417" s="49"/>
      <c r="L417" s="49"/>
      <c r="M417" s="49"/>
      <c r="N417" s="49"/>
      <c r="O417" s="49"/>
      <c r="P417" s="49"/>
      <c r="Q417" s="49"/>
      <c r="R417" s="49"/>
      <c r="S417" s="49"/>
      <c r="T417" s="49"/>
      <c r="U417" s="49"/>
      <c r="V417" s="49"/>
      <c r="W417" s="49"/>
      <c r="X417" s="49"/>
      <c r="Y417" s="49"/>
      <c r="Z417" s="49"/>
      <c r="AA417" s="49"/>
      <c r="AB417" s="49"/>
      <c r="AC417" s="49"/>
      <c r="AD417" s="49"/>
      <c r="AE417" s="49"/>
      <c r="AF417" s="49"/>
    </row>
    <row r="418" ht="15.75" customHeight="1">
      <c r="A418" s="94" t="s">
        <v>495</v>
      </c>
      <c r="B418" s="94">
        <v>2.0</v>
      </c>
      <c r="C418" s="94" t="s">
        <v>505</v>
      </c>
      <c r="D418" s="94" t="s">
        <v>507</v>
      </c>
      <c r="E418" s="94" t="s">
        <v>510</v>
      </c>
      <c r="F418" s="27"/>
      <c r="G418" s="27"/>
      <c r="H418" s="30"/>
      <c r="I418" s="30"/>
      <c r="J418" s="30"/>
      <c r="K418" s="30"/>
      <c r="L418" s="30"/>
      <c r="M418" s="30"/>
      <c r="N418" s="30"/>
      <c r="O418" s="30"/>
      <c r="P418" s="30"/>
      <c r="Q418" s="30"/>
      <c r="R418" s="30"/>
      <c r="S418" s="30"/>
      <c r="T418" s="30"/>
      <c r="U418" s="30"/>
      <c r="V418" s="30"/>
      <c r="W418" s="30"/>
      <c r="X418" s="30"/>
      <c r="Y418" s="30"/>
      <c r="Z418" s="30"/>
      <c r="AA418" s="30"/>
      <c r="AB418" s="30"/>
      <c r="AC418" s="30"/>
      <c r="AD418" s="30"/>
      <c r="AE418" s="30"/>
      <c r="AF418" s="30"/>
    </row>
    <row r="419" ht="15.75" customHeight="1">
      <c r="A419" s="94" t="s">
        <v>495</v>
      </c>
      <c r="B419" s="94">
        <v>3.0</v>
      </c>
      <c r="C419" s="94" t="s">
        <v>516</v>
      </c>
      <c r="D419" s="94" t="s">
        <v>517</v>
      </c>
      <c r="E419" s="94" t="s">
        <v>519</v>
      </c>
      <c r="F419" s="41"/>
      <c r="G419" s="41"/>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row>
    <row r="420" ht="15.75" customHeight="1">
      <c r="A420" s="94"/>
      <c r="B420" s="94"/>
      <c r="C420" s="94"/>
      <c r="D420" s="94"/>
      <c r="E420" s="94"/>
      <c r="F420" s="41"/>
      <c r="G420" s="41"/>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row>
    <row r="421" ht="15.75" customHeight="1">
      <c r="A421" s="94" t="s">
        <v>528</v>
      </c>
      <c r="B421" s="94">
        <v>1.0</v>
      </c>
      <c r="C421" s="94" t="s">
        <v>530</v>
      </c>
      <c r="D421" s="94" t="s">
        <v>530</v>
      </c>
      <c r="E421" s="94" t="s">
        <v>531</v>
      </c>
      <c r="F421" s="27"/>
      <c r="G421" s="27"/>
      <c r="H421" s="30"/>
      <c r="I421" s="30"/>
      <c r="J421" s="30"/>
      <c r="K421" s="30"/>
      <c r="L421" s="30"/>
      <c r="M421" s="30"/>
      <c r="N421" s="30"/>
      <c r="O421" s="30"/>
      <c r="P421" s="30"/>
      <c r="Q421" s="30"/>
      <c r="R421" s="30"/>
      <c r="S421" s="30"/>
      <c r="T421" s="30"/>
      <c r="U421" s="30"/>
      <c r="V421" s="30"/>
      <c r="W421" s="30"/>
      <c r="X421" s="30"/>
      <c r="Y421" s="30"/>
      <c r="Z421" s="30"/>
      <c r="AA421" s="30"/>
      <c r="AB421" s="30"/>
      <c r="AC421" s="30"/>
      <c r="AD421" s="30"/>
      <c r="AE421" s="30"/>
      <c r="AF421" s="30"/>
    </row>
    <row r="422" ht="15.75" customHeight="1">
      <c r="A422" s="94" t="s">
        <v>528</v>
      </c>
      <c r="B422" s="94">
        <v>2.0</v>
      </c>
      <c r="C422" s="94" t="s">
        <v>536</v>
      </c>
      <c r="D422" s="94" t="s">
        <v>537</v>
      </c>
      <c r="E422" s="94" t="s">
        <v>538</v>
      </c>
      <c r="F422" s="27"/>
      <c r="G422" s="27"/>
      <c r="H422" s="30"/>
      <c r="I422" s="30"/>
      <c r="J422" s="30"/>
      <c r="K422" s="30"/>
      <c r="L422" s="30"/>
      <c r="M422" s="30"/>
      <c r="N422" s="30"/>
      <c r="O422" s="30"/>
      <c r="P422" s="30"/>
      <c r="Q422" s="30"/>
      <c r="R422" s="30"/>
      <c r="S422" s="30"/>
      <c r="T422" s="30"/>
      <c r="U422" s="30"/>
      <c r="V422" s="30"/>
      <c r="W422" s="30"/>
      <c r="X422" s="30"/>
      <c r="Y422" s="30"/>
      <c r="Z422" s="30"/>
      <c r="AA422" s="30"/>
      <c r="AB422" s="30"/>
      <c r="AC422" s="30"/>
      <c r="AD422" s="30"/>
      <c r="AE422" s="30"/>
      <c r="AF422" s="30"/>
    </row>
    <row r="423" ht="15.75" customHeight="1">
      <c r="A423" s="94" t="s">
        <v>528</v>
      </c>
      <c r="B423" s="94">
        <v>3.0</v>
      </c>
      <c r="C423" s="94" t="s">
        <v>541</v>
      </c>
      <c r="D423" s="94" t="s">
        <v>542</v>
      </c>
      <c r="E423" s="94" t="s">
        <v>544</v>
      </c>
      <c r="F423" s="41"/>
      <c r="G423" s="41"/>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row>
    <row r="424" ht="15.75" customHeight="1">
      <c r="A424" s="94"/>
      <c r="B424" s="94"/>
      <c r="C424" s="94"/>
      <c r="D424" s="94"/>
      <c r="E424" s="94"/>
      <c r="F424" s="41"/>
      <c r="G424" s="41"/>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row>
    <row r="425" ht="15.75" customHeight="1">
      <c r="A425" s="94" t="s">
        <v>561</v>
      </c>
      <c r="B425" s="94">
        <v>1.0</v>
      </c>
      <c r="C425" s="94" t="s">
        <v>562</v>
      </c>
      <c r="D425" s="94" t="s">
        <v>563</v>
      </c>
      <c r="E425" s="94" t="s">
        <v>565</v>
      </c>
      <c r="F425" s="27"/>
      <c r="G425" s="27"/>
      <c r="H425" s="30"/>
      <c r="I425" s="30"/>
      <c r="J425" s="30"/>
      <c r="K425" s="30"/>
      <c r="L425" s="30"/>
      <c r="M425" s="30"/>
      <c r="N425" s="30"/>
      <c r="O425" s="30"/>
      <c r="P425" s="30"/>
      <c r="Q425" s="30"/>
      <c r="R425" s="30"/>
      <c r="S425" s="30"/>
      <c r="T425" s="30"/>
      <c r="U425" s="30"/>
      <c r="V425" s="30"/>
      <c r="W425" s="30"/>
      <c r="X425" s="30"/>
      <c r="Y425" s="30"/>
      <c r="Z425" s="30"/>
      <c r="AA425" s="30"/>
      <c r="AB425" s="30"/>
      <c r="AC425" s="30"/>
      <c r="AD425" s="30"/>
      <c r="AE425" s="30"/>
      <c r="AF425" s="30"/>
    </row>
    <row r="426" ht="15.75" customHeight="1">
      <c r="A426" s="94" t="s">
        <v>561</v>
      </c>
      <c r="B426" s="94">
        <v>2.0</v>
      </c>
      <c r="C426" s="94" t="s">
        <v>574</v>
      </c>
      <c r="D426" s="94" t="s">
        <v>575</v>
      </c>
      <c r="E426" s="94" t="s">
        <v>576</v>
      </c>
      <c r="F426" s="27"/>
      <c r="G426" s="27"/>
      <c r="H426" s="30"/>
      <c r="I426" s="30"/>
      <c r="J426" s="30"/>
      <c r="K426" s="30"/>
      <c r="L426" s="30"/>
      <c r="M426" s="30"/>
      <c r="N426" s="30"/>
      <c r="O426" s="30"/>
      <c r="P426" s="30"/>
      <c r="Q426" s="30"/>
      <c r="R426" s="30"/>
      <c r="S426" s="30"/>
      <c r="T426" s="30"/>
      <c r="U426" s="30"/>
      <c r="V426" s="30"/>
      <c r="W426" s="30"/>
      <c r="X426" s="30"/>
      <c r="Y426" s="30"/>
      <c r="Z426" s="30"/>
      <c r="AA426" s="30"/>
      <c r="AB426" s="30"/>
      <c r="AC426" s="30"/>
      <c r="AD426" s="30"/>
      <c r="AE426" s="30"/>
      <c r="AF426" s="30"/>
    </row>
    <row r="427" ht="15.75" customHeight="1">
      <c r="A427" s="94" t="s">
        <v>561</v>
      </c>
      <c r="B427" s="94">
        <v>3.0</v>
      </c>
      <c r="C427" s="94" t="s">
        <v>586</v>
      </c>
      <c r="D427" s="94" t="s">
        <v>587</v>
      </c>
      <c r="E427" s="94" t="s">
        <v>588</v>
      </c>
      <c r="F427" s="41"/>
      <c r="G427" s="41"/>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row>
    <row r="428" ht="15.75" customHeight="1">
      <c r="A428" s="94"/>
      <c r="B428" s="94"/>
      <c r="C428" s="94"/>
      <c r="D428" s="94"/>
      <c r="E428" s="94"/>
      <c r="F428" s="41"/>
      <c r="G428" s="41"/>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row>
    <row r="429" ht="15.75" customHeight="1">
      <c r="A429" s="94" t="s">
        <v>610</v>
      </c>
      <c r="B429" s="94">
        <v>1.0</v>
      </c>
      <c r="C429" s="94" t="s">
        <v>612</v>
      </c>
      <c r="D429" s="94" t="s">
        <v>613</v>
      </c>
      <c r="E429" s="94" t="s">
        <v>615</v>
      </c>
      <c r="F429" s="27"/>
      <c r="G429" s="27"/>
      <c r="H429" s="30"/>
      <c r="I429" s="30"/>
      <c r="J429" s="30"/>
      <c r="K429" s="30"/>
      <c r="L429" s="30"/>
      <c r="M429" s="30"/>
      <c r="N429" s="30"/>
      <c r="O429" s="30"/>
      <c r="P429" s="30"/>
      <c r="Q429" s="30"/>
      <c r="R429" s="30"/>
      <c r="S429" s="30"/>
      <c r="T429" s="30"/>
      <c r="U429" s="30"/>
      <c r="V429" s="30"/>
      <c r="W429" s="30"/>
      <c r="X429" s="30"/>
      <c r="Y429" s="30"/>
      <c r="Z429" s="30"/>
      <c r="AA429" s="30"/>
      <c r="AB429" s="30"/>
      <c r="AC429" s="30"/>
      <c r="AD429" s="30"/>
      <c r="AE429" s="30"/>
      <c r="AF429" s="30"/>
    </row>
    <row r="430" ht="15.75" customHeight="1">
      <c r="A430" s="94" t="s">
        <v>610</v>
      </c>
      <c r="B430" s="94">
        <v>2.0</v>
      </c>
      <c r="C430" s="94" t="s">
        <v>622</v>
      </c>
      <c r="D430" s="94" t="s">
        <v>623</v>
      </c>
      <c r="E430" s="94" t="s">
        <v>625</v>
      </c>
      <c r="F430" s="27"/>
      <c r="G430" s="27"/>
      <c r="H430" s="30"/>
      <c r="I430" s="30"/>
      <c r="J430" s="30"/>
      <c r="K430" s="30"/>
      <c r="L430" s="30"/>
      <c r="M430" s="30"/>
      <c r="N430" s="30"/>
      <c r="O430" s="30"/>
      <c r="P430" s="30"/>
      <c r="Q430" s="30"/>
      <c r="R430" s="30"/>
      <c r="S430" s="30"/>
      <c r="T430" s="30"/>
      <c r="U430" s="30"/>
      <c r="V430" s="30"/>
      <c r="W430" s="30"/>
      <c r="X430" s="30"/>
      <c r="Y430" s="30"/>
      <c r="Z430" s="30"/>
      <c r="AA430" s="30"/>
      <c r="AB430" s="30"/>
      <c r="AC430" s="30"/>
      <c r="AD430" s="30"/>
      <c r="AE430" s="30"/>
      <c r="AF430" s="30"/>
    </row>
    <row r="431" ht="15.75" customHeight="1">
      <c r="A431" s="94" t="s">
        <v>610</v>
      </c>
      <c r="B431" s="94">
        <v>3.0</v>
      </c>
      <c r="C431" s="94" t="s">
        <v>631</v>
      </c>
      <c r="D431" s="94" t="s">
        <v>632</v>
      </c>
      <c r="E431" s="94" t="s">
        <v>633</v>
      </c>
      <c r="F431" s="27"/>
      <c r="G431" s="27"/>
      <c r="H431" s="30"/>
      <c r="I431" s="30"/>
      <c r="J431" s="30"/>
      <c r="K431" s="30"/>
      <c r="L431" s="30"/>
      <c r="M431" s="30"/>
      <c r="N431" s="30"/>
      <c r="O431" s="30"/>
      <c r="P431" s="30"/>
      <c r="Q431" s="30"/>
      <c r="R431" s="30"/>
      <c r="S431" s="30"/>
      <c r="T431" s="30"/>
      <c r="U431" s="30"/>
      <c r="V431" s="30"/>
      <c r="W431" s="30"/>
      <c r="X431" s="30"/>
      <c r="Y431" s="30"/>
      <c r="Z431" s="30"/>
      <c r="AA431" s="30"/>
      <c r="AB431" s="30"/>
      <c r="AC431" s="30"/>
      <c r="AD431" s="30"/>
      <c r="AE431" s="30"/>
      <c r="AF431" s="30"/>
    </row>
    <row r="432" ht="15.75" customHeight="1">
      <c r="A432" s="94" t="s">
        <v>610</v>
      </c>
      <c r="B432" s="94">
        <v>4.0</v>
      </c>
      <c r="C432" s="94" t="s">
        <v>638</v>
      </c>
      <c r="D432" s="94" t="s">
        <v>639</v>
      </c>
      <c r="E432" s="94" t="s">
        <v>640</v>
      </c>
      <c r="F432" s="20"/>
      <c r="G432" s="41"/>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row>
    <row r="433" ht="15.75" customHeight="1">
      <c r="A433" s="94"/>
      <c r="B433" s="94"/>
      <c r="C433" s="94"/>
      <c r="D433" s="94"/>
      <c r="E433" s="94"/>
      <c r="F433" s="41"/>
      <c r="G433" s="41"/>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row>
    <row r="434" ht="15.75" customHeight="1">
      <c r="A434" s="94" t="s">
        <v>3485</v>
      </c>
      <c r="B434" s="94">
        <v>1.0</v>
      </c>
      <c r="C434" s="94" t="s">
        <v>3486</v>
      </c>
      <c r="D434" s="94" t="s">
        <v>3487</v>
      </c>
      <c r="E434" s="94" t="s">
        <v>3488</v>
      </c>
      <c r="F434" s="27"/>
      <c r="G434" s="27"/>
      <c r="H434" s="30"/>
      <c r="I434" s="30"/>
      <c r="J434" s="30"/>
      <c r="K434" s="30"/>
      <c r="L434" s="30"/>
      <c r="M434" s="30"/>
      <c r="N434" s="30"/>
      <c r="O434" s="30"/>
      <c r="P434" s="30"/>
      <c r="Q434" s="30"/>
      <c r="R434" s="30"/>
      <c r="S434" s="30"/>
      <c r="T434" s="30"/>
      <c r="U434" s="30"/>
      <c r="V434" s="30"/>
      <c r="W434" s="30"/>
      <c r="X434" s="30"/>
      <c r="Y434" s="30"/>
      <c r="Z434" s="30"/>
      <c r="AA434" s="30"/>
      <c r="AB434" s="30"/>
      <c r="AC434" s="30"/>
      <c r="AD434" s="30"/>
      <c r="AE434" s="30"/>
      <c r="AF434" s="30"/>
    </row>
    <row r="435" ht="15.75" customHeight="1">
      <c r="A435" s="94" t="s">
        <v>3485</v>
      </c>
      <c r="B435" s="94">
        <v>2.0</v>
      </c>
      <c r="C435" s="94" t="s">
        <v>3494</v>
      </c>
      <c r="D435" s="94" t="s">
        <v>3495</v>
      </c>
      <c r="E435" s="94" t="s">
        <v>3496</v>
      </c>
      <c r="F435" s="41"/>
      <c r="G435" s="41"/>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row>
    <row r="436" ht="15.75" customHeight="1">
      <c r="A436" s="114"/>
      <c r="B436" s="115"/>
      <c r="C436" s="114"/>
      <c r="D436" s="114"/>
      <c r="E436" s="210"/>
      <c r="F436" s="30"/>
      <c r="G436" s="30"/>
      <c r="H436" s="30"/>
      <c r="I436" s="30"/>
      <c r="J436" s="30"/>
      <c r="K436" s="30"/>
      <c r="L436" s="30"/>
      <c r="M436" s="30"/>
      <c r="N436" s="30"/>
      <c r="O436" s="30"/>
      <c r="P436" s="30"/>
      <c r="Q436" s="30"/>
      <c r="R436" s="30"/>
      <c r="S436" s="30"/>
      <c r="T436" s="30"/>
      <c r="U436" s="30"/>
      <c r="V436" s="30"/>
      <c r="W436" s="30"/>
      <c r="X436" s="30"/>
      <c r="Y436" s="30"/>
      <c r="Z436" s="30"/>
      <c r="AA436" s="30"/>
      <c r="AB436" s="30"/>
      <c r="AC436" s="30"/>
      <c r="AD436" s="30"/>
      <c r="AE436" s="30"/>
      <c r="AF436" s="30"/>
    </row>
    <row r="437" ht="15.75" customHeight="1">
      <c r="A437" s="123" t="s">
        <v>3507</v>
      </c>
      <c r="B437" s="126">
        <v>1.0</v>
      </c>
      <c r="C437" s="136" t="s">
        <v>3508</v>
      </c>
      <c r="D437" s="136" t="s">
        <v>3509</v>
      </c>
      <c r="E437" s="136" t="s">
        <v>3511</v>
      </c>
      <c r="F437" s="133"/>
      <c r="G437" s="133"/>
      <c r="H437" s="49"/>
      <c r="I437" s="49"/>
      <c r="J437" s="49"/>
      <c r="K437" s="49"/>
      <c r="L437" s="49"/>
      <c r="M437" s="49"/>
      <c r="N437" s="49"/>
      <c r="O437" s="49"/>
      <c r="P437" s="49"/>
      <c r="Q437" s="49"/>
      <c r="R437" s="49"/>
      <c r="S437" s="49"/>
      <c r="T437" s="49"/>
      <c r="U437" s="49"/>
      <c r="V437" s="49"/>
      <c r="W437" s="49"/>
      <c r="X437" s="49"/>
      <c r="Y437" s="49"/>
      <c r="Z437" s="49"/>
      <c r="AA437" s="49"/>
      <c r="AB437" s="49"/>
      <c r="AC437" s="49"/>
      <c r="AD437" s="49"/>
      <c r="AE437" s="49"/>
      <c r="AF437" s="49"/>
    </row>
    <row r="438" ht="15.75" customHeight="1">
      <c r="A438" s="94" t="s">
        <v>3507</v>
      </c>
      <c r="B438" s="95">
        <v>2.0</v>
      </c>
      <c r="C438" s="28" t="s">
        <v>3522</v>
      </c>
      <c r="D438" s="28" t="s">
        <v>3523</v>
      </c>
      <c r="E438" s="28" t="s">
        <v>3524</v>
      </c>
      <c r="F438" s="27"/>
      <c r="G438" s="27"/>
      <c r="H438" s="30"/>
      <c r="I438" s="30"/>
      <c r="J438" s="30"/>
      <c r="K438" s="30"/>
      <c r="L438" s="30"/>
      <c r="M438" s="30"/>
      <c r="N438" s="30"/>
      <c r="O438" s="30"/>
      <c r="P438" s="30"/>
      <c r="Q438" s="30"/>
      <c r="R438" s="30"/>
      <c r="S438" s="30"/>
      <c r="T438" s="30"/>
      <c r="U438" s="30"/>
      <c r="V438" s="30"/>
      <c r="W438" s="30"/>
      <c r="X438" s="30"/>
      <c r="Y438" s="30"/>
      <c r="Z438" s="30"/>
      <c r="AA438" s="30"/>
      <c r="AB438" s="30"/>
      <c r="AC438" s="30"/>
      <c r="AD438" s="30"/>
      <c r="AE438" s="30"/>
      <c r="AF438" s="30"/>
    </row>
    <row r="439" ht="15.75" customHeight="1">
      <c r="A439" s="94" t="s">
        <v>3507</v>
      </c>
      <c r="B439" s="95">
        <v>3.0</v>
      </c>
      <c r="C439" s="28" t="s">
        <v>3527</v>
      </c>
      <c r="D439" s="28" t="s">
        <v>3528</v>
      </c>
      <c r="E439" s="96" t="s">
        <v>3529</v>
      </c>
      <c r="F439" s="27"/>
      <c r="G439" s="27"/>
      <c r="H439" s="30"/>
      <c r="I439" s="30"/>
      <c r="J439" s="30"/>
      <c r="K439" s="30"/>
      <c r="L439" s="30"/>
      <c r="M439" s="30"/>
      <c r="N439" s="30"/>
      <c r="O439" s="30"/>
      <c r="P439" s="30"/>
      <c r="Q439" s="30"/>
      <c r="R439" s="30"/>
      <c r="S439" s="30"/>
      <c r="T439" s="30"/>
      <c r="U439" s="30"/>
      <c r="V439" s="30"/>
      <c r="W439" s="30"/>
      <c r="X439" s="30"/>
      <c r="Y439" s="30"/>
      <c r="Z439" s="30"/>
      <c r="AA439" s="30"/>
      <c r="AB439" s="30"/>
      <c r="AC439" s="30"/>
      <c r="AD439" s="30"/>
      <c r="AE439" s="30"/>
      <c r="AF439" s="30"/>
    </row>
    <row r="440" ht="15.75" customHeight="1">
      <c r="A440" s="94" t="s">
        <v>3507</v>
      </c>
      <c r="B440" s="95">
        <v>-777.0</v>
      </c>
      <c r="C440" s="28" t="s">
        <v>478</v>
      </c>
      <c r="D440" s="28" t="s">
        <v>479</v>
      </c>
      <c r="E440" s="28" t="s">
        <v>480</v>
      </c>
      <c r="F440" s="27"/>
      <c r="G440" s="27"/>
      <c r="H440" s="30"/>
      <c r="I440" s="30"/>
      <c r="J440" s="30"/>
      <c r="K440" s="30"/>
      <c r="L440" s="30"/>
      <c r="M440" s="30"/>
      <c r="N440" s="30"/>
      <c r="O440" s="30"/>
      <c r="P440" s="30"/>
      <c r="Q440" s="30"/>
      <c r="R440" s="30"/>
      <c r="S440" s="30"/>
      <c r="T440" s="30"/>
      <c r="U440" s="30"/>
      <c r="V440" s="30"/>
      <c r="W440" s="30"/>
      <c r="X440" s="30"/>
      <c r="Y440" s="30"/>
      <c r="Z440" s="30"/>
      <c r="AA440" s="30"/>
      <c r="AB440" s="30"/>
      <c r="AC440" s="30"/>
      <c r="AD440" s="30"/>
      <c r="AE440" s="30"/>
      <c r="AF440" s="30"/>
    </row>
    <row r="441" ht="15.75" customHeight="1">
      <c r="A441" s="77" t="s">
        <v>3507</v>
      </c>
      <c r="B441" s="111">
        <v>0.0</v>
      </c>
      <c r="C441" s="42" t="s">
        <v>228</v>
      </c>
      <c r="D441" s="42" t="s">
        <v>230</v>
      </c>
      <c r="E441" s="42" t="s">
        <v>232</v>
      </c>
      <c r="F441" s="41"/>
      <c r="G441" s="41"/>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row>
    <row r="442" ht="15.75" customHeight="1">
      <c r="A442" s="114"/>
      <c r="B442" s="115"/>
      <c r="C442" s="114"/>
      <c r="D442" s="114"/>
      <c r="E442" s="210"/>
      <c r="F442" s="30"/>
      <c r="G442" s="30"/>
      <c r="H442" s="30"/>
      <c r="I442" s="30"/>
      <c r="J442" s="30"/>
      <c r="K442" s="30"/>
      <c r="L442" s="30"/>
      <c r="M442" s="30"/>
      <c r="N442" s="30"/>
      <c r="O442" s="30"/>
      <c r="P442" s="30"/>
      <c r="Q442" s="30"/>
      <c r="R442" s="30"/>
      <c r="S442" s="30"/>
      <c r="T442" s="30"/>
      <c r="U442" s="30"/>
      <c r="V442" s="30"/>
      <c r="W442" s="30"/>
      <c r="X442" s="30"/>
      <c r="Y442" s="30"/>
      <c r="Z442" s="30"/>
      <c r="AA442" s="30"/>
      <c r="AB442" s="30"/>
      <c r="AC442" s="30"/>
      <c r="AD442" s="30"/>
      <c r="AE442" s="30"/>
      <c r="AF442" s="30"/>
    </row>
    <row r="443" ht="15.75" customHeight="1">
      <c r="A443" s="123" t="s">
        <v>3561</v>
      </c>
      <c r="B443" s="126">
        <v>0.0</v>
      </c>
      <c r="C443" s="136" t="s">
        <v>3562</v>
      </c>
      <c r="D443" s="136" t="s">
        <v>3563</v>
      </c>
      <c r="E443" s="213" t="s">
        <v>3564</v>
      </c>
      <c r="F443" s="133"/>
      <c r="G443" s="133"/>
      <c r="H443" s="49"/>
      <c r="I443" s="49"/>
      <c r="J443" s="49"/>
      <c r="K443" s="49"/>
      <c r="L443" s="49"/>
      <c r="M443" s="49"/>
      <c r="N443" s="49"/>
      <c r="O443" s="49"/>
      <c r="P443" s="49"/>
      <c r="Q443" s="49"/>
      <c r="R443" s="49"/>
      <c r="S443" s="49"/>
      <c r="T443" s="49"/>
      <c r="U443" s="49"/>
      <c r="V443" s="49"/>
      <c r="W443" s="49"/>
      <c r="X443" s="49"/>
      <c r="Y443" s="49"/>
      <c r="Z443" s="49"/>
      <c r="AA443" s="49"/>
      <c r="AB443" s="49"/>
      <c r="AC443" s="49"/>
      <c r="AD443" s="49"/>
      <c r="AE443" s="49"/>
      <c r="AF443" s="49"/>
    </row>
    <row r="444" ht="15.75" customHeight="1">
      <c r="A444" s="94" t="s">
        <v>3561</v>
      </c>
      <c r="B444" s="95">
        <v>1.0</v>
      </c>
      <c r="C444" s="28" t="s">
        <v>3576</v>
      </c>
      <c r="D444" s="28" t="s">
        <v>3577</v>
      </c>
      <c r="E444" s="28" t="s">
        <v>3578</v>
      </c>
      <c r="F444" s="27"/>
      <c r="G444" s="27"/>
      <c r="H444" s="30"/>
      <c r="I444" s="30"/>
      <c r="J444" s="30"/>
      <c r="K444" s="30"/>
      <c r="L444" s="30"/>
      <c r="M444" s="30"/>
      <c r="N444" s="30"/>
      <c r="O444" s="30"/>
      <c r="P444" s="30"/>
      <c r="Q444" s="30"/>
      <c r="R444" s="30"/>
      <c r="S444" s="30"/>
      <c r="T444" s="30"/>
      <c r="U444" s="30"/>
      <c r="V444" s="30"/>
      <c r="W444" s="30"/>
      <c r="X444" s="30"/>
      <c r="Y444" s="30"/>
      <c r="Z444" s="30"/>
      <c r="AA444" s="30"/>
      <c r="AB444" s="30"/>
      <c r="AC444" s="30"/>
      <c r="AD444" s="30"/>
      <c r="AE444" s="30"/>
      <c r="AF444" s="30"/>
    </row>
    <row r="445" ht="15.75" customHeight="1">
      <c r="A445" s="77" t="s">
        <v>3561</v>
      </c>
      <c r="B445" s="111">
        <v>2.0</v>
      </c>
      <c r="C445" s="42" t="s">
        <v>3591</v>
      </c>
      <c r="D445" s="42" t="s">
        <v>3592</v>
      </c>
      <c r="E445" s="42" t="s">
        <v>3593</v>
      </c>
      <c r="F445" s="41"/>
      <c r="G445" s="41"/>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row>
    <row r="446" ht="15.75" customHeight="1">
      <c r="A446" s="114"/>
      <c r="B446" s="115"/>
      <c r="C446" s="114"/>
      <c r="D446" s="114"/>
      <c r="E446" s="210"/>
      <c r="F446" s="30"/>
      <c r="G446" s="30"/>
      <c r="H446" s="30"/>
      <c r="I446" s="30"/>
      <c r="J446" s="30"/>
      <c r="K446" s="30"/>
      <c r="L446" s="30"/>
      <c r="M446" s="30"/>
      <c r="N446" s="30"/>
      <c r="O446" s="30"/>
      <c r="P446" s="30"/>
      <c r="Q446" s="30"/>
      <c r="R446" s="30"/>
      <c r="S446" s="30"/>
      <c r="T446" s="30"/>
      <c r="U446" s="30"/>
      <c r="V446" s="30"/>
      <c r="W446" s="30"/>
      <c r="X446" s="30"/>
      <c r="Y446" s="30"/>
      <c r="Z446" s="30"/>
      <c r="AA446" s="30"/>
      <c r="AB446" s="30"/>
      <c r="AC446" s="30"/>
      <c r="AD446" s="30"/>
      <c r="AE446" s="30"/>
      <c r="AF446" s="30"/>
    </row>
    <row r="447" ht="15.75" customHeight="1">
      <c r="A447" s="114"/>
      <c r="B447" s="115"/>
      <c r="C447" s="114"/>
      <c r="D447" s="114"/>
      <c r="E447" s="210"/>
      <c r="F447" s="30"/>
      <c r="G447" s="30"/>
      <c r="H447" s="30"/>
      <c r="I447" s="30"/>
      <c r="J447" s="30"/>
      <c r="K447" s="30"/>
      <c r="L447" s="30"/>
      <c r="M447" s="30"/>
      <c r="N447" s="30"/>
      <c r="O447" s="30"/>
      <c r="P447" s="30"/>
      <c r="Q447" s="30"/>
      <c r="R447" s="30"/>
      <c r="S447" s="30"/>
      <c r="T447" s="30"/>
      <c r="U447" s="30"/>
      <c r="V447" s="30"/>
      <c r="W447" s="30"/>
      <c r="X447" s="30"/>
      <c r="Y447" s="30"/>
      <c r="Z447" s="30"/>
      <c r="AA447" s="30"/>
      <c r="AB447" s="30"/>
      <c r="AC447" s="30"/>
      <c r="AD447" s="30"/>
      <c r="AE447" s="30"/>
      <c r="AF447" s="30"/>
    </row>
    <row r="448" ht="15.75" customHeight="1">
      <c r="A448" s="77"/>
      <c r="B448" s="42"/>
      <c r="C448" s="42"/>
      <c r="D448" s="42"/>
      <c r="E448" s="42"/>
      <c r="F448" s="41"/>
      <c r="G448" s="41"/>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row>
    <row r="449" ht="15.75" customHeight="1">
      <c r="A449" s="94" t="s">
        <v>3642</v>
      </c>
      <c r="B449" s="95">
        <v>1.0</v>
      </c>
      <c r="C449" s="28" t="s">
        <v>3643</v>
      </c>
      <c r="D449" s="28" t="s">
        <v>3644</v>
      </c>
      <c r="E449" s="28" t="s">
        <v>3645</v>
      </c>
      <c r="F449" s="27"/>
      <c r="G449" s="27"/>
      <c r="H449" s="30"/>
      <c r="I449" s="30"/>
      <c r="J449" s="30"/>
      <c r="K449" s="30"/>
      <c r="L449" s="30"/>
      <c r="M449" s="30"/>
      <c r="N449" s="30"/>
      <c r="O449" s="30"/>
      <c r="P449" s="30"/>
      <c r="Q449" s="30"/>
      <c r="R449" s="30"/>
      <c r="S449" s="30"/>
      <c r="T449" s="30"/>
      <c r="U449" s="30"/>
      <c r="V449" s="30"/>
      <c r="W449" s="30"/>
      <c r="X449" s="30"/>
      <c r="Y449" s="30"/>
      <c r="Z449" s="30"/>
      <c r="AA449" s="30"/>
      <c r="AB449" s="30"/>
      <c r="AC449" s="30"/>
      <c r="AD449" s="30"/>
      <c r="AE449" s="30"/>
      <c r="AF449" s="30"/>
    </row>
    <row r="450" ht="15.75" customHeight="1">
      <c r="A450" s="94" t="s">
        <v>3642</v>
      </c>
      <c r="B450" s="95">
        <v>2.0</v>
      </c>
      <c r="C450" s="28" t="s">
        <v>3654</v>
      </c>
      <c r="D450" s="28" t="s">
        <v>3655</v>
      </c>
      <c r="E450" s="96" t="s">
        <v>3656</v>
      </c>
      <c r="F450" s="27"/>
      <c r="G450" s="27"/>
      <c r="H450" s="30"/>
      <c r="I450" s="30"/>
      <c r="J450" s="30"/>
      <c r="K450" s="30"/>
      <c r="L450" s="30"/>
      <c r="M450" s="30"/>
      <c r="N450" s="30"/>
      <c r="O450" s="30"/>
      <c r="P450" s="30"/>
      <c r="Q450" s="30"/>
      <c r="R450" s="30"/>
      <c r="S450" s="30"/>
      <c r="T450" s="30"/>
      <c r="U450" s="30"/>
      <c r="V450" s="30"/>
      <c r="W450" s="30"/>
      <c r="X450" s="30"/>
      <c r="Y450" s="30"/>
      <c r="Z450" s="30"/>
      <c r="AA450" s="30"/>
      <c r="AB450" s="30"/>
      <c r="AC450" s="30"/>
      <c r="AD450" s="30"/>
      <c r="AE450" s="30"/>
      <c r="AF450" s="30"/>
    </row>
    <row r="451" ht="15.75" customHeight="1">
      <c r="A451" s="94" t="s">
        <v>3642</v>
      </c>
      <c r="B451" s="95">
        <v>3.0</v>
      </c>
      <c r="C451" s="28" t="s">
        <v>3669</v>
      </c>
      <c r="D451" s="28" t="s">
        <v>3670</v>
      </c>
      <c r="E451" s="96" t="s">
        <v>3671</v>
      </c>
      <c r="F451" s="191"/>
      <c r="G451" s="27"/>
      <c r="H451" s="30"/>
      <c r="I451" s="30"/>
      <c r="J451" s="30"/>
      <c r="K451" s="30"/>
      <c r="L451" s="30"/>
      <c r="M451" s="30"/>
      <c r="N451" s="30"/>
      <c r="O451" s="30"/>
      <c r="P451" s="30"/>
      <c r="Q451" s="30"/>
      <c r="R451" s="30"/>
      <c r="S451" s="30"/>
      <c r="T451" s="30"/>
      <c r="U451" s="30"/>
      <c r="V451" s="30"/>
      <c r="W451" s="30"/>
      <c r="X451" s="30"/>
      <c r="Y451" s="30"/>
      <c r="Z451" s="30"/>
      <c r="AA451" s="30"/>
      <c r="AB451" s="30"/>
      <c r="AC451" s="30"/>
      <c r="AD451" s="30"/>
      <c r="AE451" s="30"/>
      <c r="AF451" s="30"/>
    </row>
    <row r="452" ht="15.75" customHeight="1">
      <c r="A452" s="94" t="s">
        <v>3642</v>
      </c>
      <c r="B452" s="95">
        <v>4.0</v>
      </c>
      <c r="C452" s="28" t="s">
        <v>3679</v>
      </c>
      <c r="D452" s="28" t="s">
        <v>3680</v>
      </c>
      <c r="E452" s="28" t="s">
        <v>3681</v>
      </c>
      <c r="F452" s="27"/>
      <c r="G452" s="27"/>
      <c r="H452" s="30"/>
      <c r="I452" s="30"/>
      <c r="J452" s="30"/>
      <c r="K452" s="30"/>
      <c r="L452" s="30"/>
      <c r="M452" s="30"/>
      <c r="N452" s="30"/>
      <c r="O452" s="30"/>
      <c r="P452" s="30"/>
      <c r="Q452" s="30"/>
      <c r="R452" s="30"/>
      <c r="S452" s="30"/>
      <c r="T452" s="30"/>
      <c r="U452" s="30"/>
      <c r="V452" s="30"/>
      <c r="W452" s="30"/>
      <c r="X452" s="30"/>
      <c r="Y452" s="30"/>
      <c r="Z452" s="30"/>
      <c r="AA452" s="30"/>
      <c r="AB452" s="30"/>
      <c r="AC452" s="30"/>
      <c r="AD452" s="30"/>
      <c r="AE452" s="30"/>
      <c r="AF452" s="30"/>
    </row>
    <row r="453" ht="15.75" customHeight="1">
      <c r="A453" s="77" t="s">
        <v>3642</v>
      </c>
      <c r="B453" s="111">
        <v>5.0</v>
      </c>
      <c r="C453" s="42" t="s">
        <v>3691</v>
      </c>
      <c r="D453" s="42" t="s">
        <v>3693</v>
      </c>
      <c r="E453" s="42" t="s">
        <v>3695</v>
      </c>
      <c r="F453" s="41"/>
      <c r="G453" s="41"/>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row>
    <row r="454" ht="15.75" customHeight="1">
      <c r="A454" s="77"/>
      <c r="B454" s="42"/>
      <c r="C454" s="42"/>
      <c r="D454" s="42"/>
      <c r="E454" s="42"/>
      <c r="F454" s="41"/>
      <c r="G454" s="41"/>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row>
    <row r="455" ht="15.75" customHeight="1">
      <c r="A455" s="94" t="s">
        <v>3710</v>
      </c>
      <c r="B455" s="95">
        <v>1.0</v>
      </c>
      <c r="C455" s="28" t="s">
        <v>3713</v>
      </c>
      <c r="D455" s="28" t="s">
        <v>3714</v>
      </c>
      <c r="E455" s="96" t="s">
        <v>3715</v>
      </c>
      <c r="F455" s="27"/>
      <c r="G455" s="27"/>
      <c r="H455" s="30"/>
      <c r="I455" s="30"/>
      <c r="J455" s="30"/>
      <c r="K455" s="30"/>
      <c r="L455" s="30"/>
      <c r="M455" s="30"/>
      <c r="N455" s="30"/>
      <c r="O455" s="30"/>
      <c r="P455" s="30"/>
      <c r="Q455" s="30"/>
      <c r="R455" s="30"/>
      <c r="S455" s="30"/>
      <c r="T455" s="30"/>
      <c r="U455" s="30"/>
      <c r="V455" s="30"/>
      <c r="W455" s="30"/>
      <c r="X455" s="30"/>
      <c r="Y455" s="30"/>
      <c r="Z455" s="30"/>
      <c r="AA455" s="30"/>
      <c r="AB455" s="30"/>
      <c r="AC455" s="30"/>
      <c r="AD455" s="30"/>
      <c r="AE455" s="30"/>
      <c r="AF455" s="30"/>
    </row>
    <row r="456" ht="15.75" customHeight="1">
      <c r="A456" s="94" t="s">
        <v>3710</v>
      </c>
      <c r="B456" s="95">
        <v>2.0</v>
      </c>
      <c r="C456" s="28" t="s">
        <v>3719</v>
      </c>
      <c r="D456" s="28" t="s">
        <v>3720</v>
      </c>
      <c r="E456" s="28" t="s">
        <v>3721</v>
      </c>
      <c r="F456" s="27"/>
      <c r="G456" s="27"/>
      <c r="H456" s="30"/>
      <c r="I456" s="30"/>
      <c r="J456" s="30"/>
      <c r="K456" s="30"/>
      <c r="L456" s="30"/>
      <c r="M456" s="30"/>
      <c r="N456" s="30"/>
      <c r="O456" s="30"/>
      <c r="P456" s="30"/>
      <c r="Q456" s="30"/>
      <c r="R456" s="30"/>
      <c r="S456" s="30"/>
      <c r="T456" s="30"/>
      <c r="U456" s="30"/>
      <c r="V456" s="30"/>
      <c r="W456" s="30"/>
      <c r="X456" s="30"/>
      <c r="Y456" s="30"/>
      <c r="Z456" s="30"/>
      <c r="AA456" s="30"/>
      <c r="AB456" s="30"/>
      <c r="AC456" s="30"/>
      <c r="AD456" s="30"/>
      <c r="AE456" s="30"/>
      <c r="AF456" s="30"/>
    </row>
    <row r="457" ht="15.75" customHeight="1">
      <c r="A457" s="94" t="s">
        <v>3710</v>
      </c>
      <c r="B457" s="95">
        <v>3.0</v>
      </c>
      <c r="C457" s="28" t="s">
        <v>3728</v>
      </c>
      <c r="D457" s="28" t="s">
        <v>3730</v>
      </c>
      <c r="E457" s="96" t="s">
        <v>3731</v>
      </c>
      <c r="F457" s="27"/>
      <c r="G457" s="27"/>
      <c r="H457" s="30"/>
      <c r="I457" s="30"/>
      <c r="J457" s="30"/>
      <c r="K457" s="30"/>
      <c r="L457" s="30"/>
      <c r="M457" s="30"/>
      <c r="N457" s="30"/>
      <c r="O457" s="30"/>
      <c r="P457" s="30"/>
      <c r="Q457" s="30"/>
      <c r="R457" s="30"/>
      <c r="S457" s="30"/>
      <c r="T457" s="30"/>
      <c r="U457" s="30"/>
      <c r="V457" s="30"/>
      <c r="W457" s="30"/>
      <c r="X457" s="30"/>
      <c r="Y457" s="30"/>
      <c r="Z457" s="30"/>
      <c r="AA457" s="30"/>
      <c r="AB457" s="30"/>
      <c r="AC457" s="30"/>
      <c r="AD457" s="30"/>
      <c r="AE457" s="30"/>
      <c r="AF457" s="30"/>
    </row>
    <row r="458" ht="15.75" customHeight="1">
      <c r="A458" s="94" t="s">
        <v>3710</v>
      </c>
      <c r="B458" s="95">
        <v>4.0</v>
      </c>
      <c r="C458" s="28" t="s">
        <v>3736</v>
      </c>
      <c r="D458" s="28" t="s">
        <v>3737</v>
      </c>
      <c r="E458" s="28" t="s">
        <v>3739</v>
      </c>
      <c r="F458" s="27"/>
      <c r="G458" s="27"/>
      <c r="H458" s="30"/>
      <c r="I458" s="30"/>
      <c r="J458" s="30"/>
      <c r="K458" s="30"/>
      <c r="L458" s="30"/>
      <c r="M458" s="30"/>
      <c r="N458" s="30"/>
      <c r="O458" s="30"/>
      <c r="P458" s="30"/>
      <c r="Q458" s="30"/>
      <c r="R458" s="30"/>
      <c r="S458" s="30"/>
      <c r="T458" s="30"/>
      <c r="U458" s="30"/>
      <c r="V458" s="30"/>
      <c r="W458" s="30"/>
      <c r="X458" s="30"/>
      <c r="Y458" s="30"/>
      <c r="Z458" s="30"/>
      <c r="AA458" s="30"/>
      <c r="AB458" s="30"/>
      <c r="AC458" s="30"/>
      <c r="AD458" s="30"/>
      <c r="AE458" s="30"/>
      <c r="AF458" s="30"/>
    </row>
    <row r="459" ht="15.75" customHeight="1">
      <c r="A459" s="77" t="s">
        <v>3710</v>
      </c>
      <c r="B459" s="111">
        <v>5.0</v>
      </c>
      <c r="C459" s="42" t="s">
        <v>3750</v>
      </c>
      <c r="D459" s="42" t="s">
        <v>3751</v>
      </c>
      <c r="E459" s="42" t="s">
        <v>3752</v>
      </c>
      <c r="F459" s="41"/>
      <c r="G459" s="41"/>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row>
    <row r="460" ht="15.75" customHeight="1">
      <c r="A460" s="114"/>
      <c r="B460" s="115"/>
      <c r="C460" s="114"/>
      <c r="D460" s="114"/>
      <c r="E460" s="210"/>
      <c r="F460" s="30"/>
      <c r="G460" s="30"/>
      <c r="H460" s="30"/>
      <c r="I460" s="30"/>
      <c r="J460" s="30"/>
      <c r="K460" s="30"/>
      <c r="L460" s="30"/>
      <c r="M460" s="30"/>
      <c r="N460" s="30"/>
      <c r="O460" s="30"/>
      <c r="P460" s="30"/>
      <c r="Q460" s="30"/>
      <c r="R460" s="30"/>
      <c r="S460" s="30"/>
      <c r="T460" s="30"/>
      <c r="U460" s="30"/>
      <c r="V460" s="30"/>
      <c r="W460" s="30"/>
      <c r="X460" s="30"/>
      <c r="Y460" s="30"/>
      <c r="Z460" s="30"/>
      <c r="AA460" s="30"/>
      <c r="AB460" s="30"/>
      <c r="AC460" s="30"/>
      <c r="AD460" s="30"/>
      <c r="AE460" s="30"/>
      <c r="AF460" s="30"/>
    </row>
    <row r="461" ht="15.75" customHeight="1">
      <c r="A461" s="123" t="s">
        <v>3761</v>
      </c>
      <c r="B461" s="126">
        <v>1.0</v>
      </c>
      <c r="C461" s="136" t="s">
        <v>3762</v>
      </c>
      <c r="D461" s="136" t="s">
        <v>3763</v>
      </c>
      <c r="E461" s="213" t="s">
        <v>3764</v>
      </c>
      <c r="F461" s="133"/>
      <c r="G461" s="133"/>
      <c r="H461" s="49"/>
      <c r="I461" s="49"/>
      <c r="J461" s="49"/>
      <c r="K461" s="49"/>
      <c r="L461" s="49"/>
      <c r="M461" s="49"/>
      <c r="N461" s="49"/>
      <c r="O461" s="49"/>
      <c r="P461" s="49"/>
      <c r="Q461" s="49"/>
      <c r="R461" s="49"/>
      <c r="S461" s="49"/>
      <c r="T461" s="49"/>
      <c r="U461" s="49"/>
      <c r="V461" s="49"/>
      <c r="W461" s="49"/>
      <c r="X461" s="49"/>
      <c r="Y461" s="49"/>
      <c r="Z461" s="49"/>
      <c r="AA461" s="49"/>
      <c r="AB461" s="49"/>
      <c r="AC461" s="49"/>
      <c r="AD461" s="49"/>
      <c r="AE461" s="49"/>
      <c r="AF461" s="49"/>
    </row>
    <row r="462" ht="15.75" customHeight="1">
      <c r="A462" s="94" t="s">
        <v>3761</v>
      </c>
      <c r="B462" s="95">
        <v>2.0</v>
      </c>
      <c r="C462" s="28" t="s">
        <v>3770</v>
      </c>
      <c r="D462" s="28" t="s">
        <v>3771</v>
      </c>
      <c r="E462" s="96" t="s">
        <v>3772</v>
      </c>
      <c r="F462" s="27"/>
      <c r="G462" s="27"/>
      <c r="H462" s="30"/>
      <c r="I462" s="30"/>
      <c r="J462" s="30"/>
      <c r="K462" s="30"/>
      <c r="L462" s="30"/>
      <c r="M462" s="30"/>
      <c r="N462" s="30"/>
      <c r="O462" s="30"/>
      <c r="P462" s="30"/>
      <c r="Q462" s="30"/>
      <c r="R462" s="30"/>
      <c r="S462" s="30"/>
      <c r="T462" s="30"/>
      <c r="U462" s="30"/>
      <c r="V462" s="30"/>
      <c r="W462" s="30"/>
      <c r="X462" s="30"/>
      <c r="Y462" s="30"/>
      <c r="Z462" s="30"/>
      <c r="AA462" s="30"/>
      <c r="AB462" s="30"/>
      <c r="AC462" s="30"/>
      <c r="AD462" s="30"/>
      <c r="AE462" s="30"/>
      <c r="AF462" s="30"/>
    </row>
    <row r="463" ht="15.75" customHeight="1">
      <c r="A463" s="94" t="s">
        <v>3761</v>
      </c>
      <c r="B463" s="95">
        <v>3.0</v>
      </c>
      <c r="C463" s="28" t="s">
        <v>3781</v>
      </c>
      <c r="D463" s="28" t="s">
        <v>3782</v>
      </c>
      <c r="E463" s="28" t="s">
        <v>3783</v>
      </c>
      <c r="F463" s="27"/>
      <c r="G463" s="27"/>
      <c r="H463" s="30"/>
      <c r="I463" s="30"/>
      <c r="J463" s="30"/>
      <c r="K463" s="30"/>
      <c r="L463" s="30"/>
      <c r="M463" s="30"/>
      <c r="N463" s="30"/>
      <c r="O463" s="30"/>
      <c r="P463" s="30"/>
      <c r="Q463" s="30"/>
      <c r="R463" s="30"/>
      <c r="S463" s="30"/>
      <c r="T463" s="30"/>
      <c r="U463" s="30"/>
      <c r="V463" s="30"/>
      <c r="W463" s="30"/>
      <c r="X463" s="30"/>
      <c r="Y463" s="30"/>
      <c r="Z463" s="30"/>
      <c r="AA463" s="30"/>
      <c r="AB463" s="30"/>
      <c r="AC463" s="30"/>
      <c r="AD463" s="30"/>
      <c r="AE463" s="30"/>
      <c r="AF463" s="30"/>
    </row>
    <row r="464" ht="15.75" customHeight="1">
      <c r="A464" s="77" t="s">
        <v>3761</v>
      </c>
      <c r="B464" s="111">
        <v>4.0</v>
      </c>
      <c r="C464" s="42" t="s">
        <v>3792</v>
      </c>
      <c r="D464" s="42" t="s">
        <v>3793</v>
      </c>
      <c r="E464" s="42" t="s">
        <v>3794</v>
      </c>
      <c r="F464" s="41"/>
      <c r="G464" s="41"/>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row>
    <row r="465" ht="15.75" customHeight="1">
      <c r="A465" s="114"/>
      <c r="B465" s="115"/>
      <c r="C465" s="114"/>
      <c r="D465" s="114"/>
      <c r="E465" s="210"/>
      <c r="F465" s="30"/>
      <c r="G465" s="30"/>
      <c r="H465" s="30"/>
      <c r="I465" s="30"/>
      <c r="J465" s="30"/>
      <c r="K465" s="30"/>
      <c r="L465" s="30"/>
      <c r="M465" s="30"/>
      <c r="N465" s="30"/>
      <c r="O465" s="30"/>
      <c r="P465" s="30"/>
      <c r="Q465" s="30"/>
      <c r="R465" s="30"/>
      <c r="S465" s="30"/>
      <c r="T465" s="30"/>
      <c r="U465" s="30"/>
      <c r="V465" s="30"/>
      <c r="W465" s="30"/>
      <c r="X465" s="30"/>
      <c r="Y465" s="30"/>
      <c r="Z465" s="30"/>
      <c r="AA465" s="30"/>
      <c r="AB465" s="30"/>
      <c r="AC465" s="30"/>
      <c r="AD465" s="30"/>
      <c r="AE465" s="30"/>
      <c r="AF465" s="30"/>
    </row>
    <row r="466" ht="15.75" customHeight="1">
      <c r="A466" s="123" t="s">
        <v>3811</v>
      </c>
      <c r="B466" s="126">
        <v>1.0</v>
      </c>
      <c r="C466" s="136" t="s">
        <v>3813</v>
      </c>
      <c r="D466" s="136" t="s">
        <v>3816</v>
      </c>
      <c r="E466" s="213" t="s">
        <v>3817</v>
      </c>
      <c r="F466" s="133"/>
      <c r="G466" s="133"/>
      <c r="H466" s="49"/>
      <c r="I466" s="49"/>
      <c r="J466" s="49"/>
      <c r="K466" s="49"/>
      <c r="L466" s="49"/>
      <c r="M466" s="49"/>
      <c r="N466" s="49"/>
      <c r="O466" s="49"/>
      <c r="P466" s="49"/>
      <c r="Q466" s="49"/>
      <c r="R466" s="49"/>
      <c r="S466" s="49"/>
      <c r="T466" s="49"/>
      <c r="U466" s="49"/>
      <c r="V466" s="49"/>
      <c r="W466" s="49"/>
      <c r="X466" s="49"/>
      <c r="Y466" s="49"/>
      <c r="Z466" s="49"/>
      <c r="AA466" s="49"/>
      <c r="AB466" s="49"/>
      <c r="AC466" s="49"/>
      <c r="AD466" s="49"/>
      <c r="AE466" s="49"/>
      <c r="AF466" s="49"/>
    </row>
    <row r="467" ht="15.75" customHeight="1">
      <c r="A467" s="94" t="s">
        <v>3811</v>
      </c>
      <c r="B467" s="95">
        <v>2.0</v>
      </c>
      <c r="C467" s="28" t="s">
        <v>3829</v>
      </c>
      <c r="D467" s="28" t="s">
        <v>3830</v>
      </c>
      <c r="E467" s="96" t="s">
        <v>3831</v>
      </c>
      <c r="F467" s="27"/>
      <c r="G467" s="27"/>
      <c r="H467" s="30"/>
      <c r="I467" s="30"/>
      <c r="J467" s="30"/>
      <c r="K467" s="30"/>
      <c r="L467" s="30"/>
      <c r="M467" s="30"/>
      <c r="N467" s="30"/>
      <c r="O467" s="30"/>
      <c r="P467" s="30"/>
      <c r="Q467" s="30"/>
      <c r="R467" s="30"/>
      <c r="S467" s="30"/>
      <c r="T467" s="30"/>
      <c r="U467" s="30"/>
      <c r="V467" s="30"/>
      <c r="W467" s="30"/>
      <c r="X467" s="30"/>
      <c r="Y467" s="30"/>
      <c r="Z467" s="30"/>
      <c r="AA467" s="30"/>
      <c r="AB467" s="30"/>
      <c r="AC467" s="30"/>
      <c r="AD467" s="30"/>
      <c r="AE467" s="30"/>
      <c r="AF467" s="30"/>
    </row>
    <row r="468" ht="15.75" customHeight="1">
      <c r="A468" s="94" t="s">
        <v>3811</v>
      </c>
      <c r="B468" s="95">
        <v>3.0</v>
      </c>
      <c r="C468" s="28" t="s">
        <v>3838</v>
      </c>
      <c r="D468" s="28" t="s">
        <v>3840</v>
      </c>
      <c r="E468" s="96" t="s">
        <v>3841</v>
      </c>
      <c r="F468" s="27"/>
      <c r="G468" s="27"/>
      <c r="H468" s="30"/>
      <c r="I468" s="30"/>
      <c r="J468" s="30"/>
      <c r="K468" s="30"/>
      <c r="L468" s="30"/>
      <c r="M468" s="30"/>
      <c r="N468" s="30"/>
      <c r="O468" s="30"/>
      <c r="P468" s="30"/>
      <c r="Q468" s="30"/>
      <c r="R468" s="30"/>
      <c r="S468" s="30"/>
      <c r="T468" s="30"/>
      <c r="U468" s="30"/>
      <c r="V468" s="30"/>
      <c r="W468" s="30"/>
      <c r="X468" s="30"/>
      <c r="Y468" s="30"/>
      <c r="Z468" s="30"/>
      <c r="AA468" s="30"/>
      <c r="AB468" s="30"/>
      <c r="AC468" s="30"/>
      <c r="AD468" s="30"/>
      <c r="AE468" s="30"/>
      <c r="AF468" s="30"/>
    </row>
    <row r="469" ht="15.75" customHeight="1">
      <c r="A469" s="77" t="s">
        <v>3811</v>
      </c>
      <c r="B469" s="111">
        <v>4.0</v>
      </c>
      <c r="C469" s="42" t="s">
        <v>3846</v>
      </c>
      <c r="D469" s="42" t="s">
        <v>3848</v>
      </c>
      <c r="E469" s="82" t="s">
        <v>3841</v>
      </c>
      <c r="F469" s="41"/>
      <c r="G469" s="41"/>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row>
    <row r="470" ht="15.75" customHeight="1">
      <c r="A470" s="77"/>
      <c r="B470" s="42"/>
      <c r="C470" s="42"/>
      <c r="D470" s="42"/>
      <c r="E470" s="42"/>
      <c r="F470" s="41"/>
      <c r="G470" s="41"/>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row>
    <row r="471" ht="15.75" customHeight="1">
      <c r="A471" s="94" t="s">
        <v>3865</v>
      </c>
      <c r="B471" s="95">
        <v>1.0</v>
      </c>
      <c r="C471" s="28" t="s">
        <v>3867</v>
      </c>
      <c r="D471" s="28" t="s">
        <v>3870</v>
      </c>
      <c r="E471" s="28" t="s">
        <v>3871</v>
      </c>
      <c r="F471" s="27"/>
      <c r="G471" s="27"/>
      <c r="H471" s="30"/>
      <c r="I471" s="30"/>
      <c r="J471" s="30"/>
      <c r="K471" s="30"/>
      <c r="L471" s="30"/>
      <c r="M471" s="30"/>
      <c r="N471" s="30"/>
      <c r="O471" s="30"/>
      <c r="P471" s="30"/>
      <c r="Q471" s="30"/>
      <c r="R471" s="30"/>
      <c r="S471" s="30"/>
      <c r="T471" s="30"/>
      <c r="U471" s="30"/>
      <c r="V471" s="30"/>
      <c r="W471" s="30"/>
      <c r="X471" s="30"/>
      <c r="Y471" s="30"/>
      <c r="Z471" s="30"/>
      <c r="AA471" s="30"/>
      <c r="AB471" s="30"/>
      <c r="AC471" s="30"/>
      <c r="AD471" s="30"/>
      <c r="AE471" s="30"/>
      <c r="AF471" s="30"/>
    </row>
    <row r="472" ht="15.75" customHeight="1">
      <c r="A472" s="94" t="s">
        <v>3865</v>
      </c>
      <c r="B472" s="95">
        <v>2.0</v>
      </c>
      <c r="C472" s="28" t="s">
        <v>3878</v>
      </c>
      <c r="D472" s="28" t="s">
        <v>3879</v>
      </c>
      <c r="E472" s="28" t="s">
        <v>3881</v>
      </c>
      <c r="F472" s="27"/>
      <c r="G472" s="27"/>
      <c r="H472" s="30"/>
      <c r="I472" s="30"/>
      <c r="J472" s="30"/>
      <c r="K472" s="30"/>
      <c r="L472" s="30"/>
      <c r="M472" s="30"/>
      <c r="N472" s="30"/>
      <c r="O472" s="30"/>
      <c r="P472" s="30"/>
      <c r="Q472" s="30"/>
      <c r="R472" s="30"/>
      <c r="S472" s="30"/>
      <c r="T472" s="30"/>
      <c r="U472" s="30"/>
      <c r="V472" s="30"/>
      <c r="W472" s="30"/>
      <c r="X472" s="30"/>
      <c r="Y472" s="30"/>
      <c r="Z472" s="30"/>
      <c r="AA472" s="30"/>
      <c r="AB472" s="30"/>
      <c r="AC472" s="30"/>
      <c r="AD472" s="30"/>
      <c r="AE472" s="30"/>
      <c r="AF472" s="30"/>
    </row>
    <row r="473" ht="15.75" customHeight="1">
      <c r="A473" s="77" t="s">
        <v>3865</v>
      </c>
      <c r="B473" s="111">
        <v>3.0</v>
      </c>
      <c r="C473" s="42" t="s">
        <v>3885</v>
      </c>
      <c r="D473" s="42" t="s">
        <v>3886</v>
      </c>
      <c r="E473" s="42" t="s">
        <v>3887</v>
      </c>
      <c r="F473" s="41"/>
      <c r="G473" s="41"/>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row>
    <row r="474" ht="15.75" customHeight="1">
      <c r="A474" s="77"/>
      <c r="B474" s="42"/>
      <c r="C474" s="42"/>
      <c r="D474" s="42"/>
      <c r="E474" s="42"/>
      <c r="F474" s="41"/>
      <c r="G474" s="41"/>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row>
    <row r="475" ht="15.75" customHeight="1">
      <c r="A475" s="94" t="s">
        <v>3900</v>
      </c>
      <c r="B475" s="95">
        <v>1.0</v>
      </c>
      <c r="C475" s="28" t="s">
        <v>3901</v>
      </c>
      <c r="D475" s="28" t="s">
        <v>3904</v>
      </c>
      <c r="E475" s="96" t="s">
        <v>3906</v>
      </c>
      <c r="F475" s="27"/>
      <c r="G475" s="27"/>
      <c r="H475" s="30"/>
      <c r="I475" s="30"/>
      <c r="J475" s="30"/>
      <c r="K475" s="30"/>
      <c r="L475" s="30"/>
      <c r="M475" s="30"/>
      <c r="N475" s="30"/>
      <c r="O475" s="30"/>
      <c r="P475" s="30"/>
      <c r="Q475" s="30"/>
      <c r="R475" s="30"/>
      <c r="S475" s="30"/>
      <c r="T475" s="30"/>
      <c r="U475" s="30"/>
      <c r="V475" s="30"/>
      <c r="W475" s="30"/>
      <c r="X475" s="30"/>
      <c r="Y475" s="30"/>
      <c r="Z475" s="30"/>
      <c r="AA475" s="30"/>
      <c r="AB475" s="30"/>
      <c r="AC475" s="30"/>
      <c r="AD475" s="30"/>
      <c r="AE475" s="30"/>
      <c r="AF475" s="30"/>
    </row>
    <row r="476" ht="15.75" customHeight="1">
      <c r="A476" s="77" t="s">
        <v>3900</v>
      </c>
      <c r="B476" s="111">
        <v>2.0</v>
      </c>
      <c r="C476" s="42" t="s">
        <v>3913</v>
      </c>
      <c r="D476" s="42" t="s">
        <v>3914</v>
      </c>
      <c r="E476" s="82" t="s">
        <v>3915</v>
      </c>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row>
    <row r="477" ht="15.75" customHeight="1">
      <c r="A477" s="77"/>
      <c r="B477" s="42"/>
      <c r="C477" s="42"/>
      <c r="D477" s="42"/>
      <c r="E477" s="42"/>
      <c r="F477" s="41"/>
      <c r="G477" s="41"/>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row>
    <row r="478" ht="15.75" customHeight="1">
      <c r="A478" s="94" t="s">
        <v>3931</v>
      </c>
      <c r="B478" s="95">
        <v>1.0</v>
      </c>
      <c r="C478" s="28" t="s">
        <v>3932</v>
      </c>
      <c r="D478" s="28" t="s">
        <v>3933</v>
      </c>
      <c r="E478" s="96" t="s">
        <v>3934</v>
      </c>
      <c r="F478" s="191"/>
      <c r="G478" s="191"/>
      <c r="H478" s="30"/>
      <c r="I478" s="30"/>
      <c r="J478" s="30"/>
      <c r="K478" s="30"/>
      <c r="L478" s="30"/>
      <c r="M478" s="30"/>
      <c r="N478" s="30"/>
      <c r="O478" s="30"/>
      <c r="P478" s="30"/>
      <c r="Q478" s="30"/>
      <c r="R478" s="30"/>
      <c r="S478" s="30"/>
      <c r="T478" s="30"/>
      <c r="U478" s="30"/>
      <c r="V478" s="30"/>
      <c r="W478" s="30"/>
      <c r="X478" s="30"/>
      <c r="Y478" s="30"/>
      <c r="Z478" s="30"/>
      <c r="AA478" s="30"/>
      <c r="AB478" s="30"/>
      <c r="AC478" s="30"/>
      <c r="AD478" s="30"/>
      <c r="AE478" s="30"/>
      <c r="AF478" s="30"/>
    </row>
    <row r="479" ht="15.75" customHeight="1">
      <c r="A479" s="94" t="s">
        <v>3931</v>
      </c>
      <c r="B479" s="95">
        <v>2.0</v>
      </c>
      <c r="C479" s="28" t="s">
        <v>3938</v>
      </c>
      <c r="D479" s="28" t="s">
        <v>3939</v>
      </c>
      <c r="E479" s="96" t="s">
        <v>3940</v>
      </c>
      <c r="F479" s="191"/>
      <c r="G479" s="191"/>
      <c r="H479" s="30"/>
      <c r="I479" s="30"/>
      <c r="J479" s="30"/>
      <c r="K479" s="30"/>
      <c r="L479" s="30"/>
      <c r="M479" s="30"/>
      <c r="N479" s="30"/>
      <c r="O479" s="30"/>
      <c r="P479" s="30"/>
      <c r="Q479" s="30"/>
      <c r="R479" s="30"/>
      <c r="S479" s="30"/>
      <c r="T479" s="30"/>
      <c r="U479" s="30"/>
      <c r="V479" s="30"/>
      <c r="W479" s="30"/>
      <c r="X479" s="30"/>
      <c r="Y479" s="30"/>
      <c r="Z479" s="30"/>
      <c r="AA479" s="30"/>
      <c r="AB479" s="30"/>
      <c r="AC479" s="30"/>
      <c r="AD479" s="30"/>
      <c r="AE479" s="30"/>
      <c r="AF479" s="30"/>
    </row>
    <row r="480" ht="15.75" customHeight="1">
      <c r="A480" s="77" t="s">
        <v>3931</v>
      </c>
      <c r="B480" s="111">
        <v>3.0</v>
      </c>
      <c r="C480" s="42" t="s">
        <v>3947</v>
      </c>
      <c r="D480" s="42" t="s">
        <v>3948</v>
      </c>
      <c r="E480" s="82" t="s">
        <v>3950</v>
      </c>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row>
    <row r="481" ht="15.75" customHeight="1">
      <c r="A481" s="77"/>
      <c r="B481" s="42"/>
      <c r="C481" s="42"/>
      <c r="D481" s="42"/>
      <c r="E481" s="42"/>
      <c r="F481" s="41"/>
      <c r="G481" s="41"/>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row>
    <row r="482" ht="15.75" customHeight="1">
      <c r="A482" s="94" t="s">
        <v>3966</v>
      </c>
      <c r="B482" s="95">
        <v>1.0</v>
      </c>
      <c r="C482" s="28" t="s">
        <v>3967</v>
      </c>
      <c r="D482" s="28" t="s">
        <v>3968</v>
      </c>
      <c r="E482" s="96" t="s">
        <v>3969</v>
      </c>
      <c r="F482" s="191"/>
      <c r="G482" s="191"/>
      <c r="H482" s="30"/>
      <c r="I482" s="30"/>
      <c r="J482" s="30"/>
      <c r="K482" s="30"/>
      <c r="L482" s="30"/>
      <c r="M482" s="30"/>
      <c r="N482" s="30"/>
      <c r="O482" s="30"/>
      <c r="P482" s="30"/>
      <c r="Q482" s="30"/>
      <c r="R482" s="30"/>
      <c r="S482" s="30"/>
      <c r="T482" s="30"/>
      <c r="U482" s="30"/>
      <c r="V482" s="30"/>
      <c r="W482" s="30"/>
      <c r="X482" s="30"/>
      <c r="Y482" s="30"/>
      <c r="Z482" s="30"/>
      <c r="AA482" s="30"/>
      <c r="AB482" s="30"/>
      <c r="AC482" s="30"/>
      <c r="AD482" s="30"/>
      <c r="AE482" s="30"/>
      <c r="AF482" s="30"/>
    </row>
    <row r="483" ht="15.75" customHeight="1">
      <c r="A483" s="94" t="s">
        <v>3966</v>
      </c>
      <c r="B483" s="95">
        <v>2.0</v>
      </c>
      <c r="C483" s="28" t="s">
        <v>3976</v>
      </c>
      <c r="D483" s="28" t="s">
        <v>3977</v>
      </c>
      <c r="E483" s="96" t="s">
        <v>3978</v>
      </c>
      <c r="F483" s="191"/>
      <c r="G483" s="191"/>
      <c r="H483" s="30"/>
      <c r="I483" s="30"/>
      <c r="J483" s="30"/>
      <c r="K483" s="30"/>
      <c r="L483" s="30"/>
      <c r="M483" s="30"/>
      <c r="N483" s="30"/>
      <c r="O483" s="30"/>
      <c r="P483" s="30"/>
      <c r="Q483" s="30"/>
      <c r="R483" s="30"/>
      <c r="S483" s="30"/>
      <c r="T483" s="30"/>
      <c r="U483" s="30"/>
      <c r="V483" s="30"/>
      <c r="W483" s="30"/>
      <c r="X483" s="30"/>
      <c r="Y483" s="30"/>
      <c r="Z483" s="30"/>
      <c r="AA483" s="30"/>
      <c r="AB483" s="30"/>
      <c r="AC483" s="30"/>
      <c r="AD483" s="30"/>
      <c r="AE483" s="30"/>
      <c r="AF483" s="30"/>
    </row>
    <row r="484" ht="15.75" customHeight="1">
      <c r="A484" s="77" t="s">
        <v>3966</v>
      </c>
      <c r="B484" s="111">
        <v>3.0</v>
      </c>
      <c r="C484" s="42" t="s">
        <v>3987</v>
      </c>
      <c r="D484" s="42" t="s">
        <v>3988</v>
      </c>
      <c r="E484" s="82" t="s">
        <v>3989</v>
      </c>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row>
    <row r="485" ht="15.75" customHeight="1">
      <c r="A485" s="77"/>
      <c r="B485" s="42"/>
      <c r="C485" s="42"/>
      <c r="D485" s="42"/>
      <c r="E485" s="42"/>
      <c r="F485" s="41"/>
      <c r="G485" s="41"/>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row>
    <row r="486" ht="15.75" customHeight="1">
      <c r="A486" s="94" t="s">
        <v>4006</v>
      </c>
      <c r="B486" s="95">
        <v>1.0</v>
      </c>
      <c r="C486" s="28" t="s">
        <v>4007</v>
      </c>
      <c r="D486" s="28" t="s">
        <v>4008</v>
      </c>
      <c r="E486" s="96" t="s">
        <v>4009</v>
      </c>
      <c r="F486" s="191"/>
      <c r="G486" s="27"/>
      <c r="H486" s="30"/>
      <c r="I486" s="30"/>
      <c r="J486" s="30"/>
      <c r="K486" s="30"/>
      <c r="L486" s="30"/>
      <c r="M486" s="30"/>
      <c r="N486" s="30"/>
      <c r="O486" s="30"/>
      <c r="P486" s="30"/>
      <c r="Q486" s="30"/>
      <c r="R486" s="30"/>
      <c r="S486" s="30"/>
      <c r="T486" s="30"/>
      <c r="U486" s="30"/>
      <c r="V486" s="30"/>
      <c r="W486" s="30"/>
      <c r="X486" s="30"/>
      <c r="Y486" s="30"/>
      <c r="Z486" s="30"/>
      <c r="AA486" s="30"/>
      <c r="AB486" s="30"/>
      <c r="AC486" s="30"/>
      <c r="AD486" s="30"/>
      <c r="AE486" s="30"/>
      <c r="AF486" s="30"/>
    </row>
    <row r="487" ht="15.75" customHeight="1">
      <c r="A487" s="94" t="s">
        <v>4006</v>
      </c>
      <c r="B487" s="95">
        <v>2.0</v>
      </c>
      <c r="C487" s="28" t="s">
        <v>4016</v>
      </c>
      <c r="D487" s="28" t="s">
        <v>4017</v>
      </c>
      <c r="E487" s="96" t="s">
        <v>4018</v>
      </c>
      <c r="F487" s="27"/>
      <c r="G487" s="27"/>
      <c r="H487" s="30"/>
      <c r="I487" s="30"/>
      <c r="J487" s="30"/>
      <c r="K487" s="30"/>
      <c r="L487" s="30"/>
      <c r="M487" s="30"/>
      <c r="N487" s="30"/>
      <c r="O487" s="30"/>
      <c r="P487" s="30"/>
      <c r="Q487" s="30"/>
      <c r="R487" s="30"/>
      <c r="S487" s="30"/>
      <c r="T487" s="30"/>
      <c r="U487" s="30"/>
      <c r="V487" s="30"/>
      <c r="W487" s="30"/>
      <c r="X487" s="30"/>
      <c r="Y487" s="30"/>
      <c r="Z487" s="30"/>
      <c r="AA487" s="30"/>
      <c r="AB487" s="30"/>
      <c r="AC487" s="30"/>
      <c r="AD487" s="30"/>
      <c r="AE487" s="30"/>
      <c r="AF487" s="30"/>
    </row>
    <row r="488" ht="15.75" customHeight="1">
      <c r="A488" s="94" t="s">
        <v>4006</v>
      </c>
      <c r="B488" s="95">
        <v>3.0</v>
      </c>
      <c r="C488" s="28" t="s">
        <v>4024</v>
      </c>
      <c r="D488" s="28" t="s">
        <v>4026</v>
      </c>
      <c r="E488" s="28" t="s">
        <v>4029</v>
      </c>
      <c r="F488" s="27"/>
      <c r="G488" s="27"/>
      <c r="H488" s="30"/>
      <c r="I488" s="30"/>
      <c r="J488" s="30"/>
      <c r="K488" s="30"/>
      <c r="L488" s="30"/>
      <c r="M488" s="30"/>
      <c r="N488" s="30"/>
      <c r="O488" s="30"/>
      <c r="P488" s="30"/>
      <c r="Q488" s="30"/>
      <c r="R488" s="30"/>
      <c r="S488" s="30"/>
      <c r="T488" s="30"/>
      <c r="U488" s="30"/>
      <c r="V488" s="30"/>
      <c r="W488" s="30"/>
      <c r="X488" s="30"/>
      <c r="Y488" s="30"/>
      <c r="Z488" s="30"/>
      <c r="AA488" s="30"/>
      <c r="AB488" s="30"/>
      <c r="AC488" s="30"/>
      <c r="AD488" s="30"/>
      <c r="AE488" s="30"/>
      <c r="AF488" s="30"/>
    </row>
    <row r="489" ht="15.75" customHeight="1">
      <c r="A489" s="94" t="s">
        <v>4006</v>
      </c>
      <c r="B489" s="95">
        <v>4.0</v>
      </c>
      <c r="C489" s="28" t="s">
        <v>4032</v>
      </c>
      <c r="D489" s="28" t="s">
        <v>4033</v>
      </c>
      <c r="E489" s="28" t="s">
        <v>4035</v>
      </c>
      <c r="F489" s="27"/>
      <c r="G489" s="27"/>
      <c r="H489" s="30"/>
      <c r="I489" s="30"/>
      <c r="J489" s="30"/>
      <c r="K489" s="30"/>
      <c r="L489" s="30"/>
      <c r="M489" s="30"/>
      <c r="N489" s="30"/>
      <c r="O489" s="30"/>
      <c r="P489" s="30"/>
      <c r="Q489" s="30"/>
      <c r="R489" s="30"/>
      <c r="S489" s="30"/>
      <c r="T489" s="30"/>
      <c r="U489" s="30"/>
      <c r="V489" s="30"/>
      <c r="W489" s="30"/>
      <c r="X489" s="30"/>
      <c r="Y489" s="30"/>
      <c r="Z489" s="30"/>
      <c r="AA489" s="30"/>
      <c r="AB489" s="30"/>
      <c r="AC489" s="30"/>
      <c r="AD489" s="30"/>
      <c r="AE489" s="30"/>
      <c r="AF489" s="30"/>
    </row>
    <row r="490" ht="15.75" customHeight="1">
      <c r="A490" s="77" t="s">
        <v>4006</v>
      </c>
      <c r="B490" s="111">
        <v>5.0</v>
      </c>
      <c r="C490" s="42" t="s">
        <v>4041</v>
      </c>
      <c r="D490" s="42" t="s">
        <v>4042</v>
      </c>
      <c r="E490" s="82" t="s">
        <v>4044</v>
      </c>
      <c r="F490" s="20"/>
      <c r="G490" s="41"/>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row>
    <row r="491" ht="15.75" customHeight="1">
      <c r="A491" s="77"/>
      <c r="B491" s="42"/>
      <c r="C491" s="42"/>
      <c r="D491" s="42"/>
      <c r="E491" s="42"/>
      <c r="F491" s="41"/>
      <c r="G491" s="41"/>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row>
    <row r="492" ht="15.75" customHeight="1">
      <c r="A492" s="94" t="s">
        <v>4059</v>
      </c>
      <c r="B492" s="95">
        <v>1.0</v>
      </c>
      <c r="C492" s="28" t="s">
        <v>4060</v>
      </c>
      <c r="D492" s="28" t="s">
        <v>4061</v>
      </c>
      <c r="E492" s="96" t="s">
        <v>4062</v>
      </c>
      <c r="F492" s="27"/>
      <c r="G492" s="27"/>
      <c r="H492" s="30"/>
      <c r="I492" s="30"/>
      <c r="J492" s="30"/>
      <c r="K492" s="30"/>
      <c r="L492" s="30"/>
      <c r="M492" s="30"/>
      <c r="N492" s="30"/>
      <c r="O492" s="30"/>
      <c r="P492" s="30"/>
      <c r="Q492" s="30"/>
      <c r="R492" s="30"/>
      <c r="S492" s="30"/>
      <c r="T492" s="30"/>
      <c r="U492" s="30"/>
      <c r="V492" s="30"/>
      <c r="W492" s="30"/>
      <c r="X492" s="30"/>
      <c r="Y492" s="30"/>
      <c r="Z492" s="30"/>
      <c r="AA492" s="30"/>
      <c r="AB492" s="30"/>
      <c r="AC492" s="30"/>
      <c r="AD492" s="30"/>
      <c r="AE492" s="30"/>
      <c r="AF492" s="30"/>
    </row>
    <row r="493" ht="15.75" customHeight="1">
      <c r="A493" s="94" t="s">
        <v>4059</v>
      </c>
      <c r="B493" s="95">
        <v>2.0</v>
      </c>
      <c r="C493" s="28" t="s">
        <v>4069</v>
      </c>
      <c r="D493" s="288" t="s">
        <v>4070</v>
      </c>
      <c r="E493" s="96" t="s">
        <v>4074</v>
      </c>
      <c r="F493" s="27"/>
      <c r="G493" s="27"/>
      <c r="H493" s="30"/>
      <c r="I493" s="30"/>
      <c r="J493" s="30"/>
      <c r="K493" s="30"/>
      <c r="L493" s="30"/>
      <c r="M493" s="30"/>
      <c r="N493" s="30"/>
      <c r="O493" s="30"/>
      <c r="P493" s="30"/>
      <c r="Q493" s="30"/>
      <c r="R493" s="30"/>
      <c r="S493" s="30"/>
      <c r="T493" s="30"/>
      <c r="U493" s="30"/>
      <c r="V493" s="30"/>
      <c r="W493" s="30"/>
      <c r="X493" s="30"/>
      <c r="Y493" s="30"/>
      <c r="Z493" s="30"/>
      <c r="AA493" s="30"/>
      <c r="AB493" s="30"/>
      <c r="AC493" s="30"/>
      <c r="AD493" s="30"/>
      <c r="AE493" s="30"/>
      <c r="AF493" s="30"/>
    </row>
    <row r="494" ht="15.75" customHeight="1">
      <c r="A494" s="94" t="s">
        <v>4059</v>
      </c>
      <c r="B494" s="95">
        <v>3.0</v>
      </c>
      <c r="C494" s="28" t="s">
        <v>4077</v>
      </c>
      <c r="D494" s="114" t="s">
        <v>4078</v>
      </c>
      <c r="E494" s="96" t="s">
        <v>4079</v>
      </c>
      <c r="F494" s="27"/>
      <c r="G494" s="27"/>
      <c r="H494" s="30"/>
      <c r="I494" s="30"/>
      <c r="J494" s="30"/>
      <c r="K494" s="30"/>
      <c r="L494" s="30"/>
      <c r="M494" s="30"/>
      <c r="N494" s="30"/>
      <c r="O494" s="30"/>
      <c r="P494" s="30"/>
      <c r="Q494" s="30"/>
      <c r="R494" s="30"/>
      <c r="S494" s="30"/>
      <c r="T494" s="30"/>
      <c r="U494" s="30"/>
      <c r="V494" s="30"/>
      <c r="W494" s="30"/>
      <c r="X494" s="30"/>
      <c r="Y494" s="30"/>
      <c r="Z494" s="30"/>
      <c r="AA494" s="30"/>
      <c r="AB494" s="30"/>
      <c r="AC494" s="30"/>
      <c r="AD494" s="30"/>
      <c r="AE494" s="30"/>
      <c r="AF494" s="30"/>
    </row>
    <row r="495" ht="15.75" customHeight="1">
      <c r="A495" s="94" t="s">
        <v>4059</v>
      </c>
      <c r="B495" s="95">
        <v>4.0</v>
      </c>
      <c r="C495" s="28" t="s">
        <v>4088</v>
      </c>
      <c r="D495" s="114" t="s">
        <v>4089</v>
      </c>
      <c r="E495" s="96" t="s">
        <v>4090</v>
      </c>
      <c r="F495" s="191"/>
      <c r="G495" s="191"/>
      <c r="H495" s="30"/>
      <c r="I495" s="30"/>
      <c r="J495" s="30"/>
      <c r="K495" s="30"/>
      <c r="L495" s="30"/>
      <c r="M495" s="30"/>
      <c r="N495" s="30"/>
      <c r="O495" s="30"/>
      <c r="P495" s="30"/>
      <c r="Q495" s="30"/>
      <c r="R495" s="30"/>
      <c r="S495" s="30"/>
      <c r="T495" s="30"/>
      <c r="U495" s="30"/>
      <c r="V495" s="30"/>
      <c r="W495" s="30"/>
      <c r="X495" s="30"/>
      <c r="Y495" s="30"/>
      <c r="Z495" s="30"/>
      <c r="AA495" s="30"/>
      <c r="AB495" s="30"/>
      <c r="AC495" s="30"/>
      <c r="AD495" s="30"/>
      <c r="AE495" s="30"/>
      <c r="AF495" s="30"/>
    </row>
    <row r="496" ht="15.75" customHeight="1">
      <c r="A496" s="94" t="s">
        <v>4059</v>
      </c>
      <c r="B496" s="95">
        <v>5.0</v>
      </c>
      <c r="C496" s="28" t="s">
        <v>4099</v>
      </c>
      <c r="D496" s="114" t="s">
        <v>4100</v>
      </c>
      <c r="E496" s="96" t="s">
        <v>4102</v>
      </c>
      <c r="F496" s="27"/>
      <c r="G496" s="27"/>
      <c r="H496" s="30"/>
      <c r="I496" s="30"/>
      <c r="J496" s="30"/>
      <c r="K496" s="30"/>
      <c r="L496" s="30"/>
      <c r="M496" s="30"/>
      <c r="N496" s="30"/>
      <c r="O496" s="30"/>
      <c r="P496" s="30"/>
      <c r="Q496" s="30"/>
      <c r="R496" s="30"/>
      <c r="S496" s="30"/>
      <c r="T496" s="30"/>
      <c r="U496" s="30"/>
      <c r="V496" s="30"/>
      <c r="W496" s="30"/>
      <c r="X496" s="30"/>
      <c r="Y496" s="30"/>
      <c r="Z496" s="30"/>
      <c r="AA496" s="30"/>
      <c r="AB496" s="30"/>
      <c r="AC496" s="30"/>
      <c r="AD496" s="30"/>
      <c r="AE496" s="30"/>
      <c r="AF496" s="30"/>
    </row>
    <row r="497" ht="15.75" customHeight="1">
      <c r="A497" s="77" t="s">
        <v>4059</v>
      </c>
      <c r="B497" s="111">
        <v>6.0</v>
      </c>
      <c r="C497" s="42" t="s">
        <v>4109</v>
      </c>
      <c r="D497" s="112" t="s">
        <v>4110</v>
      </c>
      <c r="E497" s="82" t="s">
        <v>4111</v>
      </c>
      <c r="F497" s="41"/>
      <c r="G497" s="41"/>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row>
    <row r="498" ht="15.75" customHeight="1">
      <c r="A498" s="77"/>
      <c r="B498" s="42"/>
      <c r="C498" s="42"/>
      <c r="D498" s="42"/>
      <c r="E498" s="42"/>
      <c r="F498" s="41"/>
      <c r="G498" s="41"/>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row>
    <row r="499" ht="15.75" customHeight="1">
      <c r="A499" s="94" t="s">
        <v>4128</v>
      </c>
      <c r="B499" s="95">
        <v>1.0</v>
      </c>
      <c r="C499" s="28" t="s">
        <v>4129</v>
      </c>
      <c r="D499" s="28" t="s">
        <v>4131</v>
      </c>
      <c r="E499" s="96" t="s">
        <v>4132</v>
      </c>
      <c r="F499" s="191"/>
      <c r="G499" s="27"/>
      <c r="H499" s="30"/>
      <c r="I499" s="30"/>
      <c r="J499" s="30"/>
      <c r="K499" s="30"/>
      <c r="L499" s="30"/>
      <c r="M499" s="30"/>
      <c r="N499" s="30"/>
      <c r="O499" s="30"/>
      <c r="P499" s="30"/>
      <c r="Q499" s="30"/>
      <c r="R499" s="30"/>
      <c r="S499" s="30"/>
      <c r="T499" s="30"/>
      <c r="U499" s="30"/>
      <c r="V499" s="30"/>
      <c r="W499" s="30"/>
      <c r="X499" s="30"/>
      <c r="Y499" s="30"/>
      <c r="Z499" s="30"/>
      <c r="AA499" s="30"/>
      <c r="AB499" s="30"/>
      <c r="AC499" s="30"/>
      <c r="AD499" s="30"/>
      <c r="AE499" s="30"/>
      <c r="AF499" s="30"/>
    </row>
    <row r="500" ht="15.75" customHeight="1">
      <c r="A500" s="94" t="s">
        <v>4128</v>
      </c>
      <c r="B500" s="95">
        <v>2.0</v>
      </c>
      <c r="C500" s="28" t="s">
        <v>4140</v>
      </c>
      <c r="D500" s="28" t="s">
        <v>4141</v>
      </c>
      <c r="E500" s="96" t="s">
        <v>4143</v>
      </c>
      <c r="F500" s="191"/>
      <c r="G500" s="27"/>
      <c r="H500" s="30"/>
      <c r="I500" s="30"/>
      <c r="J500" s="30"/>
      <c r="K500" s="30"/>
      <c r="L500" s="30"/>
      <c r="M500" s="30"/>
      <c r="N500" s="30"/>
      <c r="O500" s="30"/>
      <c r="P500" s="30"/>
      <c r="Q500" s="30"/>
      <c r="R500" s="30"/>
      <c r="S500" s="30"/>
      <c r="T500" s="30"/>
      <c r="U500" s="30"/>
      <c r="V500" s="30"/>
      <c r="W500" s="30"/>
      <c r="X500" s="30"/>
      <c r="Y500" s="30"/>
      <c r="Z500" s="30"/>
      <c r="AA500" s="30"/>
      <c r="AB500" s="30"/>
      <c r="AC500" s="30"/>
      <c r="AD500" s="30"/>
      <c r="AE500" s="30"/>
      <c r="AF500" s="30"/>
    </row>
    <row r="501" ht="15.75" customHeight="1">
      <c r="A501" s="94" t="s">
        <v>4128</v>
      </c>
      <c r="B501" s="95">
        <v>3.0</v>
      </c>
      <c r="C501" s="28" t="s">
        <v>4148</v>
      </c>
      <c r="D501" s="114" t="s">
        <v>4150</v>
      </c>
      <c r="E501" s="96" t="s">
        <v>4152</v>
      </c>
      <c r="F501" s="191"/>
      <c r="G501" s="27"/>
      <c r="H501" s="30"/>
      <c r="I501" s="30"/>
      <c r="J501" s="30"/>
      <c r="K501" s="30"/>
      <c r="L501" s="30"/>
      <c r="M501" s="30"/>
      <c r="N501" s="30"/>
      <c r="O501" s="30"/>
      <c r="P501" s="30"/>
      <c r="Q501" s="30"/>
      <c r="R501" s="30"/>
      <c r="S501" s="30"/>
      <c r="T501" s="30"/>
      <c r="U501" s="30"/>
      <c r="V501" s="30"/>
      <c r="W501" s="30"/>
      <c r="X501" s="30"/>
      <c r="Y501" s="30"/>
      <c r="Z501" s="30"/>
      <c r="AA501" s="30"/>
      <c r="AB501" s="30"/>
      <c r="AC501" s="30"/>
      <c r="AD501" s="30"/>
      <c r="AE501" s="30"/>
      <c r="AF501" s="30"/>
    </row>
    <row r="502" ht="15.75" customHeight="1">
      <c r="A502" s="94" t="s">
        <v>4128</v>
      </c>
      <c r="B502" s="95">
        <v>4.0</v>
      </c>
      <c r="C502" s="28" t="s">
        <v>4158</v>
      </c>
      <c r="D502" s="114" t="s">
        <v>4159</v>
      </c>
      <c r="E502" s="96" t="s">
        <v>4160</v>
      </c>
      <c r="F502" s="191"/>
      <c r="G502" s="27"/>
      <c r="H502" s="30"/>
      <c r="I502" s="30"/>
      <c r="J502" s="30"/>
      <c r="K502" s="30"/>
      <c r="L502" s="30"/>
      <c r="M502" s="30"/>
      <c r="N502" s="30"/>
      <c r="O502" s="30"/>
      <c r="P502" s="30"/>
      <c r="Q502" s="30"/>
      <c r="R502" s="30"/>
      <c r="S502" s="30"/>
      <c r="T502" s="30"/>
      <c r="U502" s="30"/>
      <c r="V502" s="30"/>
      <c r="W502" s="30"/>
      <c r="X502" s="30"/>
      <c r="Y502" s="30"/>
      <c r="Z502" s="30"/>
      <c r="AA502" s="30"/>
      <c r="AB502" s="30"/>
      <c r="AC502" s="30"/>
      <c r="AD502" s="30"/>
      <c r="AE502" s="30"/>
      <c r="AF502" s="30"/>
    </row>
    <row r="503" ht="15.75" customHeight="1">
      <c r="A503" s="94" t="s">
        <v>4128</v>
      </c>
      <c r="B503" s="95">
        <v>5.0</v>
      </c>
      <c r="C503" s="28" t="s">
        <v>4164</v>
      </c>
      <c r="D503" s="114" t="s">
        <v>4100</v>
      </c>
      <c r="E503" s="96" t="s">
        <v>4160</v>
      </c>
      <c r="F503" s="191"/>
      <c r="G503" s="27"/>
      <c r="H503" s="30"/>
      <c r="I503" s="30"/>
      <c r="J503" s="30"/>
      <c r="K503" s="30"/>
      <c r="L503" s="30"/>
      <c r="M503" s="30"/>
      <c r="N503" s="30"/>
      <c r="O503" s="30"/>
      <c r="P503" s="30"/>
      <c r="Q503" s="30"/>
      <c r="R503" s="30"/>
      <c r="S503" s="30"/>
      <c r="T503" s="30"/>
      <c r="U503" s="30"/>
      <c r="V503" s="30"/>
      <c r="W503" s="30"/>
      <c r="X503" s="30"/>
      <c r="Y503" s="30"/>
      <c r="Z503" s="30"/>
      <c r="AA503" s="30"/>
      <c r="AB503" s="30"/>
      <c r="AC503" s="30"/>
      <c r="AD503" s="30"/>
      <c r="AE503" s="30"/>
      <c r="AF503" s="30"/>
    </row>
    <row r="504" ht="15.75" customHeight="1">
      <c r="A504" s="77" t="s">
        <v>4128</v>
      </c>
      <c r="B504" s="111">
        <v>6.0</v>
      </c>
      <c r="C504" s="42" t="s">
        <v>4171</v>
      </c>
      <c r="D504" s="112" t="s">
        <v>4110</v>
      </c>
      <c r="E504" s="82" t="s">
        <v>4174</v>
      </c>
      <c r="F504" s="20"/>
      <c r="G504" s="41"/>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row>
    <row r="505" ht="15.75" customHeight="1">
      <c r="A505" s="77"/>
      <c r="B505" s="42"/>
      <c r="C505" s="42"/>
      <c r="D505" s="42"/>
      <c r="E505" s="42"/>
      <c r="F505" s="41"/>
      <c r="G505" s="41"/>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row>
    <row r="506" ht="15.75" customHeight="1">
      <c r="A506" s="94" t="s">
        <v>4189</v>
      </c>
      <c r="B506" s="95">
        <v>1.0</v>
      </c>
      <c r="C506" s="28" t="s">
        <v>4192</v>
      </c>
      <c r="D506" s="28" t="s">
        <v>4193</v>
      </c>
      <c r="E506" s="96" t="s">
        <v>4195</v>
      </c>
      <c r="F506" s="191"/>
      <c r="G506" s="191"/>
      <c r="H506" s="30"/>
      <c r="I506" s="30"/>
      <c r="J506" s="30"/>
      <c r="K506" s="30"/>
      <c r="L506" s="30"/>
      <c r="M506" s="30"/>
      <c r="N506" s="30"/>
      <c r="O506" s="30"/>
      <c r="P506" s="30"/>
      <c r="Q506" s="30"/>
      <c r="R506" s="30"/>
      <c r="S506" s="30"/>
      <c r="T506" s="30"/>
      <c r="U506" s="30"/>
      <c r="V506" s="30"/>
      <c r="W506" s="30"/>
      <c r="X506" s="30"/>
      <c r="Y506" s="30"/>
      <c r="Z506" s="30"/>
      <c r="AA506" s="30"/>
      <c r="AB506" s="30"/>
      <c r="AC506" s="30"/>
      <c r="AD506" s="30"/>
      <c r="AE506" s="30"/>
      <c r="AF506" s="30"/>
    </row>
    <row r="507" ht="15.75" customHeight="1">
      <c r="A507" s="94" t="s">
        <v>4189</v>
      </c>
      <c r="B507" s="95">
        <v>2.0</v>
      </c>
      <c r="C507" s="28" t="s">
        <v>4203</v>
      </c>
      <c r="D507" s="28" t="s">
        <v>4204</v>
      </c>
      <c r="E507" s="96" t="s">
        <v>4205</v>
      </c>
      <c r="F507" s="191"/>
      <c r="G507" s="191"/>
      <c r="H507" s="30"/>
      <c r="I507" s="30"/>
      <c r="J507" s="30"/>
      <c r="K507" s="30"/>
      <c r="L507" s="30"/>
      <c r="M507" s="30"/>
      <c r="N507" s="30"/>
      <c r="O507" s="30"/>
      <c r="P507" s="30"/>
      <c r="Q507" s="30"/>
      <c r="R507" s="30"/>
      <c r="S507" s="30"/>
      <c r="T507" s="30"/>
      <c r="U507" s="30"/>
      <c r="V507" s="30"/>
      <c r="W507" s="30"/>
      <c r="X507" s="30"/>
      <c r="Y507" s="30"/>
      <c r="Z507" s="30"/>
      <c r="AA507" s="30"/>
      <c r="AB507" s="30"/>
      <c r="AC507" s="30"/>
      <c r="AD507" s="30"/>
      <c r="AE507" s="30"/>
      <c r="AF507" s="30"/>
    </row>
    <row r="508" ht="15.75" customHeight="1">
      <c r="A508" s="94" t="s">
        <v>4189</v>
      </c>
      <c r="B508" s="95">
        <v>3.0</v>
      </c>
      <c r="C508" s="28" t="s">
        <v>4211</v>
      </c>
      <c r="D508" s="28" t="s">
        <v>4212</v>
      </c>
      <c r="E508" s="96" t="s">
        <v>4213</v>
      </c>
      <c r="F508" s="191"/>
      <c r="G508" s="191"/>
      <c r="H508" s="30"/>
      <c r="I508" s="30"/>
      <c r="J508" s="30"/>
      <c r="K508" s="30"/>
      <c r="L508" s="30"/>
      <c r="M508" s="30"/>
      <c r="N508" s="30"/>
      <c r="O508" s="30"/>
      <c r="P508" s="30"/>
      <c r="Q508" s="30"/>
      <c r="R508" s="30"/>
      <c r="S508" s="30"/>
      <c r="T508" s="30"/>
      <c r="U508" s="30"/>
      <c r="V508" s="30"/>
      <c r="W508" s="30"/>
      <c r="X508" s="30"/>
      <c r="Y508" s="30"/>
      <c r="Z508" s="30"/>
      <c r="AA508" s="30"/>
      <c r="AB508" s="30"/>
      <c r="AC508" s="30"/>
      <c r="AD508" s="30"/>
      <c r="AE508" s="30"/>
      <c r="AF508" s="30"/>
    </row>
    <row r="509" ht="15.75" customHeight="1">
      <c r="A509" s="94" t="s">
        <v>4189</v>
      </c>
      <c r="B509" s="95">
        <v>4.0</v>
      </c>
      <c r="C509" s="28" t="s">
        <v>4221</v>
      </c>
      <c r="D509" s="28" t="s">
        <v>4222</v>
      </c>
      <c r="E509" s="96" t="s">
        <v>4224</v>
      </c>
      <c r="F509" s="191"/>
      <c r="G509" s="191"/>
      <c r="H509" s="30"/>
      <c r="I509" s="30"/>
      <c r="J509" s="30"/>
      <c r="K509" s="30"/>
      <c r="L509" s="30"/>
      <c r="M509" s="30"/>
      <c r="N509" s="30"/>
      <c r="O509" s="30"/>
      <c r="P509" s="30"/>
      <c r="Q509" s="30"/>
      <c r="R509" s="30"/>
      <c r="S509" s="30"/>
      <c r="T509" s="30"/>
      <c r="U509" s="30"/>
      <c r="V509" s="30"/>
      <c r="W509" s="30"/>
      <c r="X509" s="30"/>
      <c r="Y509" s="30"/>
      <c r="Z509" s="30"/>
      <c r="AA509" s="30"/>
      <c r="AB509" s="30"/>
      <c r="AC509" s="30"/>
      <c r="AD509" s="30"/>
      <c r="AE509" s="30"/>
      <c r="AF509" s="30"/>
    </row>
    <row r="510" ht="15.75" customHeight="1">
      <c r="A510" s="77" t="s">
        <v>4189</v>
      </c>
      <c r="B510" s="111">
        <v>5.0</v>
      </c>
      <c r="C510" s="42" t="s">
        <v>4228</v>
      </c>
      <c r="D510" s="42" t="s">
        <v>4230</v>
      </c>
      <c r="E510" s="82" t="s">
        <v>4232</v>
      </c>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row>
    <row r="511" ht="15.75" customHeight="1">
      <c r="A511" s="77"/>
      <c r="B511" s="42"/>
      <c r="C511" s="42"/>
      <c r="D511" s="42"/>
      <c r="E511" s="42"/>
      <c r="F511" s="41"/>
      <c r="G511" s="41"/>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row>
    <row r="512" ht="15.75" customHeight="1">
      <c r="A512" s="94" t="s">
        <v>4246</v>
      </c>
      <c r="B512" s="95">
        <v>1.0</v>
      </c>
      <c r="C512" s="28" t="s">
        <v>4248</v>
      </c>
      <c r="D512" s="28" t="s">
        <v>4250</v>
      </c>
      <c r="E512" s="96" t="s">
        <v>4252</v>
      </c>
      <c r="F512" s="191"/>
      <c r="G512" s="191"/>
      <c r="H512" s="30"/>
      <c r="I512" s="30"/>
      <c r="J512" s="30"/>
      <c r="K512" s="30"/>
      <c r="L512" s="30"/>
      <c r="M512" s="30"/>
      <c r="N512" s="30"/>
      <c r="O512" s="30"/>
      <c r="P512" s="30"/>
      <c r="Q512" s="30"/>
      <c r="R512" s="30"/>
      <c r="S512" s="30"/>
      <c r="T512" s="30"/>
      <c r="U512" s="30"/>
      <c r="V512" s="30"/>
      <c r="W512" s="30"/>
      <c r="X512" s="30"/>
      <c r="Y512" s="30"/>
      <c r="Z512" s="30"/>
      <c r="AA512" s="30"/>
      <c r="AB512" s="30"/>
      <c r="AC512" s="30"/>
      <c r="AD512" s="30"/>
      <c r="AE512" s="30"/>
      <c r="AF512" s="30"/>
    </row>
    <row r="513" ht="15.75" customHeight="1">
      <c r="A513" s="94" t="s">
        <v>4246</v>
      </c>
      <c r="B513" s="95">
        <v>2.0</v>
      </c>
      <c r="C513" s="28" t="s">
        <v>4256</v>
      </c>
      <c r="D513" s="28" t="s">
        <v>4257</v>
      </c>
      <c r="E513" s="96" t="s">
        <v>4258</v>
      </c>
      <c r="F513" s="191"/>
      <c r="G513" s="191"/>
      <c r="H513" s="30"/>
      <c r="I513" s="30"/>
      <c r="J513" s="30"/>
      <c r="K513" s="30"/>
      <c r="L513" s="30"/>
      <c r="M513" s="30"/>
      <c r="N513" s="30"/>
      <c r="O513" s="30"/>
      <c r="P513" s="30"/>
      <c r="Q513" s="30"/>
      <c r="R513" s="30"/>
      <c r="S513" s="30"/>
      <c r="T513" s="30"/>
      <c r="U513" s="30"/>
      <c r="V513" s="30"/>
      <c r="W513" s="30"/>
      <c r="X513" s="30"/>
      <c r="Y513" s="30"/>
      <c r="Z513" s="30"/>
      <c r="AA513" s="30"/>
      <c r="AB513" s="30"/>
      <c r="AC513" s="30"/>
      <c r="AD513" s="30"/>
      <c r="AE513" s="30"/>
      <c r="AF513" s="30"/>
    </row>
    <row r="514" ht="15.75" customHeight="1">
      <c r="A514" s="94" t="s">
        <v>4246</v>
      </c>
      <c r="B514" s="95">
        <v>3.0</v>
      </c>
      <c r="C514" s="28" t="s">
        <v>4266</v>
      </c>
      <c r="D514" s="28" t="s">
        <v>4268</v>
      </c>
      <c r="E514" s="96" t="s">
        <v>4270</v>
      </c>
      <c r="F514" s="191"/>
      <c r="G514" s="191"/>
      <c r="H514" s="30"/>
      <c r="I514" s="30"/>
      <c r="J514" s="30"/>
      <c r="K514" s="30"/>
      <c r="L514" s="30"/>
      <c r="M514" s="30"/>
      <c r="N514" s="30"/>
      <c r="O514" s="30"/>
      <c r="P514" s="30"/>
      <c r="Q514" s="30"/>
      <c r="R514" s="30"/>
      <c r="S514" s="30"/>
      <c r="T514" s="30"/>
      <c r="U514" s="30"/>
      <c r="V514" s="30"/>
      <c r="W514" s="30"/>
      <c r="X514" s="30"/>
      <c r="Y514" s="30"/>
      <c r="Z514" s="30"/>
      <c r="AA514" s="30"/>
      <c r="AB514" s="30"/>
      <c r="AC514" s="30"/>
      <c r="AD514" s="30"/>
      <c r="AE514" s="30"/>
      <c r="AF514" s="30"/>
    </row>
    <row r="515" ht="15.75" customHeight="1">
      <c r="A515" s="94" t="s">
        <v>4246</v>
      </c>
      <c r="B515" s="95">
        <v>4.0</v>
      </c>
      <c r="C515" s="28" t="s">
        <v>4279</v>
      </c>
      <c r="D515" s="28" t="s">
        <v>4281</v>
      </c>
      <c r="E515" s="96" t="s">
        <v>4282</v>
      </c>
      <c r="F515" s="191"/>
      <c r="G515" s="191"/>
      <c r="H515" s="30"/>
      <c r="I515" s="30"/>
      <c r="J515" s="30"/>
      <c r="K515" s="30"/>
      <c r="L515" s="30"/>
      <c r="M515" s="30"/>
      <c r="N515" s="30"/>
      <c r="O515" s="30"/>
      <c r="P515" s="30"/>
      <c r="Q515" s="30"/>
      <c r="R515" s="30"/>
      <c r="S515" s="30"/>
      <c r="T515" s="30"/>
      <c r="U515" s="30"/>
      <c r="V515" s="30"/>
      <c r="W515" s="30"/>
      <c r="X515" s="30"/>
      <c r="Y515" s="30"/>
      <c r="Z515" s="30"/>
      <c r="AA515" s="30"/>
      <c r="AB515" s="30"/>
      <c r="AC515" s="30"/>
      <c r="AD515" s="30"/>
      <c r="AE515" s="30"/>
      <c r="AF515" s="30"/>
    </row>
    <row r="516" ht="15.75" customHeight="1">
      <c r="A516" s="77" t="s">
        <v>4246</v>
      </c>
      <c r="B516" s="111">
        <v>5.0</v>
      </c>
      <c r="C516" s="42" t="s">
        <v>4288</v>
      </c>
      <c r="D516" s="42" t="s">
        <v>4289</v>
      </c>
      <c r="E516" s="82" t="s">
        <v>4290</v>
      </c>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row>
    <row r="517" ht="15.75" customHeight="1">
      <c r="A517" s="77"/>
      <c r="B517" s="42"/>
      <c r="C517" s="42"/>
      <c r="D517" s="42"/>
      <c r="E517" s="42"/>
      <c r="F517" s="41"/>
      <c r="G517" s="41"/>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row>
    <row r="518" ht="15.75" customHeight="1">
      <c r="A518" s="94" t="s">
        <v>4308</v>
      </c>
      <c r="B518" s="95">
        <v>1.0</v>
      </c>
      <c r="C518" s="28" t="s">
        <v>4310</v>
      </c>
      <c r="D518" s="28" t="s">
        <v>4311</v>
      </c>
      <c r="E518" s="96" t="s">
        <v>4312</v>
      </c>
      <c r="F518" s="191"/>
      <c r="G518" s="191"/>
      <c r="H518" s="30"/>
      <c r="I518" s="30"/>
      <c r="J518" s="30"/>
      <c r="K518" s="30"/>
      <c r="L518" s="30"/>
      <c r="M518" s="30"/>
      <c r="N518" s="30"/>
      <c r="O518" s="30"/>
      <c r="P518" s="30"/>
      <c r="Q518" s="30"/>
      <c r="R518" s="30"/>
      <c r="S518" s="30"/>
      <c r="T518" s="30"/>
      <c r="U518" s="30"/>
      <c r="V518" s="30"/>
      <c r="W518" s="30"/>
      <c r="X518" s="30"/>
      <c r="Y518" s="30"/>
      <c r="Z518" s="30"/>
      <c r="AA518" s="30"/>
      <c r="AB518" s="30"/>
      <c r="AC518" s="30"/>
      <c r="AD518" s="30"/>
      <c r="AE518" s="30"/>
      <c r="AF518" s="30"/>
    </row>
    <row r="519" ht="15.75" customHeight="1">
      <c r="A519" s="94" t="s">
        <v>4308</v>
      </c>
      <c r="B519" s="95">
        <v>2.0</v>
      </c>
      <c r="C519" s="28" t="s">
        <v>4319</v>
      </c>
      <c r="D519" s="28" t="s">
        <v>4320</v>
      </c>
      <c r="E519" s="96" t="s">
        <v>4321</v>
      </c>
      <c r="F519" s="191"/>
      <c r="G519" s="191"/>
      <c r="H519" s="30"/>
      <c r="I519" s="30"/>
      <c r="J519" s="30"/>
      <c r="K519" s="30"/>
      <c r="L519" s="30"/>
      <c r="M519" s="30"/>
      <c r="N519" s="30"/>
      <c r="O519" s="30"/>
      <c r="P519" s="30"/>
      <c r="Q519" s="30"/>
      <c r="R519" s="30"/>
      <c r="S519" s="30"/>
      <c r="T519" s="30"/>
      <c r="U519" s="30"/>
      <c r="V519" s="30"/>
      <c r="W519" s="30"/>
      <c r="X519" s="30"/>
      <c r="Y519" s="30"/>
      <c r="Z519" s="30"/>
      <c r="AA519" s="30"/>
      <c r="AB519" s="30"/>
      <c r="AC519" s="30"/>
      <c r="AD519" s="30"/>
      <c r="AE519" s="30"/>
      <c r="AF519" s="30"/>
    </row>
    <row r="520" ht="15.75" customHeight="1">
      <c r="A520" s="94" t="s">
        <v>4308</v>
      </c>
      <c r="B520" s="95">
        <v>3.0</v>
      </c>
      <c r="C520" s="28" t="s">
        <v>4211</v>
      </c>
      <c r="D520" s="28" t="s">
        <v>4330</v>
      </c>
      <c r="E520" s="96" t="s">
        <v>4213</v>
      </c>
      <c r="F520" s="191"/>
      <c r="G520" s="191"/>
      <c r="H520" s="30"/>
      <c r="I520" s="30"/>
      <c r="J520" s="30"/>
      <c r="K520" s="30"/>
      <c r="L520" s="30"/>
      <c r="M520" s="30"/>
      <c r="N520" s="30"/>
      <c r="O520" s="30"/>
      <c r="P520" s="30"/>
      <c r="Q520" s="30"/>
      <c r="R520" s="30"/>
      <c r="S520" s="30"/>
      <c r="T520" s="30"/>
      <c r="U520" s="30"/>
      <c r="V520" s="30"/>
      <c r="W520" s="30"/>
      <c r="X520" s="30"/>
      <c r="Y520" s="30"/>
      <c r="Z520" s="30"/>
      <c r="AA520" s="30"/>
      <c r="AB520" s="30"/>
      <c r="AC520" s="30"/>
      <c r="AD520" s="30"/>
      <c r="AE520" s="30"/>
      <c r="AF520" s="30"/>
    </row>
    <row r="521" ht="15.75" customHeight="1">
      <c r="A521" s="94" t="s">
        <v>4308</v>
      </c>
      <c r="B521" s="95">
        <v>4.0</v>
      </c>
      <c r="C521" s="28" t="s">
        <v>4338</v>
      </c>
      <c r="D521" s="28" t="s">
        <v>4339</v>
      </c>
      <c r="E521" s="96" t="s">
        <v>4340</v>
      </c>
      <c r="F521" s="191"/>
      <c r="G521" s="191"/>
      <c r="H521" s="30"/>
      <c r="I521" s="30"/>
      <c r="J521" s="30"/>
      <c r="K521" s="30"/>
      <c r="L521" s="30"/>
      <c r="M521" s="30"/>
      <c r="N521" s="30"/>
      <c r="O521" s="30"/>
      <c r="P521" s="30"/>
      <c r="Q521" s="30"/>
      <c r="R521" s="30"/>
      <c r="S521" s="30"/>
      <c r="T521" s="30"/>
      <c r="U521" s="30"/>
      <c r="V521" s="30"/>
      <c r="W521" s="30"/>
      <c r="X521" s="30"/>
      <c r="Y521" s="30"/>
      <c r="Z521" s="30"/>
      <c r="AA521" s="30"/>
      <c r="AB521" s="30"/>
      <c r="AC521" s="30"/>
      <c r="AD521" s="30"/>
      <c r="AE521" s="30"/>
      <c r="AF521" s="30"/>
    </row>
    <row r="522" ht="15.75" customHeight="1">
      <c r="A522" s="77" t="s">
        <v>4308</v>
      </c>
      <c r="B522" s="111">
        <v>5.0</v>
      </c>
      <c r="C522" s="42" t="s">
        <v>4346</v>
      </c>
      <c r="D522" s="42" t="s">
        <v>4348</v>
      </c>
      <c r="E522" s="82" t="s">
        <v>4349</v>
      </c>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row>
    <row r="523" ht="15.75" customHeight="1">
      <c r="A523" s="77"/>
      <c r="B523" s="42"/>
      <c r="C523" s="42"/>
      <c r="D523" s="42"/>
      <c r="E523" s="42"/>
      <c r="F523" s="41"/>
      <c r="G523" s="41"/>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row>
    <row r="524" ht="15.75" customHeight="1">
      <c r="A524" s="94" t="s">
        <v>4365</v>
      </c>
      <c r="B524" s="95">
        <v>1.0</v>
      </c>
      <c r="C524" s="28" t="s">
        <v>4366</v>
      </c>
      <c r="D524" s="28" t="s">
        <v>4367</v>
      </c>
      <c r="E524" s="96" t="s">
        <v>4368</v>
      </c>
      <c r="F524" s="191"/>
      <c r="G524" s="191"/>
      <c r="H524" s="30"/>
      <c r="I524" s="30"/>
      <c r="J524" s="30"/>
      <c r="K524" s="30"/>
      <c r="L524" s="30"/>
      <c r="M524" s="30"/>
      <c r="N524" s="30"/>
      <c r="O524" s="30"/>
      <c r="P524" s="30"/>
      <c r="Q524" s="30"/>
      <c r="R524" s="30"/>
      <c r="S524" s="30"/>
      <c r="T524" s="30"/>
      <c r="U524" s="30"/>
      <c r="V524" s="30"/>
      <c r="W524" s="30"/>
      <c r="X524" s="30"/>
      <c r="Y524" s="30"/>
      <c r="Z524" s="30"/>
      <c r="AA524" s="30"/>
      <c r="AB524" s="30"/>
      <c r="AC524" s="30"/>
      <c r="AD524" s="30"/>
      <c r="AE524" s="30"/>
      <c r="AF524" s="30"/>
    </row>
    <row r="525" ht="15.75" customHeight="1">
      <c r="A525" s="94" t="s">
        <v>4365</v>
      </c>
      <c r="B525" s="95">
        <v>2.0</v>
      </c>
      <c r="C525" s="28" t="s">
        <v>4377</v>
      </c>
      <c r="D525" s="28" t="s">
        <v>4378</v>
      </c>
      <c r="E525" s="96" t="s">
        <v>4379</v>
      </c>
      <c r="F525" s="191"/>
      <c r="G525" s="191"/>
      <c r="H525" s="30"/>
      <c r="I525" s="30"/>
      <c r="J525" s="30"/>
      <c r="K525" s="30"/>
      <c r="L525" s="30"/>
      <c r="M525" s="30"/>
      <c r="N525" s="30"/>
      <c r="O525" s="30"/>
      <c r="P525" s="30"/>
      <c r="Q525" s="30"/>
      <c r="R525" s="30"/>
      <c r="S525" s="30"/>
      <c r="T525" s="30"/>
      <c r="U525" s="30"/>
      <c r="V525" s="30"/>
      <c r="W525" s="30"/>
      <c r="X525" s="30"/>
      <c r="Y525" s="30"/>
      <c r="Z525" s="30"/>
      <c r="AA525" s="30"/>
      <c r="AB525" s="30"/>
      <c r="AC525" s="30"/>
      <c r="AD525" s="30"/>
      <c r="AE525" s="30"/>
      <c r="AF525" s="30"/>
    </row>
    <row r="526" ht="15.75" customHeight="1">
      <c r="A526" s="94" t="s">
        <v>4365</v>
      </c>
      <c r="B526" s="95">
        <v>3.0</v>
      </c>
      <c r="C526" s="28" t="s">
        <v>4387</v>
      </c>
      <c r="D526" s="28" t="s">
        <v>4389</v>
      </c>
      <c r="E526" s="96" t="s">
        <v>4270</v>
      </c>
      <c r="F526" s="191"/>
      <c r="G526" s="191"/>
      <c r="H526" s="30"/>
      <c r="I526" s="30"/>
      <c r="J526" s="30"/>
      <c r="K526" s="30"/>
      <c r="L526" s="30"/>
      <c r="M526" s="30"/>
      <c r="N526" s="30"/>
      <c r="O526" s="30"/>
      <c r="P526" s="30"/>
      <c r="Q526" s="30"/>
      <c r="R526" s="30"/>
      <c r="S526" s="30"/>
      <c r="T526" s="30"/>
      <c r="U526" s="30"/>
      <c r="V526" s="30"/>
      <c r="W526" s="30"/>
      <c r="X526" s="30"/>
      <c r="Y526" s="30"/>
      <c r="Z526" s="30"/>
      <c r="AA526" s="30"/>
      <c r="AB526" s="30"/>
      <c r="AC526" s="30"/>
      <c r="AD526" s="30"/>
      <c r="AE526" s="30"/>
      <c r="AF526" s="30"/>
    </row>
    <row r="527" ht="15.75" customHeight="1">
      <c r="A527" s="94" t="s">
        <v>4365</v>
      </c>
      <c r="B527" s="95">
        <v>4.0</v>
      </c>
      <c r="C527" s="28" t="s">
        <v>4398</v>
      </c>
      <c r="D527" s="28" t="s">
        <v>4399</v>
      </c>
      <c r="E527" s="96" t="s">
        <v>4401</v>
      </c>
      <c r="F527" s="191"/>
      <c r="G527" s="191"/>
      <c r="H527" s="30"/>
      <c r="I527" s="30"/>
      <c r="J527" s="30"/>
      <c r="K527" s="30"/>
      <c r="L527" s="30"/>
      <c r="M527" s="30"/>
      <c r="N527" s="30"/>
      <c r="O527" s="30"/>
      <c r="P527" s="30"/>
      <c r="Q527" s="30"/>
      <c r="R527" s="30"/>
      <c r="S527" s="30"/>
      <c r="T527" s="30"/>
      <c r="U527" s="30"/>
      <c r="V527" s="30"/>
      <c r="W527" s="30"/>
      <c r="X527" s="30"/>
      <c r="Y527" s="30"/>
      <c r="Z527" s="30"/>
      <c r="AA527" s="30"/>
      <c r="AB527" s="30"/>
      <c r="AC527" s="30"/>
      <c r="AD527" s="30"/>
      <c r="AE527" s="30"/>
      <c r="AF527" s="30"/>
    </row>
    <row r="528" ht="15.75" customHeight="1">
      <c r="A528" s="77" t="s">
        <v>4365</v>
      </c>
      <c r="B528" s="111">
        <v>5.0</v>
      </c>
      <c r="C528" s="42" t="s">
        <v>4405</v>
      </c>
      <c r="D528" s="42" t="s">
        <v>4406</v>
      </c>
      <c r="E528" s="82" t="s">
        <v>4407</v>
      </c>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row>
    <row r="529" ht="15.75" customHeight="1">
      <c r="A529" s="77"/>
      <c r="B529" s="42"/>
      <c r="C529" s="42"/>
      <c r="D529" s="42"/>
      <c r="E529" s="42"/>
      <c r="F529" s="41"/>
      <c r="G529" s="41"/>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row>
    <row r="530" ht="15.75" customHeight="1">
      <c r="A530" s="94" t="s">
        <v>4421</v>
      </c>
      <c r="B530" s="95">
        <v>1.0</v>
      </c>
      <c r="C530" s="28" t="s">
        <v>4423</v>
      </c>
      <c r="D530" s="28" t="s">
        <v>4424</v>
      </c>
      <c r="E530" s="28" t="s">
        <v>4425</v>
      </c>
      <c r="F530" s="27"/>
      <c r="G530" s="27"/>
      <c r="H530" s="30"/>
      <c r="I530" s="30"/>
      <c r="J530" s="30"/>
      <c r="K530" s="30"/>
      <c r="L530" s="30"/>
      <c r="M530" s="30"/>
      <c r="N530" s="30"/>
      <c r="O530" s="30"/>
      <c r="P530" s="30"/>
      <c r="Q530" s="30"/>
      <c r="R530" s="30"/>
      <c r="S530" s="30"/>
      <c r="T530" s="30"/>
      <c r="U530" s="30"/>
      <c r="V530" s="30"/>
      <c r="W530" s="30"/>
      <c r="X530" s="30"/>
      <c r="Y530" s="30"/>
      <c r="Z530" s="30"/>
      <c r="AA530" s="30"/>
      <c r="AB530" s="30"/>
      <c r="AC530" s="30"/>
      <c r="AD530" s="30"/>
      <c r="AE530" s="30"/>
      <c r="AF530" s="30"/>
    </row>
    <row r="531" ht="15.75" customHeight="1">
      <c r="A531" s="94" t="s">
        <v>4421</v>
      </c>
      <c r="B531" s="95">
        <v>2.0</v>
      </c>
      <c r="C531" s="28" t="s">
        <v>4432</v>
      </c>
      <c r="D531" s="28" t="s">
        <v>4432</v>
      </c>
      <c r="E531" s="96" t="s">
        <v>4433</v>
      </c>
      <c r="F531" s="27"/>
      <c r="G531" s="27"/>
      <c r="H531" s="30"/>
      <c r="I531" s="30"/>
      <c r="J531" s="30"/>
      <c r="K531" s="30"/>
      <c r="L531" s="30"/>
      <c r="M531" s="30"/>
      <c r="N531" s="30"/>
      <c r="O531" s="30"/>
      <c r="P531" s="30"/>
      <c r="Q531" s="30"/>
      <c r="R531" s="30"/>
      <c r="S531" s="30"/>
      <c r="T531" s="30"/>
      <c r="U531" s="30"/>
      <c r="V531" s="30"/>
      <c r="W531" s="30"/>
      <c r="X531" s="30"/>
      <c r="Y531" s="30"/>
      <c r="Z531" s="30"/>
      <c r="AA531" s="30"/>
      <c r="AB531" s="30"/>
      <c r="AC531" s="30"/>
      <c r="AD531" s="30"/>
      <c r="AE531" s="30"/>
      <c r="AF531" s="30"/>
    </row>
    <row r="532" ht="15.75" customHeight="1">
      <c r="A532" s="94" t="s">
        <v>4421</v>
      </c>
      <c r="B532" s="95">
        <v>3.0</v>
      </c>
      <c r="C532" s="28" t="s">
        <v>4440</v>
      </c>
      <c r="D532" s="28" t="s">
        <v>4440</v>
      </c>
      <c r="E532" s="28" t="s">
        <v>4442</v>
      </c>
      <c r="F532" s="27"/>
      <c r="G532" s="27"/>
      <c r="H532" s="30"/>
      <c r="I532" s="30"/>
      <c r="J532" s="30"/>
      <c r="K532" s="30"/>
      <c r="L532" s="30"/>
      <c r="M532" s="30"/>
      <c r="N532" s="30"/>
      <c r="O532" s="30"/>
      <c r="P532" s="30"/>
      <c r="Q532" s="30"/>
      <c r="R532" s="30"/>
      <c r="S532" s="30"/>
      <c r="T532" s="30"/>
      <c r="U532" s="30"/>
      <c r="V532" s="30"/>
      <c r="W532" s="30"/>
      <c r="X532" s="30"/>
      <c r="Y532" s="30"/>
      <c r="Z532" s="30"/>
      <c r="AA532" s="30"/>
      <c r="AB532" s="30"/>
      <c r="AC532" s="30"/>
      <c r="AD532" s="30"/>
      <c r="AE532" s="30"/>
      <c r="AF532" s="30"/>
    </row>
    <row r="533" ht="15.75" customHeight="1">
      <c r="A533" s="94" t="s">
        <v>4421</v>
      </c>
      <c r="B533" s="95">
        <v>4.0</v>
      </c>
      <c r="C533" s="28" t="s">
        <v>4451</v>
      </c>
      <c r="D533" s="28" t="s">
        <v>4451</v>
      </c>
      <c r="E533" s="28" t="s">
        <v>4452</v>
      </c>
      <c r="F533" s="27"/>
      <c r="G533" s="27"/>
      <c r="H533" s="30"/>
      <c r="I533" s="30"/>
      <c r="J533" s="30"/>
      <c r="K533" s="30"/>
      <c r="L533" s="30"/>
      <c r="M533" s="30"/>
      <c r="N533" s="30"/>
      <c r="O533" s="30"/>
      <c r="P533" s="30"/>
      <c r="Q533" s="30"/>
      <c r="R533" s="30"/>
      <c r="S533" s="30"/>
      <c r="T533" s="30"/>
      <c r="U533" s="30"/>
      <c r="V533" s="30"/>
      <c r="W533" s="30"/>
      <c r="X533" s="30"/>
      <c r="Y533" s="30"/>
      <c r="Z533" s="30"/>
      <c r="AA533" s="30"/>
      <c r="AB533" s="30"/>
      <c r="AC533" s="30"/>
      <c r="AD533" s="30"/>
      <c r="AE533" s="30"/>
      <c r="AF533" s="30"/>
    </row>
    <row r="534" ht="15.75" customHeight="1">
      <c r="A534" s="94" t="s">
        <v>4421</v>
      </c>
      <c r="B534" s="95">
        <v>5.0</v>
      </c>
      <c r="C534" s="28" t="s">
        <v>4457</v>
      </c>
      <c r="D534" s="28" t="s">
        <v>4457</v>
      </c>
      <c r="E534" s="96" t="s">
        <v>4458</v>
      </c>
      <c r="F534" s="27"/>
      <c r="G534" s="27"/>
      <c r="H534" s="30"/>
      <c r="I534" s="30"/>
      <c r="J534" s="30"/>
      <c r="K534" s="30"/>
      <c r="L534" s="30"/>
      <c r="M534" s="30"/>
      <c r="N534" s="30"/>
      <c r="O534" s="30"/>
      <c r="P534" s="30"/>
      <c r="Q534" s="30"/>
      <c r="R534" s="30"/>
      <c r="S534" s="30"/>
      <c r="T534" s="30"/>
      <c r="U534" s="30"/>
      <c r="V534" s="30"/>
      <c r="W534" s="30"/>
      <c r="X534" s="30"/>
      <c r="Y534" s="30"/>
      <c r="Z534" s="30"/>
      <c r="AA534" s="30"/>
      <c r="AB534" s="30"/>
      <c r="AC534" s="30"/>
      <c r="AD534" s="30"/>
      <c r="AE534" s="30"/>
      <c r="AF534" s="30"/>
    </row>
    <row r="535" ht="15.75" customHeight="1">
      <c r="A535" s="94" t="s">
        <v>4421</v>
      </c>
      <c r="B535" s="95">
        <v>6.0</v>
      </c>
      <c r="C535" s="28" t="s">
        <v>4462</v>
      </c>
      <c r="D535" s="28" t="s">
        <v>4462</v>
      </c>
      <c r="E535" s="28" t="s">
        <v>4464</v>
      </c>
      <c r="F535" s="27"/>
      <c r="G535" s="27"/>
      <c r="H535" s="30"/>
      <c r="I535" s="30"/>
      <c r="J535" s="30"/>
      <c r="K535" s="30"/>
      <c r="L535" s="30"/>
      <c r="M535" s="30"/>
      <c r="N535" s="30"/>
      <c r="O535" s="30"/>
      <c r="P535" s="30"/>
      <c r="Q535" s="30"/>
      <c r="R535" s="30"/>
      <c r="S535" s="30"/>
      <c r="T535" s="30"/>
      <c r="U535" s="30"/>
      <c r="V535" s="30"/>
      <c r="W535" s="30"/>
      <c r="X535" s="30"/>
      <c r="Y535" s="30"/>
      <c r="Z535" s="30"/>
      <c r="AA535" s="30"/>
      <c r="AB535" s="30"/>
      <c r="AC535" s="30"/>
      <c r="AD535" s="30"/>
      <c r="AE535" s="30"/>
      <c r="AF535" s="30"/>
    </row>
    <row r="536" ht="15.75" customHeight="1">
      <c r="A536" s="94" t="s">
        <v>4421</v>
      </c>
      <c r="B536" s="95">
        <v>7.0</v>
      </c>
      <c r="C536" s="28" t="s">
        <v>4469</v>
      </c>
      <c r="D536" s="28" t="s">
        <v>4469</v>
      </c>
      <c r="E536" s="96" t="s">
        <v>4470</v>
      </c>
      <c r="F536" s="27"/>
      <c r="G536" s="27"/>
      <c r="H536" s="30"/>
      <c r="I536" s="30"/>
      <c r="J536" s="30"/>
      <c r="K536" s="30"/>
      <c r="L536" s="30"/>
      <c r="M536" s="30"/>
      <c r="N536" s="30"/>
      <c r="O536" s="30"/>
      <c r="P536" s="30"/>
      <c r="Q536" s="30"/>
      <c r="R536" s="30"/>
      <c r="S536" s="30"/>
      <c r="T536" s="30"/>
      <c r="U536" s="30"/>
      <c r="V536" s="30"/>
      <c r="W536" s="30"/>
      <c r="X536" s="30"/>
      <c r="Y536" s="30"/>
      <c r="Z536" s="30"/>
      <c r="AA536" s="30"/>
      <c r="AB536" s="30"/>
      <c r="AC536" s="30"/>
      <c r="AD536" s="30"/>
      <c r="AE536" s="30"/>
      <c r="AF536" s="30"/>
    </row>
    <row r="537" ht="15.75" customHeight="1">
      <c r="A537" s="94" t="s">
        <v>4421</v>
      </c>
      <c r="B537" s="95">
        <v>8.0</v>
      </c>
      <c r="C537" s="28" t="s">
        <v>4478</v>
      </c>
      <c r="D537" s="28" t="s">
        <v>4478</v>
      </c>
      <c r="E537" s="28" t="s">
        <v>4479</v>
      </c>
      <c r="F537" s="27"/>
      <c r="G537" s="27"/>
      <c r="H537" s="30"/>
      <c r="I537" s="30"/>
      <c r="J537" s="30"/>
      <c r="K537" s="30"/>
      <c r="L537" s="30"/>
      <c r="M537" s="30"/>
      <c r="N537" s="30"/>
      <c r="O537" s="30"/>
      <c r="P537" s="30"/>
      <c r="Q537" s="30"/>
      <c r="R537" s="30"/>
      <c r="S537" s="30"/>
      <c r="T537" s="30"/>
      <c r="U537" s="30"/>
      <c r="V537" s="30"/>
      <c r="W537" s="30"/>
      <c r="X537" s="30"/>
      <c r="Y537" s="30"/>
      <c r="Z537" s="30"/>
      <c r="AA537" s="30"/>
      <c r="AB537" s="30"/>
      <c r="AC537" s="30"/>
      <c r="AD537" s="30"/>
      <c r="AE537" s="30"/>
      <c r="AF537" s="30"/>
    </row>
    <row r="538" ht="15.75" customHeight="1">
      <c r="A538" s="77" t="s">
        <v>4421</v>
      </c>
      <c r="B538" s="111">
        <v>-777.0</v>
      </c>
      <c r="C538" s="42" t="s">
        <v>478</v>
      </c>
      <c r="D538" s="42" t="s">
        <v>479</v>
      </c>
      <c r="E538" s="42" t="s">
        <v>480</v>
      </c>
      <c r="F538" s="41"/>
      <c r="G538" s="41"/>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row>
    <row r="539" ht="15.75" customHeight="1">
      <c r="A539" s="114"/>
      <c r="B539" s="115"/>
      <c r="C539" s="114"/>
      <c r="D539" s="114"/>
      <c r="E539" s="210"/>
      <c r="F539" s="30"/>
      <c r="G539" s="30"/>
      <c r="H539" s="30"/>
      <c r="I539" s="30"/>
      <c r="J539" s="30"/>
      <c r="K539" s="30"/>
      <c r="L539" s="30"/>
      <c r="M539" s="30"/>
      <c r="N539" s="30"/>
      <c r="O539" s="30"/>
      <c r="P539" s="30"/>
      <c r="Q539" s="30"/>
      <c r="R539" s="30"/>
      <c r="S539" s="30"/>
      <c r="T539" s="30"/>
      <c r="U539" s="30"/>
      <c r="V539" s="30"/>
      <c r="W539" s="30"/>
      <c r="X539" s="30"/>
      <c r="Y539" s="30"/>
      <c r="Z539" s="30"/>
      <c r="AA539" s="30"/>
      <c r="AB539" s="30"/>
      <c r="AC539" s="30"/>
      <c r="AD539" s="30"/>
      <c r="AE539" s="30"/>
      <c r="AF539" s="30"/>
    </row>
    <row r="540" ht="15.75" customHeight="1">
      <c r="A540" s="123" t="s">
        <v>4499</v>
      </c>
      <c r="B540" s="126">
        <v>0.0</v>
      </c>
      <c r="C540" s="136" t="s">
        <v>228</v>
      </c>
      <c r="D540" s="136" t="s">
        <v>230</v>
      </c>
      <c r="E540" s="136" t="s">
        <v>4501</v>
      </c>
      <c r="F540" s="133"/>
      <c r="G540" s="133"/>
      <c r="H540" s="49"/>
      <c r="I540" s="49"/>
      <c r="J540" s="49"/>
      <c r="K540" s="49"/>
      <c r="L540" s="49"/>
      <c r="M540" s="49"/>
      <c r="N540" s="49"/>
      <c r="O540" s="49"/>
      <c r="P540" s="49"/>
      <c r="Q540" s="49"/>
      <c r="R540" s="49"/>
      <c r="S540" s="49"/>
      <c r="T540" s="49"/>
      <c r="U540" s="49"/>
      <c r="V540" s="49"/>
      <c r="W540" s="49"/>
      <c r="X540" s="49"/>
      <c r="Y540" s="49"/>
      <c r="Z540" s="49"/>
      <c r="AA540" s="49"/>
      <c r="AB540" s="49"/>
      <c r="AC540" s="49"/>
      <c r="AD540" s="49"/>
      <c r="AE540" s="49"/>
      <c r="AF540" s="49"/>
    </row>
    <row r="541" ht="15.75" customHeight="1">
      <c r="A541" s="94" t="s">
        <v>4499</v>
      </c>
      <c r="B541" s="95">
        <v>1.0</v>
      </c>
      <c r="C541" s="28" t="s">
        <v>4513</v>
      </c>
      <c r="D541" s="28" t="s">
        <v>1107</v>
      </c>
      <c r="E541" s="28" t="s">
        <v>4516</v>
      </c>
      <c r="F541" s="27"/>
      <c r="G541" s="27"/>
      <c r="H541" s="30"/>
      <c r="I541" s="30"/>
      <c r="J541" s="30"/>
      <c r="K541" s="30"/>
      <c r="L541" s="30"/>
      <c r="M541" s="30"/>
      <c r="N541" s="30"/>
      <c r="O541" s="30"/>
      <c r="P541" s="30"/>
      <c r="Q541" s="30"/>
      <c r="R541" s="30"/>
      <c r="S541" s="30"/>
      <c r="T541" s="30"/>
      <c r="U541" s="30"/>
      <c r="V541" s="30"/>
      <c r="W541" s="30"/>
      <c r="X541" s="30"/>
      <c r="Y541" s="30"/>
      <c r="Z541" s="30"/>
      <c r="AA541" s="30"/>
      <c r="AB541" s="30"/>
      <c r="AC541" s="30"/>
      <c r="AD541" s="30"/>
      <c r="AE541" s="30"/>
      <c r="AF541" s="30"/>
    </row>
    <row r="542" ht="15.75" customHeight="1">
      <c r="A542" s="94" t="s">
        <v>4499</v>
      </c>
      <c r="B542" s="95">
        <v>2.0</v>
      </c>
      <c r="C542" s="28" t="s">
        <v>4521</v>
      </c>
      <c r="D542" s="28" t="s">
        <v>1131</v>
      </c>
      <c r="E542" s="28" t="s">
        <v>4522</v>
      </c>
      <c r="F542" s="27"/>
      <c r="G542" s="27"/>
      <c r="H542" s="30"/>
      <c r="I542" s="30"/>
      <c r="J542" s="30"/>
      <c r="K542" s="30"/>
      <c r="L542" s="30"/>
      <c r="M542" s="30"/>
      <c r="N542" s="30"/>
      <c r="O542" s="30"/>
      <c r="P542" s="30"/>
      <c r="Q542" s="30"/>
      <c r="R542" s="30"/>
      <c r="S542" s="30"/>
      <c r="T542" s="30"/>
      <c r="U542" s="30"/>
      <c r="V542" s="30"/>
      <c r="W542" s="30"/>
      <c r="X542" s="30"/>
      <c r="Y542" s="30"/>
      <c r="Z542" s="30"/>
      <c r="AA542" s="30"/>
      <c r="AB542" s="30"/>
      <c r="AC542" s="30"/>
      <c r="AD542" s="30"/>
      <c r="AE542" s="30"/>
      <c r="AF542" s="30"/>
    </row>
    <row r="543" ht="15.75" customHeight="1">
      <c r="A543" s="94" t="s">
        <v>4499</v>
      </c>
      <c r="B543" s="95">
        <v>3.0</v>
      </c>
      <c r="C543" s="28" t="s">
        <v>4527</v>
      </c>
      <c r="D543" s="28" t="s">
        <v>4528</v>
      </c>
      <c r="E543" s="96" t="s">
        <v>4530</v>
      </c>
      <c r="F543" s="27"/>
      <c r="G543" s="27"/>
      <c r="H543" s="30"/>
      <c r="I543" s="30"/>
      <c r="J543" s="30"/>
      <c r="K543" s="30"/>
      <c r="L543" s="30"/>
      <c r="M543" s="30"/>
      <c r="N543" s="30"/>
      <c r="O543" s="30"/>
      <c r="P543" s="30"/>
      <c r="Q543" s="30"/>
      <c r="R543" s="30"/>
      <c r="S543" s="30"/>
      <c r="T543" s="30"/>
      <c r="U543" s="30"/>
      <c r="V543" s="30"/>
      <c r="W543" s="30"/>
      <c r="X543" s="30"/>
      <c r="Y543" s="30"/>
      <c r="Z543" s="30"/>
      <c r="AA543" s="30"/>
      <c r="AB543" s="30"/>
      <c r="AC543" s="30"/>
      <c r="AD543" s="30"/>
      <c r="AE543" s="30"/>
      <c r="AF543" s="30"/>
    </row>
    <row r="544" ht="15.75" customHeight="1">
      <c r="A544" s="94" t="s">
        <v>4499</v>
      </c>
      <c r="B544" s="95">
        <v>4.0</v>
      </c>
      <c r="C544" s="28" t="s">
        <v>4535</v>
      </c>
      <c r="D544" s="28" t="s">
        <v>4535</v>
      </c>
      <c r="E544" s="96" t="s">
        <v>4539</v>
      </c>
      <c r="F544" s="27"/>
      <c r="G544" s="27"/>
      <c r="H544" s="30"/>
      <c r="I544" s="30"/>
      <c r="J544" s="30"/>
      <c r="K544" s="30"/>
      <c r="L544" s="30"/>
      <c r="M544" s="30"/>
      <c r="N544" s="30"/>
      <c r="O544" s="30"/>
      <c r="P544" s="30"/>
      <c r="Q544" s="30"/>
      <c r="R544" s="30"/>
      <c r="S544" s="30"/>
      <c r="T544" s="30"/>
      <c r="U544" s="30"/>
      <c r="V544" s="30"/>
      <c r="W544" s="30"/>
      <c r="X544" s="30"/>
      <c r="Y544" s="30"/>
      <c r="Z544" s="30"/>
      <c r="AA544" s="30"/>
      <c r="AB544" s="30"/>
      <c r="AC544" s="30"/>
      <c r="AD544" s="30"/>
      <c r="AE544" s="30"/>
      <c r="AF544" s="30"/>
    </row>
    <row r="545" ht="15.75" customHeight="1">
      <c r="A545" s="94" t="s">
        <v>4499</v>
      </c>
      <c r="B545" s="95">
        <v>5.0</v>
      </c>
      <c r="C545" s="28" t="s">
        <v>4543</v>
      </c>
      <c r="D545" s="28" t="s">
        <v>1100</v>
      </c>
      <c r="E545" s="28" t="s">
        <v>4544</v>
      </c>
      <c r="F545" s="27"/>
      <c r="G545" s="27"/>
      <c r="H545" s="30"/>
      <c r="I545" s="30"/>
      <c r="J545" s="30"/>
      <c r="K545" s="30"/>
      <c r="L545" s="30"/>
      <c r="M545" s="30"/>
      <c r="N545" s="30"/>
      <c r="O545" s="30"/>
      <c r="P545" s="30"/>
      <c r="Q545" s="30"/>
      <c r="R545" s="30"/>
      <c r="S545" s="30"/>
      <c r="T545" s="30"/>
      <c r="U545" s="30"/>
      <c r="V545" s="30"/>
      <c r="W545" s="30"/>
      <c r="X545" s="30"/>
      <c r="Y545" s="30"/>
      <c r="Z545" s="30"/>
      <c r="AA545" s="30"/>
      <c r="AB545" s="30"/>
      <c r="AC545" s="30"/>
      <c r="AD545" s="30"/>
      <c r="AE545" s="30"/>
      <c r="AF545" s="30"/>
    </row>
    <row r="546" ht="15.75" customHeight="1">
      <c r="A546" s="77" t="s">
        <v>4499</v>
      </c>
      <c r="B546" s="111">
        <v>-777.0</v>
      </c>
      <c r="C546" s="42" t="s">
        <v>478</v>
      </c>
      <c r="D546" s="42" t="s">
        <v>479</v>
      </c>
      <c r="E546" s="42" t="s">
        <v>480</v>
      </c>
      <c r="F546" s="41"/>
      <c r="G546" s="41"/>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row>
    <row r="547" ht="15.75" customHeight="1">
      <c r="A547" s="114"/>
      <c r="B547" s="115"/>
      <c r="C547" s="114"/>
      <c r="D547" s="114"/>
      <c r="E547" s="210"/>
      <c r="F547" s="30"/>
      <c r="G547" s="30"/>
      <c r="H547" s="30"/>
      <c r="I547" s="30"/>
      <c r="J547" s="30"/>
      <c r="K547" s="30"/>
      <c r="L547" s="30"/>
      <c r="M547" s="30"/>
      <c r="N547" s="30"/>
      <c r="O547" s="30"/>
      <c r="P547" s="30"/>
      <c r="Q547" s="30"/>
      <c r="R547" s="30"/>
      <c r="S547" s="30"/>
      <c r="T547" s="30"/>
      <c r="U547" s="30"/>
      <c r="V547" s="30"/>
      <c r="W547" s="30"/>
      <c r="X547" s="30"/>
      <c r="Y547" s="30"/>
      <c r="Z547" s="30"/>
      <c r="AA547" s="30"/>
      <c r="AB547" s="30"/>
      <c r="AC547" s="30"/>
      <c r="AD547" s="30"/>
      <c r="AE547" s="30"/>
      <c r="AF547" s="30"/>
    </row>
    <row r="548" ht="15.75" customHeight="1">
      <c r="A548" s="123" t="s">
        <v>4570</v>
      </c>
      <c r="B548" s="126">
        <v>1.0</v>
      </c>
      <c r="C548" s="136" t="s">
        <v>4572</v>
      </c>
      <c r="D548" s="136" t="s">
        <v>4575</v>
      </c>
      <c r="E548" s="136" t="s">
        <v>4576</v>
      </c>
      <c r="F548" s="293"/>
      <c r="G548" s="293"/>
      <c r="H548" s="49"/>
      <c r="I548" s="49"/>
      <c r="J548" s="49"/>
      <c r="K548" s="49"/>
      <c r="L548" s="49"/>
      <c r="M548" s="49"/>
      <c r="N548" s="49"/>
      <c r="O548" s="49"/>
      <c r="P548" s="49"/>
      <c r="Q548" s="49"/>
      <c r="R548" s="49"/>
      <c r="S548" s="49"/>
      <c r="T548" s="49"/>
      <c r="U548" s="49"/>
      <c r="V548" s="49"/>
      <c r="W548" s="49"/>
      <c r="X548" s="49"/>
      <c r="Y548" s="49"/>
      <c r="Z548" s="49"/>
      <c r="AA548" s="49"/>
      <c r="AB548" s="49"/>
      <c r="AC548" s="49"/>
      <c r="AD548" s="49"/>
      <c r="AE548" s="49"/>
      <c r="AF548" s="49"/>
    </row>
    <row r="549" ht="15.75" customHeight="1">
      <c r="A549" s="94" t="s">
        <v>4570</v>
      </c>
      <c r="B549" s="95">
        <v>2.0</v>
      </c>
      <c r="C549" s="28" t="s">
        <v>4586</v>
      </c>
      <c r="D549" s="28" t="s">
        <v>4587</v>
      </c>
      <c r="E549" s="28" t="s">
        <v>4589</v>
      </c>
      <c r="F549" s="107"/>
      <c r="G549" s="107"/>
      <c r="H549" s="30"/>
      <c r="I549" s="30"/>
      <c r="J549" s="30"/>
      <c r="K549" s="30"/>
      <c r="L549" s="30"/>
      <c r="M549" s="30"/>
      <c r="N549" s="30"/>
      <c r="O549" s="30"/>
      <c r="P549" s="30"/>
      <c r="Q549" s="30"/>
      <c r="R549" s="30"/>
      <c r="S549" s="30"/>
      <c r="T549" s="30"/>
      <c r="U549" s="30"/>
      <c r="V549" s="30"/>
      <c r="W549" s="30"/>
      <c r="X549" s="30"/>
      <c r="Y549" s="30"/>
      <c r="Z549" s="30"/>
      <c r="AA549" s="30"/>
      <c r="AB549" s="30"/>
      <c r="AC549" s="30"/>
      <c r="AD549" s="30"/>
      <c r="AE549" s="30"/>
      <c r="AF549" s="30"/>
    </row>
    <row r="550" ht="15.75" customHeight="1">
      <c r="A550" s="94" t="s">
        <v>4570</v>
      </c>
      <c r="B550" s="95">
        <v>3.0</v>
      </c>
      <c r="C550" s="28" t="s">
        <v>4594</v>
      </c>
      <c r="D550" s="28" t="s">
        <v>4451</v>
      </c>
      <c r="E550" s="28" t="s">
        <v>4595</v>
      </c>
      <c r="F550" s="107"/>
      <c r="G550" s="107"/>
      <c r="H550" s="30"/>
      <c r="I550" s="30"/>
      <c r="J550" s="30"/>
      <c r="K550" s="30"/>
      <c r="L550" s="30"/>
      <c r="M550" s="30"/>
      <c r="N550" s="30"/>
      <c r="O550" s="30"/>
      <c r="P550" s="30"/>
      <c r="Q550" s="30"/>
      <c r="R550" s="30"/>
      <c r="S550" s="30"/>
      <c r="T550" s="30"/>
      <c r="U550" s="30"/>
      <c r="V550" s="30"/>
      <c r="W550" s="30"/>
      <c r="X550" s="30"/>
      <c r="Y550" s="30"/>
      <c r="Z550" s="30"/>
      <c r="AA550" s="30"/>
      <c r="AB550" s="30"/>
      <c r="AC550" s="30"/>
      <c r="AD550" s="30"/>
      <c r="AE550" s="30"/>
      <c r="AF550" s="30"/>
    </row>
    <row r="551" ht="15.75" customHeight="1">
      <c r="A551" s="94" t="s">
        <v>4570</v>
      </c>
      <c r="B551" s="95">
        <v>4.0</v>
      </c>
      <c r="C551" s="28" t="s">
        <v>4600</v>
      </c>
      <c r="D551" s="28" t="s">
        <v>4602</v>
      </c>
      <c r="E551" s="96" t="s">
        <v>4604</v>
      </c>
      <c r="F551" s="107"/>
      <c r="G551" s="107"/>
      <c r="H551" s="30"/>
      <c r="I551" s="30"/>
      <c r="J551" s="30"/>
      <c r="K551" s="30"/>
      <c r="L551" s="30"/>
      <c r="M551" s="30"/>
      <c r="N551" s="30"/>
      <c r="O551" s="30"/>
      <c r="P551" s="30"/>
      <c r="Q551" s="30"/>
      <c r="R551" s="30"/>
      <c r="S551" s="30"/>
      <c r="T551" s="30"/>
      <c r="U551" s="30"/>
      <c r="V551" s="30"/>
      <c r="W551" s="30"/>
      <c r="X551" s="30"/>
      <c r="Y551" s="30"/>
      <c r="Z551" s="30"/>
      <c r="AA551" s="30"/>
      <c r="AB551" s="30"/>
      <c r="AC551" s="30"/>
      <c r="AD551" s="30"/>
      <c r="AE551" s="30"/>
      <c r="AF551" s="30"/>
    </row>
    <row r="552" ht="15.75" customHeight="1">
      <c r="A552" s="94" t="s">
        <v>4570</v>
      </c>
      <c r="B552" s="95">
        <v>5.0</v>
      </c>
      <c r="C552" s="28" t="s">
        <v>4607</v>
      </c>
      <c r="D552" s="28" t="s">
        <v>4607</v>
      </c>
      <c r="E552" s="28" t="s">
        <v>4608</v>
      </c>
      <c r="F552" s="107"/>
      <c r="G552" s="107"/>
      <c r="H552" s="30"/>
      <c r="I552" s="30"/>
      <c r="J552" s="30"/>
      <c r="K552" s="30"/>
      <c r="L552" s="30"/>
      <c r="M552" s="30"/>
      <c r="N552" s="30"/>
      <c r="O552" s="30"/>
      <c r="P552" s="30"/>
      <c r="Q552" s="30"/>
      <c r="R552" s="30"/>
      <c r="S552" s="30"/>
      <c r="T552" s="30"/>
      <c r="U552" s="30"/>
      <c r="V552" s="30"/>
      <c r="W552" s="30"/>
      <c r="X552" s="30"/>
      <c r="Y552" s="30"/>
      <c r="Z552" s="30"/>
      <c r="AA552" s="30"/>
      <c r="AB552" s="30"/>
      <c r="AC552" s="30"/>
      <c r="AD552" s="30"/>
      <c r="AE552" s="30"/>
      <c r="AF552" s="30"/>
    </row>
    <row r="553" ht="15.75" customHeight="1">
      <c r="A553" s="94" t="s">
        <v>4570</v>
      </c>
      <c r="B553" s="95">
        <v>6.0</v>
      </c>
      <c r="C553" s="28" t="s">
        <v>4616</v>
      </c>
      <c r="D553" s="28" t="s">
        <v>4616</v>
      </c>
      <c r="E553" s="96" t="s">
        <v>4617</v>
      </c>
      <c r="F553" s="107"/>
      <c r="G553" s="107"/>
      <c r="H553" s="30"/>
      <c r="I553" s="30"/>
      <c r="J553" s="30"/>
      <c r="K553" s="30"/>
      <c r="L553" s="30"/>
      <c r="M553" s="30"/>
      <c r="N553" s="30"/>
      <c r="O553" s="30"/>
      <c r="P553" s="30"/>
      <c r="Q553" s="30"/>
      <c r="R553" s="30"/>
      <c r="S553" s="30"/>
      <c r="T553" s="30"/>
      <c r="U553" s="30"/>
      <c r="V553" s="30"/>
      <c r="W553" s="30"/>
      <c r="X553" s="30"/>
      <c r="Y553" s="30"/>
      <c r="Z553" s="30"/>
      <c r="AA553" s="30"/>
      <c r="AB553" s="30"/>
      <c r="AC553" s="30"/>
      <c r="AD553" s="30"/>
      <c r="AE553" s="30"/>
      <c r="AF553" s="30"/>
    </row>
    <row r="554" ht="15.75" customHeight="1">
      <c r="A554" s="94" t="s">
        <v>4570</v>
      </c>
      <c r="B554" s="95">
        <v>7.0</v>
      </c>
      <c r="C554" s="28" t="s">
        <v>4622</v>
      </c>
      <c r="D554" s="28" t="s">
        <v>4622</v>
      </c>
      <c r="E554" s="96" t="s">
        <v>4625</v>
      </c>
      <c r="F554" s="27"/>
      <c r="G554" s="27"/>
      <c r="H554" s="30"/>
      <c r="I554" s="30"/>
      <c r="J554" s="30"/>
      <c r="K554" s="30"/>
      <c r="L554" s="30"/>
      <c r="M554" s="30"/>
      <c r="N554" s="30"/>
      <c r="O554" s="30"/>
      <c r="P554" s="30"/>
      <c r="Q554" s="30"/>
      <c r="R554" s="30"/>
      <c r="S554" s="30"/>
      <c r="T554" s="30"/>
      <c r="U554" s="30"/>
      <c r="V554" s="30"/>
      <c r="W554" s="30"/>
      <c r="X554" s="30"/>
      <c r="Y554" s="30"/>
      <c r="Z554" s="30"/>
      <c r="AA554" s="30"/>
      <c r="AB554" s="30"/>
      <c r="AC554" s="30"/>
      <c r="AD554" s="30"/>
      <c r="AE554" s="30"/>
      <c r="AF554" s="30"/>
    </row>
    <row r="555" ht="15.75" customHeight="1">
      <c r="A555" s="94" t="s">
        <v>4570</v>
      </c>
      <c r="B555" s="95">
        <v>8.0</v>
      </c>
      <c r="C555" s="28" t="s">
        <v>4628</v>
      </c>
      <c r="D555" s="28" t="s">
        <v>4628</v>
      </c>
      <c r="E555" s="28" t="s">
        <v>4629</v>
      </c>
      <c r="F555" s="27"/>
      <c r="G555" s="27"/>
      <c r="H555" s="30"/>
      <c r="I555" s="30"/>
      <c r="J555" s="30"/>
      <c r="K555" s="30"/>
      <c r="L555" s="30"/>
      <c r="M555" s="30"/>
      <c r="N555" s="30"/>
      <c r="O555" s="30"/>
      <c r="P555" s="30"/>
      <c r="Q555" s="30"/>
      <c r="R555" s="30"/>
      <c r="S555" s="30"/>
      <c r="T555" s="30"/>
      <c r="U555" s="30"/>
      <c r="V555" s="30"/>
      <c r="W555" s="30"/>
      <c r="X555" s="30"/>
      <c r="Y555" s="30"/>
      <c r="Z555" s="30"/>
      <c r="AA555" s="30"/>
      <c r="AB555" s="30"/>
      <c r="AC555" s="30"/>
      <c r="AD555" s="30"/>
      <c r="AE555" s="30"/>
      <c r="AF555" s="30"/>
    </row>
    <row r="556" ht="15.75" customHeight="1">
      <c r="A556" s="94" t="s">
        <v>4570</v>
      </c>
      <c r="B556" s="95">
        <v>9.0</v>
      </c>
      <c r="C556" s="28" t="s">
        <v>4640</v>
      </c>
      <c r="D556" s="28" t="s">
        <v>4478</v>
      </c>
      <c r="E556" s="28" t="s">
        <v>4643</v>
      </c>
      <c r="F556" s="27"/>
      <c r="G556" s="27"/>
      <c r="H556" s="30"/>
      <c r="I556" s="30"/>
      <c r="J556" s="30"/>
      <c r="K556" s="30"/>
      <c r="L556" s="30"/>
      <c r="M556" s="30"/>
      <c r="N556" s="30"/>
      <c r="O556" s="30"/>
      <c r="P556" s="30"/>
      <c r="Q556" s="30"/>
      <c r="R556" s="30"/>
      <c r="S556" s="30"/>
      <c r="T556" s="30"/>
      <c r="U556" s="30"/>
      <c r="V556" s="30"/>
      <c r="W556" s="30"/>
      <c r="X556" s="30"/>
      <c r="Y556" s="30"/>
      <c r="Z556" s="30"/>
      <c r="AA556" s="30"/>
      <c r="AB556" s="30"/>
      <c r="AC556" s="30"/>
      <c r="AD556" s="30"/>
      <c r="AE556" s="30"/>
      <c r="AF556" s="30"/>
    </row>
    <row r="557" ht="15.75" customHeight="1">
      <c r="A557" s="94" t="s">
        <v>4570</v>
      </c>
      <c r="B557" s="95">
        <v>10.0</v>
      </c>
      <c r="C557" s="28" t="s">
        <v>4649</v>
      </c>
      <c r="D557" s="28" t="s">
        <v>4650</v>
      </c>
      <c r="E557" s="28" t="s">
        <v>4651</v>
      </c>
      <c r="F557" s="27"/>
      <c r="G557" s="27"/>
      <c r="H557" s="30"/>
      <c r="I557" s="30"/>
      <c r="J557" s="30"/>
      <c r="K557" s="30"/>
      <c r="L557" s="30"/>
      <c r="M557" s="30"/>
      <c r="N557" s="30"/>
      <c r="O557" s="30"/>
      <c r="P557" s="30"/>
      <c r="Q557" s="30"/>
      <c r="R557" s="30"/>
      <c r="S557" s="30"/>
      <c r="T557" s="30"/>
      <c r="U557" s="30"/>
      <c r="V557" s="30"/>
      <c r="W557" s="30"/>
      <c r="X557" s="30"/>
      <c r="Y557" s="30"/>
      <c r="Z557" s="30"/>
      <c r="AA557" s="30"/>
      <c r="AB557" s="30"/>
      <c r="AC557" s="30"/>
      <c r="AD557" s="30"/>
      <c r="AE557" s="30"/>
      <c r="AF557" s="30"/>
    </row>
    <row r="558" ht="15.75" customHeight="1">
      <c r="A558" s="294" t="s">
        <v>4570</v>
      </c>
      <c r="B558" s="271">
        <v>11.0</v>
      </c>
      <c r="C558" s="162" t="s">
        <v>4660</v>
      </c>
      <c r="D558" s="162" t="s">
        <v>4660</v>
      </c>
      <c r="E558" s="162" t="s">
        <v>4660</v>
      </c>
      <c r="F558" s="27"/>
      <c r="G558" s="27"/>
      <c r="H558" s="30"/>
      <c r="I558" s="30"/>
      <c r="J558" s="30"/>
      <c r="K558" s="30"/>
      <c r="L558" s="30"/>
      <c r="M558" s="30"/>
      <c r="N558" s="30"/>
      <c r="O558" s="30"/>
      <c r="P558" s="30"/>
      <c r="Q558" s="30"/>
      <c r="R558" s="30"/>
      <c r="S558" s="30"/>
      <c r="T558" s="30"/>
      <c r="U558" s="30"/>
      <c r="V558" s="30"/>
      <c r="W558" s="30"/>
      <c r="X558" s="30"/>
      <c r="Y558" s="30"/>
      <c r="Z558" s="30"/>
      <c r="AA558" s="30"/>
      <c r="AB558" s="30"/>
      <c r="AC558" s="30"/>
      <c r="AD558" s="30"/>
      <c r="AE558" s="30"/>
      <c r="AF558" s="30"/>
    </row>
    <row r="559" ht="15.75" customHeight="1">
      <c r="A559" s="294" t="s">
        <v>4570</v>
      </c>
      <c r="B559" s="271">
        <v>12.0</v>
      </c>
      <c r="C559" s="162" t="s">
        <v>4668</v>
      </c>
      <c r="D559" s="162" t="s">
        <v>4668</v>
      </c>
      <c r="E559" s="162" t="s">
        <v>4668</v>
      </c>
      <c r="F559" s="27"/>
      <c r="G559" s="27"/>
      <c r="H559" s="30"/>
      <c r="I559" s="30"/>
      <c r="J559" s="30"/>
      <c r="K559" s="30"/>
      <c r="L559" s="30"/>
      <c r="M559" s="30"/>
      <c r="N559" s="30"/>
      <c r="O559" s="30"/>
      <c r="P559" s="30"/>
      <c r="Q559" s="30"/>
      <c r="R559" s="30"/>
      <c r="S559" s="30"/>
      <c r="T559" s="30"/>
      <c r="U559" s="30"/>
      <c r="V559" s="30"/>
      <c r="W559" s="30"/>
      <c r="X559" s="30"/>
      <c r="Y559" s="30"/>
      <c r="Z559" s="30"/>
      <c r="AA559" s="30"/>
      <c r="AB559" s="30"/>
      <c r="AC559" s="30"/>
      <c r="AD559" s="30"/>
      <c r="AE559" s="30"/>
      <c r="AF559" s="30"/>
    </row>
    <row r="560" ht="15.75" customHeight="1">
      <c r="A560" s="294" t="s">
        <v>4570</v>
      </c>
      <c r="B560" s="271">
        <v>13.0</v>
      </c>
      <c r="C560" s="162" t="s">
        <v>4671</v>
      </c>
      <c r="D560" s="162" t="s">
        <v>4671</v>
      </c>
      <c r="E560" s="162" t="s">
        <v>4671</v>
      </c>
      <c r="F560" s="27"/>
      <c r="G560" s="27"/>
      <c r="H560" s="30"/>
      <c r="I560" s="30"/>
      <c r="J560" s="30"/>
      <c r="K560" s="30"/>
      <c r="L560" s="30"/>
      <c r="M560" s="30"/>
      <c r="N560" s="30"/>
      <c r="O560" s="30"/>
      <c r="P560" s="30"/>
      <c r="Q560" s="30"/>
      <c r="R560" s="30"/>
      <c r="S560" s="30"/>
      <c r="T560" s="30"/>
      <c r="U560" s="30"/>
      <c r="V560" s="30"/>
      <c r="W560" s="30"/>
      <c r="X560" s="30"/>
      <c r="Y560" s="30"/>
      <c r="Z560" s="30"/>
      <c r="AA560" s="30"/>
      <c r="AB560" s="30"/>
      <c r="AC560" s="30"/>
      <c r="AD560" s="30"/>
      <c r="AE560" s="30"/>
      <c r="AF560" s="30"/>
    </row>
    <row r="561" ht="15.75" customHeight="1">
      <c r="A561" s="77" t="s">
        <v>4570</v>
      </c>
      <c r="B561" s="111">
        <v>14.0</v>
      </c>
      <c r="C561" s="42" t="s">
        <v>4676</v>
      </c>
      <c r="D561" s="42" t="s">
        <v>4677</v>
      </c>
      <c r="E561" s="28" t="s">
        <v>4678</v>
      </c>
      <c r="F561" s="41"/>
      <c r="G561" s="41"/>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row>
    <row r="562" ht="15.75" customHeight="1">
      <c r="A562" s="77" t="s">
        <v>4570</v>
      </c>
      <c r="B562" s="111">
        <v>-777.0</v>
      </c>
      <c r="C562" s="42" t="s">
        <v>478</v>
      </c>
      <c r="D562" s="42" t="s">
        <v>479</v>
      </c>
      <c r="E562" s="42" t="s">
        <v>480</v>
      </c>
      <c r="F562" s="41"/>
      <c r="G562" s="41"/>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row>
    <row r="563" ht="15.75" customHeight="1">
      <c r="A563" s="114"/>
      <c r="B563" s="115"/>
      <c r="C563" s="114"/>
      <c r="D563" s="114"/>
      <c r="E563" s="210"/>
      <c r="F563" s="30"/>
      <c r="G563" s="30"/>
      <c r="H563" s="30"/>
      <c r="I563" s="30"/>
      <c r="J563" s="30"/>
      <c r="K563" s="30"/>
      <c r="L563" s="30"/>
      <c r="M563" s="30"/>
      <c r="N563" s="30"/>
      <c r="O563" s="30"/>
      <c r="P563" s="30"/>
      <c r="Q563" s="30"/>
      <c r="R563" s="30"/>
      <c r="S563" s="30"/>
      <c r="T563" s="30"/>
      <c r="U563" s="30"/>
      <c r="V563" s="30"/>
      <c r="W563" s="30"/>
      <c r="X563" s="30"/>
      <c r="Y563" s="30"/>
      <c r="Z563" s="30"/>
      <c r="AA563" s="30"/>
      <c r="AB563" s="30"/>
      <c r="AC563" s="30"/>
      <c r="AD563" s="30"/>
      <c r="AE563" s="30"/>
      <c r="AF563" s="30"/>
    </row>
    <row r="564" ht="15.75" customHeight="1">
      <c r="A564" s="218" t="s">
        <v>4695</v>
      </c>
      <c r="B564" s="126">
        <v>1.0</v>
      </c>
      <c r="C564" s="136" t="s">
        <v>1788</v>
      </c>
      <c r="D564" s="136" t="s">
        <v>1790</v>
      </c>
      <c r="E564" s="213" t="s">
        <v>1833</v>
      </c>
      <c r="F564" s="221"/>
      <c r="G564" s="221"/>
      <c r="H564" s="221"/>
      <c r="I564" s="221"/>
      <c r="J564" s="221"/>
      <c r="K564" s="221"/>
      <c r="L564" s="221"/>
      <c r="M564" s="221"/>
      <c r="N564" s="221"/>
      <c r="O564" s="221"/>
      <c r="P564" s="221"/>
      <c r="Q564" s="221"/>
      <c r="R564" s="221"/>
      <c r="S564" s="221"/>
      <c r="T564" s="221"/>
      <c r="U564" s="221"/>
      <c r="V564" s="221"/>
      <c r="W564" s="221"/>
      <c r="X564" s="221"/>
      <c r="Y564" s="221"/>
      <c r="Z564" s="221"/>
      <c r="AA564" s="221"/>
      <c r="AB564" s="221"/>
      <c r="AC564" s="221"/>
      <c r="AD564" s="221"/>
      <c r="AE564" s="221"/>
      <c r="AF564" s="221"/>
    </row>
    <row r="565" ht="15.75" customHeight="1">
      <c r="A565" s="77" t="s">
        <v>4695</v>
      </c>
      <c r="B565" s="95">
        <v>2.0</v>
      </c>
      <c r="C565" s="28" t="s">
        <v>1793</v>
      </c>
      <c r="D565" s="28" t="s">
        <v>1794</v>
      </c>
      <c r="E565" s="96" t="s">
        <v>1837</v>
      </c>
      <c r="F565" s="30"/>
      <c r="G565" s="41"/>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row>
    <row r="566" ht="15.75" customHeight="1">
      <c r="A566" s="77" t="s">
        <v>4695</v>
      </c>
      <c r="B566" s="95">
        <v>3.0</v>
      </c>
      <c r="C566" s="28" t="s">
        <v>1800</v>
      </c>
      <c r="D566" s="28" t="s">
        <v>1802</v>
      </c>
      <c r="E566" s="96" t="s">
        <v>1842</v>
      </c>
      <c r="F566" s="30"/>
      <c r="G566" s="107"/>
      <c r="H566" s="30"/>
      <c r="I566" s="30"/>
      <c r="J566" s="30"/>
      <c r="K566" s="30"/>
      <c r="L566" s="30"/>
      <c r="M566" s="30"/>
      <c r="N566" s="30"/>
      <c r="O566" s="30"/>
      <c r="P566" s="30"/>
      <c r="Q566" s="30"/>
      <c r="R566" s="30"/>
      <c r="S566" s="30"/>
      <c r="T566" s="30"/>
      <c r="U566" s="30"/>
      <c r="V566" s="30"/>
      <c r="W566" s="30"/>
      <c r="X566" s="30"/>
      <c r="Y566" s="30"/>
      <c r="Z566" s="30"/>
      <c r="AA566" s="30"/>
      <c r="AB566" s="30"/>
      <c r="AC566" s="30"/>
      <c r="AD566" s="30"/>
      <c r="AE566" s="30"/>
      <c r="AF566" s="30"/>
    </row>
    <row r="567" ht="15.75" customHeight="1">
      <c r="A567" s="77" t="s">
        <v>4695</v>
      </c>
      <c r="B567" s="95">
        <v>4.0</v>
      </c>
      <c r="C567" s="42" t="s">
        <v>1804</v>
      </c>
      <c r="D567" s="42" t="s">
        <v>1805</v>
      </c>
      <c r="E567" s="82" t="s">
        <v>4720</v>
      </c>
      <c r="F567" s="30"/>
      <c r="G567" s="107"/>
      <c r="H567" s="30"/>
      <c r="I567" s="30"/>
      <c r="J567" s="30"/>
      <c r="K567" s="30"/>
      <c r="L567" s="30"/>
      <c r="M567" s="30"/>
      <c r="N567" s="30"/>
      <c r="O567" s="30"/>
      <c r="P567" s="30"/>
      <c r="Q567" s="30"/>
      <c r="R567" s="30"/>
      <c r="S567" s="30"/>
      <c r="T567" s="30"/>
      <c r="U567" s="30"/>
      <c r="V567" s="30"/>
      <c r="W567" s="30"/>
      <c r="X567" s="30"/>
      <c r="Y567" s="30"/>
      <c r="Z567" s="30"/>
      <c r="AA567" s="30"/>
      <c r="AB567" s="30"/>
      <c r="AC567" s="30"/>
      <c r="AD567" s="30"/>
      <c r="AE567" s="30"/>
      <c r="AF567" s="30"/>
    </row>
    <row r="568" ht="15.75" customHeight="1">
      <c r="A568" s="77" t="s">
        <v>4695</v>
      </c>
      <c r="B568" s="95">
        <v>5.0</v>
      </c>
      <c r="C568" s="258" t="s">
        <v>1810</v>
      </c>
      <c r="D568" s="135" t="s">
        <v>1813</v>
      </c>
      <c r="E568" s="82" t="s">
        <v>1814</v>
      </c>
      <c r="F568" s="30"/>
      <c r="G568" s="107"/>
      <c r="H568" s="30"/>
      <c r="I568" s="30"/>
      <c r="J568" s="30"/>
      <c r="K568" s="30"/>
      <c r="L568" s="30"/>
      <c r="M568" s="30"/>
      <c r="N568" s="30"/>
      <c r="O568" s="30"/>
      <c r="P568" s="30"/>
      <c r="Q568" s="30"/>
      <c r="R568" s="30"/>
      <c r="S568" s="30"/>
      <c r="T568" s="30"/>
      <c r="U568" s="30"/>
      <c r="V568" s="30"/>
      <c r="W568" s="30"/>
      <c r="X568" s="30"/>
      <c r="Y568" s="30"/>
      <c r="Z568" s="30"/>
      <c r="AA568" s="30"/>
      <c r="AB568" s="30"/>
      <c r="AC568" s="30"/>
      <c r="AD568" s="30"/>
      <c r="AE568" s="30"/>
      <c r="AF568" s="30"/>
    </row>
    <row r="569" ht="15.75" customHeight="1">
      <c r="A569" s="77" t="s">
        <v>4695</v>
      </c>
      <c r="B569" s="95">
        <v>6.0</v>
      </c>
      <c r="C569" s="259" t="s">
        <v>1821</v>
      </c>
      <c r="D569" s="114" t="s">
        <v>1822</v>
      </c>
      <c r="E569" s="210" t="s">
        <v>1822</v>
      </c>
      <c r="F569" s="30"/>
      <c r="G569" s="30"/>
      <c r="H569" s="30"/>
      <c r="I569" s="30"/>
      <c r="J569" s="30"/>
      <c r="K569" s="30"/>
      <c r="L569" s="30"/>
      <c r="M569" s="30"/>
      <c r="N569" s="30"/>
      <c r="O569" s="30"/>
      <c r="P569" s="30"/>
      <c r="Q569" s="30"/>
      <c r="R569" s="30"/>
      <c r="S569" s="30"/>
      <c r="T569" s="30"/>
      <c r="U569" s="30"/>
      <c r="V569" s="30"/>
      <c r="W569" s="30"/>
      <c r="X569" s="30"/>
      <c r="Y569" s="30"/>
      <c r="Z569" s="30"/>
      <c r="AA569" s="30"/>
      <c r="AB569" s="30"/>
      <c r="AC569" s="30"/>
      <c r="AD569" s="30"/>
      <c r="AE569" s="30"/>
      <c r="AF569" s="30"/>
    </row>
    <row r="570" ht="15.75" customHeight="1">
      <c r="A570" s="77" t="s">
        <v>4695</v>
      </c>
      <c r="B570" s="111">
        <v>-777.0</v>
      </c>
      <c r="C570" s="42" t="s">
        <v>1824</v>
      </c>
      <c r="D570" s="42" t="s">
        <v>479</v>
      </c>
      <c r="E570" s="82" t="s">
        <v>1825</v>
      </c>
      <c r="F570" s="20"/>
      <c r="G570" s="41"/>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row>
    <row r="571" ht="15.75" customHeight="1">
      <c r="A571" s="114"/>
      <c r="B571" s="115"/>
      <c r="C571" s="114"/>
      <c r="D571" s="114"/>
      <c r="E571" s="210"/>
      <c r="F571" s="30"/>
      <c r="G571" s="30"/>
      <c r="H571" s="30"/>
      <c r="I571" s="30"/>
      <c r="J571" s="30"/>
      <c r="K571" s="30"/>
      <c r="L571" s="30"/>
      <c r="M571" s="30"/>
      <c r="N571" s="30"/>
      <c r="O571" s="30"/>
      <c r="P571" s="30"/>
      <c r="Q571" s="30"/>
      <c r="R571" s="30"/>
      <c r="S571" s="30"/>
      <c r="T571" s="30"/>
      <c r="U571" s="30"/>
      <c r="V571" s="30"/>
      <c r="W571" s="30"/>
      <c r="X571" s="30"/>
      <c r="Y571" s="30"/>
      <c r="Z571" s="30"/>
      <c r="AA571" s="30"/>
      <c r="AB571" s="30"/>
      <c r="AC571" s="30"/>
      <c r="AD571" s="30"/>
      <c r="AE571" s="30"/>
      <c r="AF571" s="30"/>
    </row>
    <row r="572" ht="15.75" customHeight="1">
      <c r="A572" s="123" t="s">
        <v>4744</v>
      </c>
      <c r="B572" s="126">
        <v>0.0</v>
      </c>
      <c r="C572" s="136" t="s">
        <v>4746</v>
      </c>
      <c r="D572" s="136" t="s">
        <v>4748</v>
      </c>
      <c r="E572" s="136" t="s">
        <v>4750</v>
      </c>
      <c r="F572" s="133"/>
      <c r="G572" s="133"/>
      <c r="H572" s="49"/>
      <c r="I572" s="49"/>
      <c r="J572" s="49"/>
      <c r="K572" s="49"/>
      <c r="L572" s="49"/>
      <c r="M572" s="49"/>
      <c r="N572" s="49"/>
      <c r="O572" s="49"/>
      <c r="P572" s="49"/>
      <c r="Q572" s="49"/>
      <c r="R572" s="49"/>
      <c r="S572" s="49"/>
      <c r="T572" s="49"/>
      <c r="U572" s="49"/>
      <c r="V572" s="49"/>
      <c r="W572" s="49"/>
      <c r="X572" s="49"/>
      <c r="Y572" s="49"/>
      <c r="Z572" s="49"/>
      <c r="AA572" s="49"/>
      <c r="AB572" s="49"/>
      <c r="AC572" s="49"/>
      <c r="AD572" s="49"/>
      <c r="AE572" s="49"/>
      <c r="AF572" s="49"/>
    </row>
    <row r="573" ht="15.75" customHeight="1">
      <c r="A573" s="94" t="s">
        <v>4744</v>
      </c>
      <c r="B573" s="95">
        <v>1.0</v>
      </c>
      <c r="C573" s="28" t="s">
        <v>4755</v>
      </c>
      <c r="D573" s="28" t="s">
        <v>4756</v>
      </c>
      <c r="E573" s="96" t="s">
        <v>4757</v>
      </c>
      <c r="F573" s="27"/>
      <c r="G573" s="27"/>
      <c r="H573" s="30"/>
      <c r="I573" s="30"/>
      <c r="J573" s="30"/>
      <c r="K573" s="30"/>
      <c r="L573" s="30"/>
      <c r="M573" s="30"/>
      <c r="N573" s="30"/>
      <c r="O573" s="30"/>
      <c r="P573" s="30"/>
      <c r="Q573" s="30"/>
      <c r="R573" s="30"/>
      <c r="S573" s="30"/>
      <c r="T573" s="30"/>
      <c r="U573" s="30"/>
      <c r="V573" s="30"/>
      <c r="W573" s="30"/>
      <c r="X573" s="30"/>
      <c r="Y573" s="30"/>
      <c r="Z573" s="30"/>
      <c r="AA573" s="30"/>
      <c r="AB573" s="30"/>
      <c r="AC573" s="30"/>
      <c r="AD573" s="30"/>
      <c r="AE573" s="30"/>
      <c r="AF573" s="30"/>
    </row>
    <row r="574" ht="15.75" customHeight="1">
      <c r="A574" s="94" t="s">
        <v>4744</v>
      </c>
      <c r="B574" s="95">
        <v>2.0</v>
      </c>
      <c r="C574" s="28" t="s">
        <v>4761</v>
      </c>
      <c r="D574" s="28" t="s">
        <v>4764</v>
      </c>
      <c r="E574" s="96" t="s">
        <v>4765</v>
      </c>
      <c r="F574" s="27"/>
      <c r="G574" s="27"/>
      <c r="H574" s="30"/>
      <c r="I574" s="30"/>
      <c r="J574" s="30"/>
      <c r="K574" s="30"/>
      <c r="L574" s="30"/>
      <c r="M574" s="30"/>
      <c r="N574" s="30"/>
      <c r="O574" s="30"/>
      <c r="P574" s="30"/>
      <c r="Q574" s="30"/>
      <c r="R574" s="30"/>
      <c r="S574" s="30"/>
      <c r="T574" s="30"/>
      <c r="U574" s="30"/>
      <c r="V574" s="30"/>
      <c r="W574" s="30"/>
      <c r="X574" s="30"/>
      <c r="Y574" s="30"/>
      <c r="Z574" s="30"/>
      <c r="AA574" s="30"/>
      <c r="AB574" s="30"/>
      <c r="AC574" s="30"/>
      <c r="AD574" s="30"/>
      <c r="AE574" s="30"/>
      <c r="AF574" s="30"/>
    </row>
    <row r="575" ht="15.75" customHeight="1">
      <c r="A575" s="94" t="s">
        <v>4744</v>
      </c>
      <c r="B575" s="95">
        <v>3.0</v>
      </c>
      <c r="C575" s="28" t="s">
        <v>4769</v>
      </c>
      <c r="D575" s="28" t="s">
        <v>4770</v>
      </c>
      <c r="E575" s="96" t="s">
        <v>4771</v>
      </c>
      <c r="F575" s="191"/>
      <c r="G575" s="191"/>
      <c r="H575" s="30"/>
      <c r="I575" s="30"/>
      <c r="J575" s="30"/>
      <c r="K575" s="30"/>
      <c r="L575" s="30"/>
      <c r="M575" s="30"/>
      <c r="N575" s="30"/>
      <c r="O575" s="30"/>
      <c r="P575" s="30"/>
      <c r="Q575" s="30"/>
      <c r="R575" s="30"/>
      <c r="S575" s="30"/>
      <c r="T575" s="30"/>
      <c r="U575" s="30"/>
      <c r="V575" s="30"/>
      <c r="W575" s="30"/>
      <c r="X575" s="30"/>
      <c r="Y575" s="30"/>
      <c r="Z575" s="30"/>
      <c r="AA575" s="30"/>
      <c r="AB575" s="30"/>
      <c r="AC575" s="30"/>
      <c r="AD575" s="30"/>
      <c r="AE575" s="30"/>
      <c r="AF575" s="30"/>
    </row>
    <row r="576" ht="15.75" customHeight="1">
      <c r="A576" s="94" t="s">
        <v>4744</v>
      </c>
      <c r="B576" s="95">
        <v>4.0</v>
      </c>
      <c r="C576" s="28" t="s">
        <v>4778</v>
      </c>
      <c r="D576" s="28" t="s">
        <v>4779</v>
      </c>
      <c r="E576" s="96" t="s">
        <v>4780</v>
      </c>
      <c r="F576" s="27"/>
      <c r="G576" s="27"/>
      <c r="H576" s="30"/>
      <c r="I576" s="30"/>
      <c r="J576" s="30"/>
      <c r="K576" s="30"/>
      <c r="L576" s="30"/>
      <c r="M576" s="30"/>
      <c r="N576" s="30"/>
      <c r="O576" s="30"/>
      <c r="P576" s="30"/>
      <c r="Q576" s="30"/>
      <c r="R576" s="30"/>
      <c r="S576" s="30"/>
      <c r="T576" s="30"/>
      <c r="U576" s="30"/>
      <c r="V576" s="30"/>
      <c r="W576" s="30"/>
      <c r="X576" s="30"/>
      <c r="Y576" s="30"/>
      <c r="Z576" s="30"/>
      <c r="AA576" s="30"/>
      <c r="AB576" s="30"/>
      <c r="AC576" s="30"/>
      <c r="AD576" s="30"/>
      <c r="AE576" s="30"/>
      <c r="AF576" s="30"/>
    </row>
    <row r="577" ht="15.75" customHeight="1">
      <c r="A577" s="94" t="s">
        <v>4744</v>
      </c>
      <c r="B577" s="95">
        <v>5.0</v>
      </c>
      <c r="C577" s="28" t="s">
        <v>4788</v>
      </c>
      <c r="D577" s="28" t="s">
        <v>4789</v>
      </c>
      <c r="E577" s="96" t="s">
        <v>4790</v>
      </c>
      <c r="F577" s="27"/>
      <c r="G577" s="27"/>
      <c r="H577" s="30"/>
      <c r="I577" s="30"/>
      <c r="J577" s="30"/>
      <c r="K577" s="30"/>
      <c r="L577" s="30"/>
      <c r="M577" s="30"/>
      <c r="N577" s="30"/>
      <c r="O577" s="30"/>
      <c r="P577" s="30"/>
      <c r="Q577" s="30"/>
      <c r="R577" s="30"/>
      <c r="S577" s="30"/>
      <c r="T577" s="30"/>
      <c r="U577" s="30"/>
      <c r="V577" s="30"/>
      <c r="W577" s="30"/>
      <c r="X577" s="30"/>
      <c r="Y577" s="30"/>
      <c r="Z577" s="30"/>
      <c r="AA577" s="30"/>
      <c r="AB577" s="30"/>
      <c r="AC577" s="30"/>
      <c r="AD577" s="30"/>
      <c r="AE577" s="30"/>
      <c r="AF577" s="30"/>
    </row>
    <row r="578" ht="15.75" customHeight="1">
      <c r="A578" s="94" t="s">
        <v>4744</v>
      </c>
      <c r="B578" s="95">
        <v>6.0</v>
      </c>
      <c r="C578" s="28" t="s">
        <v>4792</v>
      </c>
      <c r="D578" s="28" t="s">
        <v>4793</v>
      </c>
      <c r="E578" s="96" t="s">
        <v>4794</v>
      </c>
      <c r="F578" s="27"/>
      <c r="G578" s="27"/>
      <c r="H578" s="30"/>
      <c r="I578" s="30"/>
      <c r="J578" s="30"/>
      <c r="K578" s="30"/>
      <c r="L578" s="30"/>
      <c r="M578" s="30"/>
      <c r="N578" s="30"/>
      <c r="O578" s="30"/>
      <c r="P578" s="30"/>
      <c r="Q578" s="30"/>
      <c r="R578" s="30"/>
      <c r="S578" s="30"/>
      <c r="T578" s="30"/>
      <c r="U578" s="30"/>
      <c r="V578" s="30"/>
      <c r="W578" s="30"/>
      <c r="X578" s="30"/>
      <c r="Y578" s="30"/>
      <c r="Z578" s="30"/>
      <c r="AA578" s="30"/>
      <c r="AB578" s="30"/>
      <c r="AC578" s="30"/>
      <c r="AD578" s="30"/>
      <c r="AE578" s="30"/>
      <c r="AF578" s="30"/>
    </row>
    <row r="579" ht="15.75" customHeight="1">
      <c r="A579" s="94" t="s">
        <v>4744</v>
      </c>
      <c r="B579" s="95">
        <v>7.0</v>
      </c>
      <c r="C579" s="28" t="s">
        <v>4801</v>
      </c>
      <c r="D579" s="28" t="s">
        <v>4803</v>
      </c>
      <c r="E579" s="96" t="s">
        <v>4804</v>
      </c>
      <c r="F579" s="27"/>
      <c r="G579" s="27"/>
      <c r="H579" s="30"/>
      <c r="I579" s="30"/>
      <c r="J579" s="30"/>
      <c r="K579" s="30"/>
      <c r="L579" s="30"/>
      <c r="M579" s="30"/>
      <c r="N579" s="30"/>
      <c r="O579" s="30"/>
      <c r="P579" s="30"/>
      <c r="Q579" s="30"/>
      <c r="R579" s="30"/>
      <c r="S579" s="30"/>
      <c r="T579" s="30"/>
      <c r="U579" s="30"/>
      <c r="V579" s="30"/>
      <c r="W579" s="30"/>
      <c r="X579" s="30"/>
      <c r="Y579" s="30"/>
      <c r="Z579" s="30"/>
      <c r="AA579" s="30"/>
      <c r="AB579" s="30"/>
      <c r="AC579" s="30"/>
      <c r="AD579" s="30"/>
      <c r="AE579" s="30"/>
      <c r="AF579" s="30"/>
    </row>
    <row r="580" ht="15.75" customHeight="1">
      <c r="A580" s="77" t="s">
        <v>4744</v>
      </c>
      <c r="B580" s="111">
        <v>-777.0</v>
      </c>
      <c r="C580" s="42" t="s">
        <v>478</v>
      </c>
      <c r="D580" s="42" t="s">
        <v>479</v>
      </c>
      <c r="E580" s="82" t="s">
        <v>1825</v>
      </c>
      <c r="F580" s="41"/>
      <c r="G580" s="41"/>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row>
    <row r="581" ht="15.75" customHeight="1">
      <c r="A581" s="114"/>
      <c r="B581" s="115"/>
      <c r="C581" s="114"/>
      <c r="D581" s="114"/>
      <c r="E581" s="210"/>
      <c r="F581" s="30"/>
      <c r="G581" s="30"/>
      <c r="H581" s="30"/>
      <c r="I581" s="30"/>
      <c r="J581" s="30"/>
      <c r="K581" s="30"/>
      <c r="L581" s="30"/>
      <c r="M581" s="30"/>
      <c r="N581" s="30"/>
      <c r="O581" s="30"/>
      <c r="P581" s="30"/>
      <c r="Q581" s="30"/>
      <c r="R581" s="30"/>
      <c r="S581" s="30"/>
      <c r="T581" s="30"/>
      <c r="U581" s="30"/>
      <c r="V581" s="30"/>
      <c r="W581" s="30"/>
      <c r="X581" s="30"/>
      <c r="Y581" s="30"/>
      <c r="Z581" s="30"/>
      <c r="AA581" s="30"/>
      <c r="AB581" s="30"/>
      <c r="AC581" s="30"/>
      <c r="AD581" s="30"/>
      <c r="AE581" s="30"/>
      <c r="AF581" s="30"/>
    </row>
    <row r="582" ht="15.75" customHeight="1">
      <c r="A582" s="123" t="s">
        <v>4818</v>
      </c>
      <c r="B582" s="126">
        <v>1.0</v>
      </c>
      <c r="C582" s="136" t="s">
        <v>4821</v>
      </c>
      <c r="D582" s="268" t="s">
        <v>4823</v>
      </c>
      <c r="E582" s="268" t="s">
        <v>4824</v>
      </c>
      <c r="F582" s="49"/>
      <c r="G582" s="49"/>
      <c r="H582" s="49"/>
      <c r="I582" s="49"/>
      <c r="J582" s="49"/>
      <c r="K582" s="49"/>
      <c r="L582" s="49"/>
      <c r="M582" s="49"/>
      <c r="N582" s="49"/>
      <c r="O582" s="49"/>
      <c r="P582" s="49"/>
      <c r="Q582" s="49"/>
      <c r="R582" s="49"/>
      <c r="S582" s="49"/>
      <c r="T582" s="49"/>
      <c r="U582" s="49"/>
      <c r="V582" s="49"/>
      <c r="W582" s="49"/>
      <c r="X582" s="49"/>
      <c r="Y582" s="49"/>
      <c r="Z582" s="49"/>
      <c r="AA582" s="49"/>
      <c r="AB582" s="49"/>
      <c r="AC582" s="49"/>
      <c r="AD582" s="49"/>
      <c r="AE582" s="49"/>
      <c r="AF582" s="49"/>
    </row>
    <row r="583" ht="15.75" customHeight="1">
      <c r="A583" s="94" t="s">
        <v>4818</v>
      </c>
      <c r="B583" s="95">
        <v>2.0</v>
      </c>
      <c r="C583" s="28" t="s">
        <v>1205</v>
      </c>
      <c r="D583" s="114" t="s">
        <v>4837</v>
      </c>
      <c r="E583" s="114" t="s">
        <v>4838</v>
      </c>
      <c r="F583" s="30"/>
      <c r="G583" s="30"/>
      <c r="H583" s="30"/>
      <c r="I583" s="30"/>
      <c r="J583" s="30"/>
      <c r="K583" s="30"/>
      <c r="L583" s="30"/>
      <c r="M583" s="30"/>
      <c r="N583" s="30"/>
      <c r="O583" s="30"/>
      <c r="P583" s="30"/>
      <c r="Q583" s="30"/>
      <c r="R583" s="30"/>
      <c r="S583" s="30"/>
      <c r="T583" s="30"/>
      <c r="U583" s="30"/>
      <c r="V583" s="30"/>
      <c r="W583" s="30"/>
      <c r="X583" s="30"/>
      <c r="Y583" s="30"/>
      <c r="Z583" s="30"/>
      <c r="AA583" s="30"/>
      <c r="AB583" s="30"/>
      <c r="AC583" s="30"/>
      <c r="AD583" s="30"/>
      <c r="AE583" s="30"/>
      <c r="AF583" s="30"/>
    </row>
    <row r="584" ht="15.75" customHeight="1">
      <c r="A584" s="77" t="s">
        <v>4818</v>
      </c>
      <c r="B584" s="111">
        <v>3.0</v>
      </c>
      <c r="C584" s="42" t="s">
        <v>4843</v>
      </c>
      <c r="D584" s="112" t="s">
        <v>4844</v>
      </c>
      <c r="E584" s="112" t="s">
        <v>4845</v>
      </c>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row>
    <row r="585" ht="15.75" customHeight="1">
      <c r="A585" s="114"/>
      <c r="B585" s="115"/>
      <c r="C585" s="114"/>
      <c r="D585" s="114"/>
      <c r="E585" s="210"/>
      <c r="F585" s="30"/>
      <c r="G585" s="30"/>
      <c r="H585" s="30"/>
      <c r="I585" s="30"/>
      <c r="J585" s="30"/>
      <c r="K585" s="30"/>
      <c r="L585" s="30"/>
      <c r="M585" s="30"/>
      <c r="N585" s="30"/>
      <c r="O585" s="30"/>
      <c r="P585" s="30"/>
      <c r="Q585" s="30"/>
      <c r="R585" s="30"/>
      <c r="S585" s="30"/>
      <c r="T585" s="30"/>
      <c r="U585" s="30"/>
      <c r="V585" s="30"/>
      <c r="W585" s="30"/>
      <c r="X585" s="30"/>
      <c r="Y585" s="30"/>
      <c r="Z585" s="30"/>
      <c r="AA585" s="30"/>
      <c r="AB585" s="30"/>
      <c r="AC585" s="30"/>
      <c r="AD585" s="30"/>
      <c r="AE585" s="30"/>
      <c r="AF585" s="30"/>
    </row>
    <row r="586" ht="15.75" customHeight="1">
      <c r="A586" s="123" t="s">
        <v>4853</v>
      </c>
      <c r="B586" s="126">
        <v>1.0</v>
      </c>
      <c r="C586" s="136" t="s">
        <v>425</v>
      </c>
      <c r="D586" s="296" t="s">
        <v>4857</v>
      </c>
      <c r="E586" s="297" t="s">
        <v>4859</v>
      </c>
      <c r="F586" s="49"/>
      <c r="G586" s="50">
        <v>1.0</v>
      </c>
      <c r="H586" s="50"/>
      <c r="I586" s="49"/>
      <c r="J586" s="49"/>
      <c r="K586" s="49"/>
      <c r="L586" s="49"/>
      <c r="M586" s="49"/>
      <c r="N586" s="49"/>
      <c r="O586" s="49"/>
      <c r="P586" s="49"/>
      <c r="Q586" s="49"/>
      <c r="R586" s="49"/>
      <c r="S586" s="49"/>
      <c r="T586" s="49"/>
      <c r="U586" s="49"/>
      <c r="V586" s="49"/>
      <c r="W586" s="49"/>
      <c r="X586" s="49"/>
      <c r="Y586" s="49"/>
      <c r="Z586" s="49"/>
      <c r="AA586" s="49"/>
      <c r="AB586" s="49"/>
      <c r="AC586" s="49"/>
      <c r="AD586" s="49"/>
      <c r="AE586" s="49"/>
      <c r="AF586" s="49"/>
    </row>
    <row r="587" ht="15.75" customHeight="1">
      <c r="A587" s="94" t="s">
        <v>4853</v>
      </c>
      <c r="B587" s="95">
        <v>2.0</v>
      </c>
      <c r="C587" s="28" t="s">
        <v>432</v>
      </c>
      <c r="D587" s="114" t="s">
        <v>433</v>
      </c>
      <c r="E587" s="114" t="s">
        <v>434</v>
      </c>
      <c r="F587" s="30"/>
      <c r="G587" s="55">
        <v>1.0</v>
      </c>
      <c r="H587" s="55"/>
      <c r="I587" s="30"/>
      <c r="J587" s="30"/>
      <c r="K587" s="30"/>
      <c r="L587" s="30"/>
      <c r="M587" s="30"/>
      <c r="N587" s="30"/>
      <c r="O587" s="30"/>
      <c r="P587" s="30"/>
      <c r="Q587" s="30"/>
      <c r="R587" s="30"/>
      <c r="S587" s="30"/>
      <c r="T587" s="30"/>
      <c r="U587" s="30"/>
      <c r="V587" s="30"/>
      <c r="W587" s="30"/>
      <c r="X587" s="30"/>
      <c r="Y587" s="30"/>
      <c r="Z587" s="30"/>
      <c r="AA587" s="30"/>
      <c r="AB587" s="30"/>
      <c r="AC587" s="30"/>
      <c r="AD587" s="30"/>
      <c r="AE587" s="30"/>
      <c r="AF587" s="30"/>
    </row>
    <row r="588" ht="15.75" customHeight="1">
      <c r="A588" s="94" t="s">
        <v>4853</v>
      </c>
      <c r="B588" s="95">
        <v>3.0</v>
      </c>
      <c r="C588" s="28" t="s">
        <v>438</v>
      </c>
      <c r="D588" s="114" t="s">
        <v>438</v>
      </c>
      <c r="E588" s="114" t="s">
        <v>4867</v>
      </c>
      <c r="F588" s="30"/>
      <c r="G588" s="55">
        <v>1.0</v>
      </c>
      <c r="H588" s="55"/>
      <c r="I588" s="30"/>
      <c r="J588" s="30"/>
      <c r="K588" s="30"/>
      <c r="L588" s="30"/>
      <c r="M588" s="30"/>
      <c r="N588" s="30"/>
      <c r="O588" s="30"/>
      <c r="P588" s="30"/>
      <c r="Q588" s="30"/>
      <c r="R588" s="30"/>
      <c r="S588" s="30"/>
      <c r="T588" s="30"/>
      <c r="U588" s="30"/>
      <c r="V588" s="30"/>
      <c r="W588" s="30"/>
      <c r="X588" s="30"/>
      <c r="Y588" s="30"/>
      <c r="Z588" s="30"/>
      <c r="AA588" s="30"/>
      <c r="AB588" s="30"/>
      <c r="AC588" s="30"/>
      <c r="AD588" s="30"/>
      <c r="AE588" s="30"/>
      <c r="AF588" s="30"/>
    </row>
    <row r="589" ht="15.75" customHeight="1">
      <c r="A589" s="94" t="s">
        <v>4853</v>
      </c>
      <c r="B589" s="95">
        <v>4.0</v>
      </c>
      <c r="C589" s="28" t="s">
        <v>443</v>
      </c>
      <c r="D589" s="114" t="s">
        <v>4874</v>
      </c>
      <c r="E589" s="210" t="s">
        <v>4875</v>
      </c>
      <c r="F589" s="30"/>
      <c r="G589" s="55">
        <v>1.0</v>
      </c>
      <c r="H589" s="55"/>
      <c r="I589" s="30"/>
      <c r="J589" s="30"/>
      <c r="K589" s="30"/>
      <c r="L589" s="30"/>
      <c r="M589" s="30"/>
      <c r="N589" s="30"/>
      <c r="O589" s="30"/>
      <c r="P589" s="30"/>
      <c r="Q589" s="30"/>
      <c r="R589" s="30"/>
      <c r="S589" s="30"/>
      <c r="T589" s="30"/>
      <c r="U589" s="30"/>
      <c r="V589" s="30"/>
      <c r="W589" s="30"/>
      <c r="X589" s="30"/>
      <c r="Y589" s="30"/>
      <c r="Z589" s="30"/>
      <c r="AA589" s="30"/>
      <c r="AB589" s="30"/>
      <c r="AC589" s="30"/>
      <c r="AD589" s="30"/>
      <c r="AE589" s="30"/>
      <c r="AF589" s="30"/>
    </row>
    <row r="590" ht="15.75" customHeight="1">
      <c r="A590" s="94" t="s">
        <v>4853</v>
      </c>
      <c r="B590" s="95">
        <v>5.0</v>
      </c>
      <c r="C590" s="28" t="s">
        <v>447</v>
      </c>
      <c r="D590" s="114" t="s">
        <v>4888</v>
      </c>
      <c r="E590" s="210" t="s">
        <v>4889</v>
      </c>
      <c r="F590" s="30"/>
      <c r="G590" s="55">
        <v>1.0</v>
      </c>
      <c r="H590" s="55"/>
      <c r="I590" s="30"/>
      <c r="J590" s="30"/>
      <c r="K590" s="30"/>
      <c r="L590" s="30"/>
      <c r="M590" s="30"/>
      <c r="N590" s="30"/>
      <c r="O590" s="30"/>
      <c r="P590" s="30"/>
      <c r="Q590" s="30"/>
      <c r="R590" s="30"/>
      <c r="S590" s="30"/>
      <c r="T590" s="30"/>
      <c r="U590" s="30"/>
      <c r="V590" s="30"/>
      <c r="W590" s="30"/>
      <c r="X590" s="30"/>
      <c r="Y590" s="30"/>
      <c r="Z590" s="30"/>
      <c r="AA590" s="30"/>
      <c r="AB590" s="30"/>
      <c r="AC590" s="30"/>
      <c r="AD590" s="30"/>
      <c r="AE590" s="30"/>
      <c r="AF590" s="30"/>
    </row>
    <row r="591" ht="15.75" customHeight="1">
      <c r="A591" s="94" t="s">
        <v>4853</v>
      </c>
      <c r="B591" s="95">
        <v>6.0</v>
      </c>
      <c r="C591" s="28" t="s">
        <v>454</v>
      </c>
      <c r="D591" s="114" t="s">
        <v>4897</v>
      </c>
      <c r="E591" s="114" t="s">
        <v>456</v>
      </c>
      <c r="F591" s="30"/>
      <c r="G591" s="55">
        <v>1.0</v>
      </c>
      <c r="H591" s="55"/>
      <c r="I591" s="30"/>
      <c r="J591" s="30"/>
      <c r="K591" s="30"/>
      <c r="L591" s="30"/>
      <c r="M591" s="30"/>
      <c r="N591" s="30"/>
      <c r="O591" s="30"/>
      <c r="P591" s="30"/>
      <c r="Q591" s="30"/>
      <c r="R591" s="30"/>
      <c r="S591" s="30"/>
      <c r="T591" s="30"/>
      <c r="U591" s="30"/>
      <c r="V591" s="30"/>
      <c r="W591" s="30"/>
      <c r="X591" s="30"/>
      <c r="Y591" s="30"/>
      <c r="Z591" s="30"/>
      <c r="AA591" s="30"/>
      <c r="AB591" s="30"/>
      <c r="AC591" s="30"/>
      <c r="AD591" s="30"/>
      <c r="AE591" s="30"/>
      <c r="AF591" s="30"/>
    </row>
    <row r="592" ht="15.75" customHeight="1">
      <c r="A592" s="94" t="s">
        <v>4853</v>
      </c>
      <c r="B592" s="95">
        <v>7.0</v>
      </c>
      <c r="C592" s="28" t="s">
        <v>461</v>
      </c>
      <c r="D592" s="114" t="s">
        <v>462</v>
      </c>
      <c r="E592" s="114" t="s">
        <v>463</v>
      </c>
      <c r="F592" s="30"/>
      <c r="G592" s="30"/>
      <c r="H592" s="55"/>
      <c r="I592" s="30"/>
      <c r="J592" s="30"/>
      <c r="K592" s="30"/>
      <c r="L592" s="30"/>
      <c r="M592" s="30"/>
      <c r="N592" s="30"/>
      <c r="O592" s="30"/>
      <c r="P592" s="30"/>
      <c r="Q592" s="30"/>
      <c r="R592" s="30"/>
      <c r="S592" s="30"/>
      <c r="T592" s="30"/>
      <c r="U592" s="30"/>
      <c r="V592" s="30"/>
      <c r="W592" s="30"/>
      <c r="X592" s="30"/>
      <c r="Y592" s="30"/>
      <c r="Z592" s="30"/>
      <c r="AA592" s="30"/>
      <c r="AB592" s="30"/>
      <c r="AC592" s="30"/>
      <c r="AD592" s="30"/>
      <c r="AE592" s="30"/>
      <c r="AF592" s="30"/>
    </row>
    <row r="593" ht="15.75" customHeight="1">
      <c r="A593" s="77" t="s">
        <v>4853</v>
      </c>
      <c r="B593" s="111">
        <v>8.0</v>
      </c>
      <c r="C593" s="42" t="s">
        <v>469</v>
      </c>
      <c r="D593" s="112" t="s">
        <v>4914</v>
      </c>
      <c r="E593" s="112" t="s">
        <v>471</v>
      </c>
      <c r="F593" s="20"/>
      <c r="G593" s="20"/>
      <c r="H593" s="298"/>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row>
    <row r="594" ht="15.75" customHeight="1">
      <c r="A594" s="77"/>
      <c r="B594" s="42"/>
      <c r="C594" s="42"/>
      <c r="D594" s="42"/>
      <c r="E594" s="42"/>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row>
    <row r="595" ht="15.75" customHeight="1">
      <c r="A595" s="94" t="s">
        <v>4930</v>
      </c>
      <c r="B595" s="95">
        <v>1.0</v>
      </c>
      <c r="C595" s="28" t="s">
        <v>4931</v>
      </c>
      <c r="D595" s="299" t="s">
        <v>4932</v>
      </c>
      <c r="E595" s="114" t="s">
        <v>4936</v>
      </c>
      <c r="F595" s="30"/>
      <c r="G595" s="30"/>
      <c r="H595" s="30"/>
      <c r="I595" s="30"/>
      <c r="J595" s="30"/>
      <c r="K595" s="30"/>
      <c r="L595" s="30"/>
      <c r="M595" s="30"/>
      <c r="N595" s="30"/>
      <c r="O595" s="30"/>
      <c r="P595" s="30"/>
      <c r="Q595" s="30"/>
      <c r="R595" s="30"/>
      <c r="S595" s="30"/>
      <c r="T595" s="30"/>
      <c r="U595" s="30"/>
      <c r="V595" s="30"/>
      <c r="W595" s="30"/>
      <c r="X595" s="30"/>
      <c r="Y595" s="30"/>
      <c r="Z595" s="30"/>
      <c r="AA595" s="30"/>
      <c r="AB595" s="30"/>
      <c r="AC595" s="30"/>
      <c r="AD595" s="30"/>
      <c r="AE595" s="30"/>
      <c r="AF595" s="30"/>
    </row>
    <row r="596" ht="15.75" customHeight="1">
      <c r="A596" s="94" t="s">
        <v>4930</v>
      </c>
      <c r="B596" s="95">
        <v>2.0</v>
      </c>
      <c r="C596" s="28" t="s">
        <v>4943</v>
      </c>
      <c r="D596" s="299" t="s">
        <v>4945</v>
      </c>
      <c r="E596" s="114" t="s">
        <v>4947</v>
      </c>
      <c r="F596" s="30"/>
      <c r="G596" s="30"/>
      <c r="H596" s="30"/>
      <c r="I596" s="30"/>
      <c r="J596" s="30"/>
      <c r="K596" s="30"/>
      <c r="L596" s="30"/>
      <c r="M596" s="30"/>
      <c r="N596" s="30"/>
      <c r="O596" s="30"/>
      <c r="P596" s="30"/>
      <c r="Q596" s="30"/>
      <c r="R596" s="30"/>
      <c r="S596" s="30"/>
      <c r="T596" s="30"/>
      <c r="U596" s="30"/>
      <c r="V596" s="30"/>
      <c r="W596" s="30"/>
      <c r="X596" s="30"/>
      <c r="Y596" s="30"/>
      <c r="Z596" s="30"/>
      <c r="AA596" s="30"/>
      <c r="AB596" s="30"/>
      <c r="AC596" s="30"/>
      <c r="AD596" s="30"/>
      <c r="AE596" s="30"/>
      <c r="AF596" s="30"/>
    </row>
    <row r="597" ht="15.75" customHeight="1">
      <c r="A597" s="94" t="s">
        <v>4930</v>
      </c>
      <c r="B597" s="95">
        <v>3.0</v>
      </c>
      <c r="C597" s="28" t="s">
        <v>4954</v>
      </c>
      <c r="D597" s="299" t="s">
        <v>273</v>
      </c>
      <c r="E597" s="114" t="s">
        <v>4955</v>
      </c>
      <c r="F597" s="30"/>
      <c r="G597" s="30"/>
      <c r="H597" s="30"/>
      <c r="I597" s="30"/>
      <c r="J597" s="30"/>
      <c r="K597" s="30"/>
      <c r="L597" s="30"/>
      <c r="M597" s="30"/>
      <c r="N597" s="30"/>
      <c r="O597" s="30"/>
      <c r="P597" s="30"/>
      <c r="Q597" s="30"/>
      <c r="R597" s="30"/>
      <c r="S597" s="30"/>
      <c r="T597" s="30"/>
      <c r="U597" s="30"/>
      <c r="V597" s="30"/>
      <c r="W597" s="30"/>
      <c r="X597" s="30"/>
      <c r="Y597" s="30"/>
      <c r="Z597" s="30"/>
      <c r="AA597" s="30"/>
      <c r="AB597" s="30"/>
      <c r="AC597" s="30"/>
      <c r="AD597" s="30"/>
      <c r="AE597" s="30"/>
      <c r="AF597" s="30"/>
    </row>
    <row r="598" ht="15.75" customHeight="1">
      <c r="A598" s="94" t="s">
        <v>4930</v>
      </c>
      <c r="B598" s="95">
        <v>4.0</v>
      </c>
      <c r="C598" s="28" t="s">
        <v>4963</v>
      </c>
      <c r="D598" s="299" t="s">
        <v>4964</v>
      </c>
      <c r="E598" s="114" t="s">
        <v>315</v>
      </c>
      <c r="F598" s="30"/>
      <c r="G598" s="30"/>
      <c r="H598" s="30"/>
      <c r="I598" s="30"/>
      <c r="J598" s="30"/>
      <c r="K598" s="30"/>
      <c r="L598" s="30"/>
      <c r="M598" s="30"/>
      <c r="N598" s="30"/>
      <c r="O598" s="30"/>
      <c r="P598" s="30"/>
      <c r="Q598" s="30"/>
      <c r="R598" s="30"/>
      <c r="S598" s="30"/>
      <c r="T598" s="30"/>
      <c r="U598" s="30"/>
      <c r="V598" s="30"/>
      <c r="W598" s="30"/>
      <c r="X598" s="30"/>
      <c r="Y598" s="30"/>
      <c r="Z598" s="30"/>
      <c r="AA598" s="30"/>
      <c r="AB598" s="30"/>
      <c r="AC598" s="30"/>
      <c r="AD598" s="30"/>
      <c r="AE598" s="30"/>
      <c r="AF598" s="30"/>
    </row>
    <row r="599" ht="15.75" customHeight="1">
      <c r="A599" s="94" t="s">
        <v>4930</v>
      </c>
      <c r="B599" s="95">
        <v>5.0</v>
      </c>
      <c r="C599" s="28" t="s">
        <v>4973</v>
      </c>
      <c r="D599" s="299" t="s">
        <v>4974</v>
      </c>
      <c r="E599" s="114" t="s">
        <v>315</v>
      </c>
      <c r="F599" s="30"/>
      <c r="G599" s="30"/>
      <c r="H599" s="30"/>
      <c r="I599" s="30"/>
      <c r="J599" s="30"/>
      <c r="K599" s="30"/>
      <c r="L599" s="30"/>
      <c r="M599" s="30"/>
      <c r="N599" s="30"/>
      <c r="O599" s="30"/>
      <c r="P599" s="30"/>
      <c r="Q599" s="30"/>
      <c r="R599" s="30"/>
      <c r="S599" s="30"/>
      <c r="T599" s="30"/>
      <c r="U599" s="30"/>
      <c r="V599" s="30"/>
      <c r="W599" s="30"/>
      <c r="X599" s="30"/>
      <c r="Y599" s="30"/>
      <c r="Z599" s="30"/>
      <c r="AA599" s="30"/>
      <c r="AB599" s="30"/>
      <c r="AC599" s="30"/>
      <c r="AD599" s="30"/>
      <c r="AE599" s="30"/>
      <c r="AF599" s="30"/>
    </row>
    <row r="600" ht="15.75" customHeight="1">
      <c r="A600" s="94" t="s">
        <v>4930</v>
      </c>
      <c r="B600" s="95">
        <v>6.0</v>
      </c>
      <c r="C600" s="28" t="s">
        <v>4978</v>
      </c>
      <c r="D600" s="299" t="s">
        <v>4979</v>
      </c>
      <c r="E600" s="114" t="s">
        <v>4980</v>
      </c>
      <c r="F600" s="30"/>
      <c r="G600" s="30"/>
      <c r="H600" s="30"/>
      <c r="I600" s="30"/>
      <c r="J600" s="30"/>
      <c r="K600" s="30"/>
      <c r="L600" s="30"/>
      <c r="M600" s="30"/>
      <c r="N600" s="30"/>
      <c r="O600" s="30"/>
      <c r="P600" s="30"/>
      <c r="Q600" s="30"/>
      <c r="R600" s="30"/>
      <c r="S600" s="30"/>
      <c r="T600" s="30"/>
      <c r="U600" s="30"/>
      <c r="V600" s="30"/>
      <c r="W600" s="30"/>
      <c r="X600" s="30"/>
      <c r="Y600" s="30"/>
      <c r="Z600" s="30"/>
      <c r="AA600" s="30"/>
      <c r="AB600" s="30"/>
      <c r="AC600" s="30"/>
      <c r="AD600" s="30"/>
      <c r="AE600" s="30"/>
      <c r="AF600" s="30"/>
    </row>
    <row r="601" ht="15.75" customHeight="1">
      <c r="A601" s="77" t="s">
        <v>4930</v>
      </c>
      <c r="B601" s="111">
        <v>7.0</v>
      </c>
      <c r="C601" s="42" t="s">
        <v>4988</v>
      </c>
      <c r="D601" s="300" t="s">
        <v>4989</v>
      </c>
      <c r="E601" s="112" t="s">
        <v>4990</v>
      </c>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row>
    <row r="602" ht="15.75" customHeight="1">
      <c r="A602" s="77"/>
      <c r="B602" s="42"/>
      <c r="C602" s="42"/>
      <c r="D602" s="42"/>
      <c r="E602" s="42"/>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row>
    <row r="603" ht="15.75" customHeight="1">
      <c r="A603" s="123" t="s">
        <v>4997</v>
      </c>
      <c r="B603" s="126">
        <v>1.0</v>
      </c>
      <c r="C603" s="136" t="s">
        <v>3522</v>
      </c>
      <c r="D603" s="268" t="s">
        <v>3523</v>
      </c>
      <c r="E603" s="268" t="s">
        <v>3524</v>
      </c>
      <c r="F603" s="49"/>
      <c r="G603" s="49"/>
      <c r="H603" s="49"/>
      <c r="I603" s="49"/>
      <c r="J603" s="49"/>
      <c r="K603" s="49"/>
      <c r="L603" s="49"/>
      <c r="M603" s="49"/>
      <c r="N603" s="49"/>
      <c r="O603" s="49"/>
      <c r="P603" s="49"/>
      <c r="Q603" s="49"/>
      <c r="R603" s="49"/>
      <c r="S603" s="49"/>
      <c r="T603" s="49"/>
      <c r="U603" s="49"/>
      <c r="V603" s="49"/>
      <c r="W603" s="49"/>
      <c r="X603" s="49"/>
      <c r="Y603" s="49"/>
      <c r="Z603" s="49"/>
      <c r="AA603" s="49"/>
      <c r="AB603" s="49"/>
      <c r="AC603" s="49"/>
      <c r="AD603" s="49"/>
      <c r="AE603" s="49"/>
      <c r="AF603" s="49"/>
    </row>
    <row r="604" ht="15.75" customHeight="1">
      <c r="A604" s="94" t="s">
        <v>4997</v>
      </c>
      <c r="B604" s="95">
        <v>2.0</v>
      </c>
      <c r="C604" s="28" t="s">
        <v>5007</v>
      </c>
      <c r="D604" s="114" t="s">
        <v>5007</v>
      </c>
      <c r="E604" s="114" t="s">
        <v>5008</v>
      </c>
      <c r="F604" s="30"/>
      <c r="G604" s="30"/>
      <c r="H604" s="30"/>
      <c r="I604" s="30"/>
      <c r="J604" s="30"/>
      <c r="K604" s="30"/>
      <c r="L604" s="30"/>
      <c r="M604" s="30"/>
      <c r="N604" s="30"/>
      <c r="O604" s="30"/>
      <c r="P604" s="30"/>
      <c r="Q604" s="30"/>
      <c r="R604" s="30"/>
      <c r="S604" s="30"/>
      <c r="T604" s="30"/>
      <c r="U604" s="30"/>
      <c r="V604" s="30"/>
      <c r="W604" s="30"/>
      <c r="X604" s="30"/>
      <c r="Y604" s="30"/>
      <c r="Z604" s="30"/>
      <c r="AA604" s="30"/>
      <c r="AB604" s="30"/>
      <c r="AC604" s="30"/>
      <c r="AD604" s="30"/>
      <c r="AE604" s="30"/>
      <c r="AF604" s="30"/>
    </row>
    <row r="605" ht="15.75" customHeight="1">
      <c r="A605" s="94" t="s">
        <v>4997</v>
      </c>
      <c r="B605" s="95">
        <v>3.0</v>
      </c>
      <c r="C605" s="28" t="s">
        <v>5014</v>
      </c>
      <c r="D605" s="114" t="s">
        <v>5015</v>
      </c>
      <c r="E605" s="114" t="s">
        <v>5016</v>
      </c>
      <c r="F605" s="30"/>
      <c r="G605" s="30"/>
      <c r="H605" s="30"/>
      <c r="I605" s="30"/>
      <c r="J605" s="30"/>
      <c r="K605" s="30"/>
      <c r="L605" s="30"/>
      <c r="M605" s="30"/>
      <c r="N605" s="30"/>
      <c r="O605" s="30"/>
      <c r="P605" s="30"/>
      <c r="Q605" s="30"/>
      <c r="R605" s="30"/>
      <c r="S605" s="30"/>
      <c r="T605" s="30"/>
      <c r="U605" s="30"/>
      <c r="V605" s="30"/>
      <c r="W605" s="30"/>
      <c r="X605" s="30"/>
      <c r="Y605" s="30"/>
      <c r="Z605" s="30"/>
      <c r="AA605" s="30"/>
      <c r="AB605" s="30"/>
      <c r="AC605" s="30"/>
      <c r="AD605" s="30"/>
      <c r="AE605" s="30"/>
      <c r="AF605" s="30"/>
    </row>
    <row r="606" ht="15.75" customHeight="1">
      <c r="A606" s="94" t="s">
        <v>4997</v>
      </c>
      <c r="B606" s="95">
        <v>4.0</v>
      </c>
      <c r="C606" s="28" t="s">
        <v>5017</v>
      </c>
      <c r="D606" s="114" t="s">
        <v>5018</v>
      </c>
      <c r="E606" s="114" t="s">
        <v>5019</v>
      </c>
      <c r="F606" s="30"/>
      <c r="G606" s="30"/>
      <c r="H606" s="30"/>
      <c r="I606" s="30"/>
      <c r="J606" s="30"/>
      <c r="K606" s="30"/>
      <c r="L606" s="30"/>
      <c r="M606" s="30"/>
      <c r="N606" s="30"/>
      <c r="O606" s="30"/>
      <c r="P606" s="30"/>
      <c r="Q606" s="30"/>
      <c r="R606" s="30"/>
      <c r="S606" s="30"/>
      <c r="T606" s="30"/>
      <c r="U606" s="30"/>
      <c r="V606" s="30"/>
      <c r="W606" s="30"/>
      <c r="X606" s="30"/>
      <c r="Y606" s="30"/>
      <c r="Z606" s="30"/>
      <c r="AA606" s="30"/>
      <c r="AB606" s="30"/>
      <c r="AC606" s="30"/>
      <c r="AD606" s="30"/>
      <c r="AE606" s="30"/>
      <c r="AF606" s="30"/>
    </row>
    <row r="607" ht="15.75" customHeight="1">
      <c r="A607" s="94" t="s">
        <v>4997</v>
      </c>
      <c r="B607" s="95">
        <v>5.0</v>
      </c>
      <c r="C607" s="28" t="s">
        <v>5020</v>
      </c>
      <c r="D607" s="114" t="s">
        <v>5021</v>
      </c>
      <c r="E607" s="114" t="s">
        <v>5022</v>
      </c>
      <c r="F607" s="30"/>
      <c r="G607" s="30"/>
      <c r="H607" s="30"/>
      <c r="I607" s="30"/>
      <c r="J607" s="30"/>
      <c r="K607" s="30"/>
      <c r="L607" s="30"/>
      <c r="M607" s="30"/>
      <c r="N607" s="30"/>
      <c r="O607" s="30"/>
      <c r="P607" s="30"/>
      <c r="Q607" s="30"/>
      <c r="R607" s="30"/>
      <c r="S607" s="30"/>
      <c r="T607" s="30"/>
      <c r="U607" s="30"/>
      <c r="V607" s="30"/>
      <c r="W607" s="30"/>
      <c r="X607" s="30"/>
      <c r="Y607" s="30"/>
      <c r="Z607" s="30"/>
      <c r="AA607" s="30"/>
      <c r="AB607" s="30"/>
      <c r="AC607" s="30"/>
      <c r="AD607" s="30"/>
      <c r="AE607" s="30"/>
      <c r="AF607" s="30"/>
    </row>
    <row r="608" ht="15.75" customHeight="1">
      <c r="A608" s="94" t="s">
        <v>4997</v>
      </c>
      <c r="B608" s="95">
        <v>6.0</v>
      </c>
      <c r="C608" s="28" t="s">
        <v>5025</v>
      </c>
      <c r="D608" s="114" t="s">
        <v>5026</v>
      </c>
      <c r="E608" s="114" t="s">
        <v>5027</v>
      </c>
      <c r="F608" s="30"/>
      <c r="G608" s="30"/>
      <c r="H608" s="30"/>
      <c r="I608" s="30"/>
      <c r="J608" s="30"/>
      <c r="K608" s="30"/>
      <c r="L608" s="30"/>
      <c r="M608" s="30"/>
      <c r="N608" s="30"/>
      <c r="O608" s="30"/>
      <c r="P608" s="30"/>
      <c r="Q608" s="30"/>
      <c r="R608" s="30"/>
      <c r="S608" s="30"/>
      <c r="T608" s="30"/>
      <c r="U608" s="30"/>
      <c r="V608" s="30"/>
      <c r="W608" s="30"/>
      <c r="X608" s="30"/>
      <c r="Y608" s="30"/>
      <c r="Z608" s="30"/>
      <c r="AA608" s="30"/>
      <c r="AB608" s="30"/>
      <c r="AC608" s="30"/>
      <c r="AD608" s="30"/>
      <c r="AE608" s="30"/>
      <c r="AF608" s="30"/>
    </row>
    <row r="609" ht="15.75" customHeight="1">
      <c r="A609" s="94" t="s">
        <v>4997</v>
      </c>
      <c r="B609" s="95">
        <v>7.0</v>
      </c>
      <c r="C609" s="28" t="s">
        <v>5030</v>
      </c>
      <c r="D609" s="114" t="s">
        <v>5031</v>
      </c>
      <c r="E609" s="114" t="s">
        <v>5032</v>
      </c>
      <c r="F609" s="30"/>
      <c r="G609" s="30"/>
      <c r="H609" s="30"/>
      <c r="I609" s="30"/>
      <c r="J609" s="30"/>
      <c r="K609" s="30"/>
      <c r="L609" s="30"/>
      <c r="M609" s="30"/>
      <c r="N609" s="30"/>
      <c r="O609" s="30"/>
      <c r="P609" s="30"/>
      <c r="Q609" s="30"/>
      <c r="R609" s="30"/>
      <c r="S609" s="30"/>
      <c r="T609" s="30"/>
      <c r="U609" s="30"/>
      <c r="V609" s="30"/>
      <c r="W609" s="30"/>
      <c r="X609" s="30"/>
      <c r="Y609" s="30"/>
      <c r="Z609" s="30"/>
      <c r="AA609" s="30"/>
      <c r="AB609" s="30"/>
      <c r="AC609" s="30"/>
      <c r="AD609" s="30"/>
      <c r="AE609" s="30"/>
      <c r="AF609" s="30"/>
    </row>
    <row r="610" ht="15.75" customHeight="1">
      <c r="A610" s="94" t="s">
        <v>4997</v>
      </c>
      <c r="B610" s="95">
        <v>8.0</v>
      </c>
      <c r="C610" s="28" t="s">
        <v>5037</v>
      </c>
      <c r="D610" s="114" t="s">
        <v>5038</v>
      </c>
      <c r="E610" s="114" t="s">
        <v>5039</v>
      </c>
      <c r="F610" s="30"/>
      <c r="G610" s="30"/>
      <c r="H610" s="30"/>
      <c r="I610" s="30"/>
      <c r="J610" s="30"/>
      <c r="K610" s="30"/>
      <c r="L610" s="30"/>
      <c r="M610" s="30"/>
      <c r="N610" s="30"/>
      <c r="O610" s="30"/>
      <c r="P610" s="30"/>
      <c r="Q610" s="30"/>
      <c r="R610" s="30"/>
      <c r="S610" s="30"/>
      <c r="T610" s="30"/>
      <c r="U610" s="30"/>
      <c r="V610" s="30"/>
      <c r="W610" s="30"/>
      <c r="X610" s="30"/>
      <c r="Y610" s="30"/>
      <c r="Z610" s="30"/>
      <c r="AA610" s="30"/>
      <c r="AB610" s="30"/>
      <c r="AC610" s="30"/>
      <c r="AD610" s="30"/>
      <c r="AE610" s="30"/>
      <c r="AF610" s="30"/>
    </row>
    <row r="611" ht="15.75" customHeight="1">
      <c r="A611" s="94" t="s">
        <v>4997</v>
      </c>
      <c r="B611" s="95">
        <v>9.0</v>
      </c>
      <c r="C611" s="28" t="s">
        <v>5047</v>
      </c>
      <c r="D611" s="114" t="s">
        <v>1701</v>
      </c>
      <c r="E611" s="114" t="s">
        <v>1703</v>
      </c>
      <c r="F611" s="30"/>
      <c r="G611" s="30"/>
      <c r="H611" s="30"/>
      <c r="I611" s="30"/>
      <c r="J611" s="30"/>
      <c r="K611" s="30"/>
      <c r="L611" s="30"/>
      <c r="M611" s="30"/>
      <c r="N611" s="30"/>
      <c r="O611" s="30"/>
      <c r="P611" s="30"/>
      <c r="Q611" s="30"/>
      <c r="R611" s="30"/>
      <c r="S611" s="30"/>
      <c r="T611" s="30"/>
      <c r="U611" s="30"/>
      <c r="V611" s="30"/>
      <c r="W611" s="30"/>
      <c r="X611" s="30"/>
      <c r="Y611" s="30"/>
      <c r="Z611" s="30"/>
      <c r="AA611" s="30"/>
      <c r="AB611" s="30"/>
      <c r="AC611" s="30"/>
      <c r="AD611" s="30"/>
      <c r="AE611" s="30"/>
      <c r="AF611" s="30"/>
    </row>
    <row r="612" ht="15.75" customHeight="1">
      <c r="A612" s="94" t="s">
        <v>4997</v>
      </c>
      <c r="B612" s="95">
        <v>10.0</v>
      </c>
      <c r="C612" s="28" t="s">
        <v>5054</v>
      </c>
      <c r="D612" s="114" t="s">
        <v>5055</v>
      </c>
      <c r="E612" s="114" t="s">
        <v>5057</v>
      </c>
      <c r="F612" s="30"/>
      <c r="G612" s="30"/>
      <c r="H612" s="30"/>
      <c r="I612" s="30"/>
      <c r="J612" s="30"/>
      <c r="K612" s="30"/>
      <c r="L612" s="30"/>
      <c r="M612" s="30"/>
      <c r="N612" s="30"/>
      <c r="O612" s="30"/>
      <c r="P612" s="30"/>
      <c r="Q612" s="30"/>
      <c r="R612" s="30"/>
      <c r="S612" s="30"/>
      <c r="T612" s="30"/>
      <c r="U612" s="30"/>
      <c r="V612" s="30"/>
      <c r="W612" s="30"/>
      <c r="X612" s="30"/>
      <c r="Y612" s="30"/>
      <c r="Z612" s="30"/>
      <c r="AA612" s="30"/>
      <c r="AB612" s="30"/>
      <c r="AC612" s="30"/>
      <c r="AD612" s="30"/>
      <c r="AE612" s="30"/>
      <c r="AF612" s="30"/>
    </row>
    <row r="613" ht="15.75" customHeight="1">
      <c r="A613" s="94" t="s">
        <v>4997</v>
      </c>
      <c r="B613" s="95">
        <v>11.0</v>
      </c>
      <c r="C613" s="28" t="s">
        <v>5068</v>
      </c>
      <c r="D613" s="114" t="s">
        <v>5069</v>
      </c>
      <c r="E613" s="114" t="s">
        <v>5070</v>
      </c>
      <c r="F613" s="30"/>
      <c r="G613" s="30"/>
      <c r="H613" s="30"/>
      <c r="I613" s="30"/>
      <c r="J613" s="30"/>
      <c r="K613" s="30"/>
      <c r="L613" s="30"/>
      <c r="M613" s="30"/>
      <c r="N613" s="30"/>
      <c r="O613" s="30"/>
      <c r="P613" s="30"/>
      <c r="Q613" s="30"/>
      <c r="R613" s="30"/>
      <c r="S613" s="30"/>
      <c r="T613" s="30"/>
      <c r="U613" s="30"/>
      <c r="V613" s="30"/>
      <c r="W613" s="30"/>
      <c r="X613" s="30"/>
      <c r="Y613" s="30"/>
      <c r="Z613" s="30"/>
      <c r="AA613" s="30"/>
      <c r="AB613" s="30"/>
      <c r="AC613" s="30"/>
      <c r="AD613" s="30"/>
      <c r="AE613" s="30"/>
      <c r="AF613" s="30"/>
    </row>
    <row r="614" ht="15.75" customHeight="1">
      <c r="A614" s="94" t="s">
        <v>4997</v>
      </c>
      <c r="B614" s="95">
        <v>12.0</v>
      </c>
      <c r="C614" s="28" t="s">
        <v>5077</v>
      </c>
      <c r="D614" s="114" t="s">
        <v>5078</v>
      </c>
      <c r="E614" s="114" t="s">
        <v>5079</v>
      </c>
      <c r="F614" s="30"/>
      <c r="G614" s="30"/>
      <c r="H614" s="30"/>
      <c r="I614" s="30"/>
      <c r="J614" s="30"/>
      <c r="K614" s="30"/>
      <c r="L614" s="30"/>
      <c r="M614" s="30"/>
      <c r="N614" s="30"/>
      <c r="O614" s="30"/>
      <c r="P614" s="30"/>
      <c r="Q614" s="30"/>
      <c r="R614" s="30"/>
      <c r="S614" s="30"/>
      <c r="T614" s="30"/>
      <c r="U614" s="30"/>
      <c r="V614" s="30"/>
      <c r="W614" s="30"/>
      <c r="X614" s="30"/>
      <c r="Y614" s="30"/>
      <c r="Z614" s="30"/>
      <c r="AA614" s="30"/>
      <c r="AB614" s="30"/>
      <c r="AC614" s="30"/>
      <c r="AD614" s="30"/>
      <c r="AE614" s="30"/>
      <c r="AF614" s="30"/>
    </row>
    <row r="615" ht="15.75" customHeight="1">
      <c r="A615" s="94" t="s">
        <v>4997</v>
      </c>
      <c r="B615" s="95">
        <v>13.0</v>
      </c>
      <c r="C615" s="28" t="s">
        <v>5082</v>
      </c>
      <c r="D615" s="114" t="s">
        <v>5083</v>
      </c>
      <c r="E615" s="114" t="s">
        <v>5084</v>
      </c>
      <c r="F615" s="30"/>
      <c r="G615" s="30"/>
      <c r="H615" s="30"/>
      <c r="I615" s="30"/>
      <c r="J615" s="30"/>
      <c r="K615" s="30"/>
      <c r="L615" s="30"/>
      <c r="M615" s="30"/>
      <c r="N615" s="30"/>
      <c r="O615" s="30"/>
      <c r="P615" s="30"/>
      <c r="Q615" s="30"/>
      <c r="R615" s="30"/>
      <c r="S615" s="30"/>
      <c r="T615" s="30"/>
      <c r="U615" s="30"/>
      <c r="V615" s="30"/>
      <c r="W615" s="30"/>
      <c r="X615" s="30"/>
      <c r="Y615" s="30"/>
      <c r="Z615" s="30"/>
      <c r="AA615" s="30"/>
      <c r="AB615" s="30"/>
      <c r="AC615" s="30"/>
      <c r="AD615" s="30"/>
      <c r="AE615" s="30"/>
      <c r="AF615" s="30"/>
    </row>
    <row r="616" ht="15.75" customHeight="1">
      <c r="A616" s="94" t="s">
        <v>4997</v>
      </c>
      <c r="B616" s="95">
        <v>14.0</v>
      </c>
      <c r="C616" s="28" t="s">
        <v>5088</v>
      </c>
      <c r="D616" s="114" t="s">
        <v>5089</v>
      </c>
      <c r="E616" s="114" t="s">
        <v>5090</v>
      </c>
      <c r="F616" s="30"/>
      <c r="G616" s="30"/>
      <c r="H616" s="30"/>
      <c r="I616" s="30"/>
      <c r="J616" s="30"/>
      <c r="K616" s="30"/>
      <c r="L616" s="30"/>
      <c r="M616" s="30"/>
      <c r="N616" s="30"/>
      <c r="O616" s="30"/>
      <c r="P616" s="30"/>
      <c r="Q616" s="30"/>
      <c r="R616" s="30"/>
      <c r="S616" s="30"/>
      <c r="T616" s="30"/>
      <c r="U616" s="30"/>
      <c r="V616" s="30"/>
      <c r="W616" s="30"/>
      <c r="X616" s="30"/>
      <c r="Y616" s="30"/>
      <c r="Z616" s="30"/>
      <c r="AA616" s="30"/>
      <c r="AB616" s="30"/>
      <c r="AC616" s="30"/>
      <c r="AD616" s="30"/>
      <c r="AE616" s="30"/>
      <c r="AF616" s="30"/>
    </row>
    <row r="617" ht="15.75" customHeight="1">
      <c r="A617" s="77" t="s">
        <v>4997</v>
      </c>
      <c r="B617" s="111">
        <v>-777.0</v>
      </c>
      <c r="C617" s="42" t="s">
        <v>5097</v>
      </c>
      <c r="D617" s="112" t="s">
        <v>5098</v>
      </c>
      <c r="E617" s="112" t="s">
        <v>480</v>
      </c>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row>
    <row r="618" ht="15.75" customHeight="1">
      <c r="A618" s="114"/>
      <c r="B618" s="115"/>
      <c r="C618" s="28"/>
      <c r="D618" s="114"/>
      <c r="E618" s="210"/>
      <c r="F618" s="30"/>
      <c r="G618" s="30"/>
      <c r="H618" s="30"/>
      <c r="I618" s="30"/>
      <c r="J618" s="30"/>
      <c r="K618" s="30"/>
      <c r="L618" s="30"/>
      <c r="M618" s="30"/>
      <c r="N618" s="30"/>
      <c r="O618" s="30"/>
      <c r="P618" s="30"/>
      <c r="Q618" s="30"/>
      <c r="R618" s="30"/>
      <c r="S618" s="30"/>
      <c r="T618" s="30"/>
      <c r="U618" s="30"/>
      <c r="V618" s="30"/>
      <c r="W618" s="30"/>
      <c r="X618" s="30"/>
      <c r="Y618" s="30"/>
      <c r="Z618" s="30"/>
      <c r="AA618" s="30"/>
      <c r="AB618" s="30"/>
      <c r="AC618" s="30"/>
      <c r="AD618" s="30"/>
      <c r="AE618" s="30"/>
      <c r="AF618" s="30"/>
    </row>
    <row r="619" ht="15.75" customHeight="1">
      <c r="A619" s="55" t="s">
        <v>5103</v>
      </c>
      <c r="B619" s="109">
        <v>0.0</v>
      </c>
      <c r="C619" s="301" t="s">
        <v>228</v>
      </c>
      <c r="D619" s="301" t="s">
        <v>230</v>
      </c>
      <c r="E619" s="301" t="s">
        <v>4501</v>
      </c>
      <c r="F619" s="30"/>
      <c r="G619" s="30"/>
      <c r="H619" s="30"/>
      <c r="I619" s="30"/>
      <c r="J619" s="30"/>
      <c r="K619" s="30"/>
      <c r="L619" s="30"/>
      <c r="M619" s="30"/>
      <c r="N619" s="30"/>
      <c r="O619" s="30"/>
      <c r="P619" s="30"/>
      <c r="Q619" s="30"/>
      <c r="R619" s="30"/>
      <c r="S619" s="30"/>
      <c r="T619" s="30"/>
      <c r="U619" s="30"/>
      <c r="V619" s="30"/>
      <c r="W619" s="30"/>
      <c r="X619" s="30"/>
      <c r="Y619" s="30"/>
      <c r="Z619" s="30"/>
      <c r="AA619" s="30"/>
      <c r="AB619" s="30"/>
      <c r="AC619" s="30"/>
      <c r="AD619" s="30"/>
      <c r="AE619" s="30"/>
      <c r="AF619" s="30"/>
    </row>
    <row r="620" ht="15.75" customHeight="1">
      <c r="A620" s="55" t="s">
        <v>5103</v>
      </c>
      <c r="B620" s="109">
        <v>1.0</v>
      </c>
      <c r="C620" s="301" t="s">
        <v>5108</v>
      </c>
      <c r="D620" s="301" t="s">
        <v>5110</v>
      </c>
      <c r="E620" s="301" t="s">
        <v>5112</v>
      </c>
      <c r="F620" s="30"/>
      <c r="G620" s="30"/>
      <c r="H620" s="30"/>
      <c r="I620" s="30"/>
      <c r="J620" s="30"/>
      <c r="K620" s="30"/>
      <c r="L620" s="30"/>
      <c r="M620" s="30"/>
      <c r="N620" s="30"/>
      <c r="O620" s="30"/>
      <c r="P620" s="30"/>
      <c r="Q620" s="30"/>
      <c r="R620" s="30"/>
      <c r="S620" s="30"/>
      <c r="T620" s="30"/>
      <c r="U620" s="30"/>
      <c r="V620" s="30"/>
      <c r="W620" s="30"/>
      <c r="X620" s="30"/>
      <c r="Y620" s="30"/>
      <c r="Z620" s="30"/>
      <c r="AA620" s="30"/>
      <c r="AB620" s="30"/>
      <c r="AC620" s="30"/>
      <c r="AD620" s="30"/>
      <c r="AE620" s="30"/>
      <c r="AF620" s="30"/>
    </row>
    <row r="621" ht="15.75" customHeight="1">
      <c r="A621" s="55" t="s">
        <v>5103</v>
      </c>
      <c r="B621" s="109">
        <v>2.0</v>
      </c>
      <c r="C621" s="301" t="s">
        <v>5119</v>
      </c>
      <c r="D621" s="301" t="s">
        <v>5120</v>
      </c>
      <c r="E621" s="301" t="s">
        <v>5121</v>
      </c>
      <c r="F621" s="30"/>
      <c r="G621" s="30"/>
      <c r="H621" s="30"/>
      <c r="I621" s="30"/>
      <c r="J621" s="30"/>
      <c r="K621" s="30"/>
      <c r="L621" s="30"/>
      <c r="M621" s="30"/>
      <c r="N621" s="30"/>
      <c r="O621" s="30"/>
      <c r="P621" s="30"/>
      <c r="Q621" s="30"/>
      <c r="R621" s="30"/>
      <c r="S621" s="30"/>
      <c r="T621" s="30"/>
      <c r="U621" s="30"/>
      <c r="V621" s="30"/>
      <c r="W621" s="30"/>
      <c r="X621" s="30"/>
      <c r="Y621" s="30"/>
      <c r="Z621" s="30"/>
      <c r="AA621" s="30"/>
      <c r="AB621" s="30"/>
      <c r="AC621" s="30"/>
      <c r="AD621" s="30"/>
      <c r="AE621" s="30"/>
      <c r="AF621" s="30"/>
    </row>
    <row r="622" ht="15.75" customHeight="1">
      <c r="A622" s="55" t="s">
        <v>5103</v>
      </c>
      <c r="B622" s="109">
        <v>3.0</v>
      </c>
      <c r="C622" s="301" t="s">
        <v>5129</v>
      </c>
      <c r="D622" s="301" t="s">
        <v>5130</v>
      </c>
      <c r="E622" s="301" t="s">
        <v>5132</v>
      </c>
      <c r="F622" s="30"/>
      <c r="G622" s="30"/>
      <c r="H622" s="30"/>
      <c r="I622" s="30"/>
      <c r="J622" s="30"/>
      <c r="K622" s="30"/>
      <c r="L622" s="30"/>
      <c r="M622" s="30"/>
      <c r="N622" s="30"/>
      <c r="O622" s="30"/>
      <c r="P622" s="30"/>
      <c r="Q622" s="30"/>
      <c r="R622" s="30"/>
      <c r="S622" s="30"/>
      <c r="T622" s="30"/>
      <c r="U622" s="30"/>
      <c r="V622" s="30"/>
      <c r="W622" s="30"/>
      <c r="X622" s="30"/>
      <c r="Y622" s="30"/>
      <c r="Z622" s="30"/>
      <c r="AA622" s="30"/>
      <c r="AB622" s="30"/>
      <c r="AC622" s="30"/>
      <c r="AD622" s="30"/>
      <c r="AE622" s="30"/>
      <c r="AF622" s="30"/>
    </row>
    <row r="623" ht="15.75" customHeight="1">
      <c r="A623" s="55" t="s">
        <v>5103</v>
      </c>
      <c r="B623" s="109">
        <v>4.0</v>
      </c>
      <c r="C623" s="301" t="s">
        <v>5137</v>
      </c>
      <c r="D623" s="301" t="s">
        <v>5138</v>
      </c>
      <c r="E623" s="301" t="s">
        <v>5140</v>
      </c>
      <c r="F623" s="30"/>
      <c r="G623" s="30"/>
      <c r="H623" s="30"/>
      <c r="I623" s="30"/>
      <c r="J623" s="30"/>
      <c r="K623" s="30"/>
      <c r="L623" s="30"/>
      <c r="M623" s="30"/>
      <c r="N623" s="30"/>
      <c r="O623" s="30"/>
      <c r="P623" s="30"/>
      <c r="Q623" s="30"/>
      <c r="R623" s="30"/>
      <c r="S623" s="30"/>
      <c r="T623" s="30"/>
      <c r="U623" s="30"/>
      <c r="V623" s="30"/>
      <c r="W623" s="30"/>
      <c r="X623" s="30"/>
      <c r="Y623" s="30"/>
      <c r="Z623" s="30"/>
      <c r="AA623" s="30"/>
      <c r="AB623" s="30"/>
      <c r="AC623" s="30"/>
      <c r="AD623" s="30"/>
      <c r="AE623" s="30"/>
      <c r="AF623" s="30"/>
    </row>
    <row r="624" ht="15.75" customHeight="1">
      <c r="A624" s="55" t="s">
        <v>5103</v>
      </c>
      <c r="B624" s="109">
        <v>5.0</v>
      </c>
      <c r="C624" s="301" t="s">
        <v>5148</v>
      </c>
      <c r="D624" s="301" t="s">
        <v>5149</v>
      </c>
      <c r="E624" s="301" t="s">
        <v>5150</v>
      </c>
      <c r="F624" s="30"/>
      <c r="G624" s="30"/>
      <c r="H624" s="30"/>
      <c r="I624" s="30"/>
      <c r="J624" s="30"/>
      <c r="K624" s="30"/>
      <c r="L624" s="30"/>
      <c r="M624" s="30"/>
      <c r="N624" s="30"/>
      <c r="O624" s="30"/>
      <c r="P624" s="30"/>
      <c r="Q624" s="30"/>
      <c r="R624" s="30"/>
      <c r="S624" s="30"/>
      <c r="T624" s="30"/>
      <c r="U624" s="30"/>
      <c r="V624" s="30"/>
      <c r="W624" s="30"/>
      <c r="X624" s="30"/>
      <c r="Y624" s="30"/>
      <c r="Z624" s="30"/>
      <c r="AA624" s="30"/>
      <c r="AB624" s="30"/>
      <c r="AC624" s="30"/>
      <c r="AD624" s="30"/>
      <c r="AE624" s="30"/>
      <c r="AF624" s="30"/>
    </row>
    <row r="625" ht="15.75" customHeight="1">
      <c r="A625" s="55" t="s">
        <v>5103</v>
      </c>
      <c r="B625" s="109">
        <v>6.0</v>
      </c>
      <c r="C625" s="301" t="s">
        <v>5157</v>
      </c>
      <c r="D625" s="301" t="s">
        <v>5158</v>
      </c>
      <c r="E625" s="301" t="s">
        <v>5159</v>
      </c>
      <c r="F625" s="30"/>
      <c r="G625" s="30"/>
      <c r="H625" s="30"/>
      <c r="I625" s="30"/>
      <c r="J625" s="30"/>
      <c r="K625" s="30"/>
      <c r="L625" s="30"/>
      <c r="M625" s="30"/>
      <c r="N625" s="30"/>
      <c r="O625" s="30"/>
      <c r="P625" s="30"/>
      <c r="Q625" s="30"/>
      <c r="R625" s="30"/>
      <c r="S625" s="30"/>
      <c r="T625" s="30"/>
      <c r="U625" s="30"/>
      <c r="V625" s="30"/>
      <c r="W625" s="30"/>
      <c r="X625" s="30"/>
      <c r="Y625" s="30"/>
      <c r="Z625" s="30"/>
      <c r="AA625" s="30"/>
      <c r="AB625" s="30"/>
      <c r="AC625" s="30"/>
      <c r="AD625" s="30"/>
      <c r="AE625" s="30"/>
      <c r="AF625" s="30"/>
    </row>
    <row r="626" ht="15.75" customHeight="1">
      <c r="A626" s="55" t="s">
        <v>5103</v>
      </c>
      <c r="B626" s="109">
        <v>-999.0</v>
      </c>
      <c r="C626" s="301" t="s">
        <v>134</v>
      </c>
      <c r="D626" s="301" t="s">
        <v>135</v>
      </c>
      <c r="E626" s="301" t="s">
        <v>136</v>
      </c>
      <c r="F626" s="30"/>
      <c r="G626" s="30"/>
      <c r="H626" s="30"/>
      <c r="I626" s="30"/>
      <c r="J626" s="30"/>
      <c r="K626" s="30"/>
      <c r="L626" s="30"/>
      <c r="M626" s="30"/>
      <c r="N626" s="30"/>
      <c r="O626" s="30"/>
      <c r="P626" s="30"/>
      <c r="Q626" s="30"/>
      <c r="R626" s="30"/>
      <c r="S626" s="30"/>
      <c r="T626" s="30"/>
      <c r="U626" s="30"/>
      <c r="V626" s="30"/>
      <c r="W626" s="30"/>
      <c r="X626" s="30"/>
      <c r="Y626" s="30"/>
      <c r="Z626" s="30"/>
      <c r="AA626" s="30"/>
      <c r="AB626" s="30"/>
      <c r="AC626" s="30"/>
      <c r="AD626" s="30"/>
      <c r="AE626" s="30"/>
      <c r="AF626" s="30"/>
    </row>
    <row r="627" ht="15.75" customHeight="1">
      <c r="A627" s="114"/>
      <c r="B627" s="115"/>
      <c r="C627" s="28"/>
      <c r="D627" s="114"/>
      <c r="E627" s="210"/>
      <c r="F627" s="30"/>
      <c r="G627" s="30"/>
      <c r="H627" s="30"/>
      <c r="I627" s="30"/>
      <c r="J627" s="30"/>
      <c r="K627" s="30"/>
      <c r="L627" s="30"/>
      <c r="M627" s="30"/>
      <c r="N627" s="30"/>
      <c r="O627" s="30"/>
      <c r="P627" s="30"/>
      <c r="Q627" s="30"/>
      <c r="R627" s="30"/>
      <c r="S627" s="30"/>
      <c r="T627" s="30"/>
      <c r="U627" s="30"/>
      <c r="V627" s="30"/>
      <c r="W627" s="30"/>
      <c r="X627" s="30"/>
      <c r="Y627" s="30"/>
      <c r="Z627" s="30"/>
      <c r="AA627" s="30"/>
      <c r="AB627" s="30"/>
      <c r="AC627" s="30"/>
      <c r="AD627" s="30"/>
      <c r="AE627" s="30"/>
      <c r="AF627" s="30"/>
    </row>
    <row r="628" ht="15.75" customHeight="1">
      <c r="A628" s="55" t="s">
        <v>5179</v>
      </c>
      <c r="B628" s="109">
        <v>0.0</v>
      </c>
      <c r="C628" s="301" t="s">
        <v>5180</v>
      </c>
      <c r="D628" s="301" t="s">
        <v>5181</v>
      </c>
      <c r="E628" s="301" t="s">
        <v>5182</v>
      </c>
      <c r="F628" s="30"/>
      <c r="G628" s="30"/>
      <c r="H628" s="30"/>
      <c r="I628" s="30"/>
      <c r="J628" s="30"/>
      <c r="K628" s="30"/>
      <c r="L628" s="30"/>
      <c r="M628" s="30"/>
      <c r="N628" s="30"/>
      <c r="O628" s="30"/>
      <c r="P628" s="30"/>
      <c r="Q628" s="30"/>
      <c r="R628" s="30"/>
      <c r="S628" s="30"/>
      <c r="T628" s="30"/>
      <c r="U628" s="30"/>
      <c r="V628" s="30"/>
      <c r="W628" s="30"/>
      <c r="X628" s="30"/>
      <c r="Y628" s="30"/>
      <c r="Z628" s="30"/>
      <c r="AA628" s="30"/>
      <c r="AB628" s="30"/>
      <c r="AC628" s="30"/>
      <c r="AD628" s="30"/>
      <c r="AE628" s="30"/>
      <c r="AF628" s="30"/>
    </row>
    <row r="629" ht="15.75" customHeight="1">
      <c r="A629" s="55" t="s">
        <v>5179</v>
      </c>
      <c r="B629" s="109">
        <v>1.0</v>
      </c>
      <c r="C629" s="301" t="s">
        <v>5185</v>
      </c>
      <c r="D629" s="301" t="s">
        <v>5186</v>
      </c>
      <c r="E629" s="301" t="s">
        <v>5187</v>
      </c>
      <c r="F629" s="30"/>
      <c r="G629" s="30"/>
      <c r="H629" s="30"/>
      <c r="I629" s="30"/>
      <c r="J629" s="30"/>
      <c r="K629" s="30"/>
      <c r="L629" s="30"/>
      <c r="M629" s="30"/>
      <c r="N629" s="30"/>
      <c r="O629" s="30"/>
      <c r="P629" s="30"/>
      <c r="Q629" s="30"/>
      <c r="R629" s="30"/>
      <c r="S629" s="30"/>
      <c r="T629" s="30"/>
      <c r="U629" s="30"/>
      <c r="V629" s="30"/>
      <c r="W629" s="30"/>
      <c r="X629" s="30"/>
      <c r="Y629" s="30"/>
      <c r="Z629" s="30"/>
      <c r="AA629" s="30"/>
      <c r="AB629" s="30"/>
      <c r="AC629" s="30"/>
      <c r="AD629" s="30"/>
      <c r="AE629" s="30"/>
      <c r="AF629" s="30"/>
    </row>
    <row r="630" ht="15.75" customHeight="1">
      <c r="A630" s="55" t="s">
        <v>5179</v>
      </c>
      <c r="B630" s="109">
        <v>2.0</v>
      </c>
      <c r="C630" s="301" t="s">
        <v>5189</v>
      </c>
      <c r="D630" s="301" t="s">
        <v>5190</v>
      </c>
      <c r="E630" s="301" t="s">
        <v>5192</v>
      </c>
      <c r="F630" s="30"/>
      <c r="G630" s="30"/>
      <c r="H630" s="30"/>
      <c r="I630" s="30"/>
      <c r="J630" s="30"/>
      <c r="K630" s="30"/>
      <c r="L630" s="30"/>
      <c r="M630" s="30"/>
      <c r="N630" s="30"/>
      <c r="O630" s="30"/>
      <c r="P630" s="30"/>
      <c r="Q630" s="30"/>
      <c r="R630" s="30"/>
      <c r="S630" s="30"/>
      <c r="T630" s="30"/>
      <c r="U630" s="30"/>
      <c r="V630" s="30"/>
      <c r="W630" s="30"/>
      <c r="X630" s="30"/>
      <c r="Y630" s="30"/>
      <c r="Z630" s="30"/>
      <c r="AA630" s="30"/>
      <c r="AB630" s="30"/>
      <c r="AC630" s="30"/>
      <c r="AD630" s="30"/>
      <c r="AE630" s="30"/>
      <c r="AF630" s="30"/>
    </row>
    <row r="631" ht="15.75" customHeight="1">
      <c r="A631" s="55" t="s">
        <v>5179</v>
      </c>
      <c r="B631" s="109">
        <v>3.0</v>
      </c>
      <c r="C631" s="301" t="s">
        <v>5196</v>
      </c>
      <c r="D631" s="301" t="s">
        <v>5197</v>
      </c>
      <c r="E631" s="301" t="s">
        <v>5198</v>
      </c>
      <c r="F631" s="30"/>
      <c r="G631" s="30"/>
      <c r="H631" s="30"/>
      <c r="I631" s="30"/>
      <c r="J631" s="30"/>
      <c r="K631" s="30"/>
      <c r="L631" s="30"/>
      <c r="M631" s="30"/>
      <c r="N631" s="30"/>
      <c r="O631" s="30"/>
      <c r="P631" s="30"/>
      <c r="Q631" s="30"/>
      <c r="R631" s="30"/>
      <c r="S631" s="30"/>
      <c r="T631" s="30"/>
      <c r="U631" s="30"/>
      <c r="V631" s="30"/>
      <c r="W631" s="30"/>
      <c r="X631" s="30"/>
      <c r="Y631" s="30"/>
      <c r="Z631" s="30"/>
      <c r="AA631" s="30"/>
      <c r="AB631" s="30"/>
      <c r="AC631" s="30"/>
      <c r="AD631" s="30"/>
      <c r="AE631" s="30"/>
      <c r="AF631" s="30"/>
    </row>
    <row r="632" ht="15.75" customHeight="1">
      <c r="A632" s="55" t="s">
        <v>5179</v>
      </c>
      <c r="B632" s="109">
        <v>4.0</v>
      </c>
      <c r="C632" s="301" t="s">
        <v>5201</v>
      </c>
      <c r="D632" s="301" t="s">
        <v>5202</v>
      </c>
      <c r="E632" s="301" t="s">
        <v>5203</v>
      </c>
      <c r="F632" s="30"/>
      <c r="G632" s="30"/>
      <c r="H632" s="30"/>
      <c r="I632" s="30"/>
      <c r="J632" s="30"/>
      <c r="K632" s="30"/>
      <c r="L632" s="30"/>
      <c r="M632" s="30"/>
      <c r="N632" s="30"/>
      <c r="O632" s="30"/>
      <c r="P632" s="30"/>
      <c r="Q632" s="30"/>
      <c r="R632" s="30"/>
      <c r="S632" s="30"/>
      <c r="T632" s="30"/>
      <c r="U632" s="30"/>
      <c r="V632" s="30"/>
      <c r="W632" s="30"/>
      <c r="X632" s="30"/>
      <c r="Y632" s="30"/>
      <c r="Z632" s="30"/>
      <c r="AA632" s="30"/>
      <c r="AB632" s="30"/>
      <c r="AC632" s="30"/>
      <c r="AD632" s="30"/>
      <c r="AE632" s="30"/>
      <c r="AF632" s="30"/>
    </row>
    <row r="633" ht="15.75" customHeight="1">
      <c r="A633" s="55" t="s">
        <v>5179</v>
      </c>
      <c r="B633" s="109">
        <v>5.0</v>
      </c>
      <c r="C633" s="301" t="s">
        <v>5205</v>
      </c>
      <c r="D633" s="301" t="s">
        <v>5206</v>
      </c>
      <c r="E633" s="301" t="s">
        <v>5207</v>
      </c>
      <c r="F633" s="30"/>
      <c r="G633" s="30"/>
      <c r="H633" s="30"/>
      <c r="I633" s="30"/>
      <c r="J633" s="30"/>
      <c r="K633" s="30"/>
      <c r="L633" s="30"/>
      <c r="M633" s="30"/>
      <c r="N633" s="30"/>
      <c r="O633" s="30"/>
      <c r="P633" s="30"/>
      <c r="Q633" s="30"/>
      <c r="R633" s="30"/>
      <c r="S633" s="30"/>
      <c r="T633" s="30"/>
      <c r="U633" s="30"/>
      <c r="V633" s="30"/>
      <c r="W633" s="30"/>
      <c r="X633" s="30"/>
      <c r="Y633" s="30"/>
      <c r="Z633" s="30"/>
      <c r="AA633" s="30"/>
      <c r="AB633" s="30"/>
      <c r="AC633" s="30"/>
      <c r="AD633" s="30"/>
      <c r="AE633" s="30"/>
      <c r="AF633" s="30"/>
    </row>
    <row r="634" ht="15.75" customHeight="1">
      <c r="A634" s="55" t="s">
        <v>5179</v>
      </c>
      <c r="B634" s="109">
        <v>6.0</v>
      </c>
      <c r="C634" s="301" t="s">
        <v>5209</v>
      </c>
      <c r="D634" s="301" t="s">
        <v>5210</v>
      </c>
      <c r="E634" s="301" t="s">
        <v>5211</v>
      </c>
      <c r="F634" s="30"/>
      <c r="G634" s="30"/>
      <c r="H634" s="30"/>
      <c r="I634" s="30"/>
      <c r="J634" s="30"/>
      <c r="K634" s="30"/>
      <c r="L634" s="30"/>
      <c r="M634" s="30"/>
      <c r="N634" s="30"/>
      <c r="O634" s="30"/>
      <c r="P634" s="30"/>
      <c r="Q634" s="30"/>
      <c r="R634" s="30"/>
      <c r="S634" s="30"/>
      <c r="T634" s="30"/>
      <c r="U634" s="30"/>
      <c r="V634" s="30"/>
      <c r="W634" s="30"/>
      <c r="X634" s="30"/>
      <c r="Y634" s="30"/>
      <c r="Z634" s="30"/>
      <c r="AA634" s="30"/>
      <c r="AB634" s="30"/>
      <c r="AC634" s="30"/>
      <c r="AD634" s="30"/>
      <c r="AE634" s="30"/>
      <c r="AF634" s="30"/>
    </row>
    <row r="635" ht="15.75" customHeight="1">
      <c r="A635" s="55" t="s">
        <v>5179</v>
      </c>
      <c r="B635" s="109">
        <v>7.0</v>
      </c>
      <c r="C635" s="301" t="s">
        <v>5214</v>
      </c>
      <c r="D635" s="301" t="s">
        <v>5215</v>
      </c>
      <c r="E635" s="301" t="s">
        <v>5216</v>
      </c>
      <c r="F635" s="30"/>
      <c r="G635" s="30"/>
      <c r="H635" s="30"/>
      <c r="I635" s="30"/>
      <c r="J635" s="30"/>
      <c r="K635" s="30"/>
      <c r="L635" s="30"/>
      <c r="M635" s="30"/>
      <c r="N635" s="30"/>
      <c r="O635" s="30"/>
      <c r="P635" s="30"/>
      <c r="Q635" s="30"/>
      <c r="R635" s="30"/>
      <c r="S635" s="30"/>
      <c r="T635" s="30"/>
      <c r="U635" s="30"/>
      <c r="V635" s="30"/>
      <c r="W635" s="30"/>
      <c r="X635" s="30"/>
      <c r="Y635" s="30"/>
      <c r="Z635" s="30"/>
      <c r="AA635" s="30"/>
      <c r="AB635" s="30"/>
      <c r="AC635" s="30"/>
      <c r="AD635" s="30"/>
      <c r="AE635" s="30"/>
      <c r="AF635" s="30"/>
    </row>
    <row r="636" ht="15.75" customHeight="1">
      <c r="A636" s="55" t="s">
        <v>5179</v>
      </c>
      <c r="B636" s="109">
        <v>8.0</v>
      </c>
      <c r="C636" s="301" t="s">
        <v>5218</v>
      </c>
      <c r="D636" s="301" t="s">
        <v>5219</v>
      </c>
      <c r="E636" s="301" t="s">
        <v>5220</v>
      </c>
      <c r="F636" s="30"/>
      <c r="G636" s="30"/>
      <c r="H636" s="30"/>
      <c r="I636" s="30"/>
      <c r="J636" s="30"/>
      <c r="K636" s="30"/>
      <c r="L636" s="30"/>
      <c r="M636" s="30"/>
      <c r="N636" s="30"/>
      <c r="O636" s="30"/>
      <c r="P636" s="30"/>
      <c r="Q636" s="30"/>
      <c r="R636" s="30"/>
      <c r="S636" s="30"/>
      <c r="T636" s="30"/>
      <c r="U636" s="30"/>
      <c r="V636" s="30"/>
      <c r="W636" s="30"/>
      <c r="X636" s="30"/>
      <c r="Y636" s="30"/>
      <c r="Z636" s="30"/>
      <c r="AA636" s="30"/>
      <c r="AB636" s="30"/>
      <c r="AC636" s="30"/>
      <c r="AD636" s="30"/>
      <c r="AE636" s="30"/>
      <c r="AF636" s="30"/>
    </row>
    <row r="637" ht="15.75" customHeight="1">
      <c r="A637" s="55" t="s">
        <v>5179</v>
      </c>
      <c r="B637" s="109">
        <v>9.0</v>
      </c>
      <c r="C637" s="301" t="s">
        <v>5222</v>
      </c>
      <c r="D637" s="301" t="s">
        <v>5223</v>
      </c>
      <c r="E637" s="301" t="s">
        <v>5224</v>
      </c>
      <c r="F637" s="30"/>
      <c r="G637" s="30"/>
      <c r="H637" s="30"/>
      <c r="I637" s="30"/>
      <c r="J637" s="30"/>
      <c r="K637" s="30"/>
      <c r="L637" s="30"/>
      <c r="M637" s="30"/>
      <c r="N637" s="30"/>
      <c r="O637" s="30"/>
      <c r="P637" s="30"/>
      <c r="Q637" s="30"/>
      <c r="R637" s="30"/>
      <c r="S637" s="30"/>
      <c r="T637" s="30"/>
      <c r="U637" s="30"/>
      <c r="V637" s="30"/>
      <c r="W637" s="30"/>
      <c r="X637" s="30"/>
      <c r="Y637" s="30"/>
      <c r="Z637" s="30"/>
      <c r="AA637" s="30"/>
      <c r="AB637" s="30"/>
      <c r="AC637" s="30"/>
      <c r="AD637" s="30"/>
      <c r="AE637" s="30"/>
      <c r="AF637" s="30"/>
    </row>
    <row r="638" ht="15.75" customHeight="1">
      <c r="A638" s="55" t="s">
        <v>5179</v>
      </c>
      <c r="B638" s="109">
        <v>10.0</v>
      </c>
      <c r="C638" s="301" t="s">
        <v>5226</v>
      </c>
      <c r="D638" s="301" t="s">
        <v>5227</v>
      </c>
      <c r="E638" s="301" t="s">
        <v>5228</v>
      </c>
      <c r="F638" s="30"/>
      <c r="G638" s="30"/>
      <c r="H638" s="30"/>
      <c r="I638" s="30"/>
      <c r="J638" s="30"/>
      <c r="K638" s="30"/>
      <c r="L638" s="30"/>
      <c r="M638" s="30"/>
      <c r="N638" s="30"/>
      <c r="O638" s="30"/>
      <c r="P638" s="30"/>
      <c r="Q638" s="30"/>
      <c r="R638" s="30"/>
      <c r="S638" s="30"/>
      <c r="T638" s="30"/>
      <c r="U638" s="30"/>
      <c r="V638" s="30"/>
      <c r="W638" s="30"/>
      <c r="X638" s="30"/>
      <c r="Y638" s="30"/>
      <c r="Z638" s="30"/>
      <c r="AA638" s="30"/>
      <c r="AB638" s="30"/>
      <c r="AC638" s="30"/>
      <c r="AD638" s="30"/>
      <c r="AE638" s="30"/>
      <c r="AF638" s="30"/>
    </row>
    <row r="639" ht="15.75" customHeight="1">
      <c r="A639" s="55" t="s">
        <v>5179</v>
      </c>
      <c r="B639" s="109">
        <v>-999.0</v>
      </c>
      <c r="C639" s="301" t="s">
        <v>134</v>
      </c>
      <c r="D639" s="301" t="s">
        <v>135</v>
      </c>
      <c r="E639" s="301" t="s">
        <v>136</v>
      </c>
      <c r="F639" s="30"/>
      <c r="G639" s="30"/>
      <c r="H639" s="30"/>
      <c r="I639" s="30"/>
      <c r="J639" s="30"/>
      <c r="K639" s="30"/>
      <c r="L639" s="30"/>
      <c r="M639" s="30"/>
      <c r="N639" s="30"/>
      <c r="O639" s="30"/>
      <c r="P639" s="30"/>
      <c r="Q639" s="30"/>
      <c r="R639" s="30"/>
      <c r="S639" s="30"/>
      <c r="T639" s="30"/>
      <c r="U639" s="30"/>
      <c r="V639" s="30"/>
      <c r="W639" s="30"/>
      <c r="X639" s="30"/>
      <c r="Y639" s="30"/>
      <c r="Z639" s="30"/>
      <c r="AA639" s="30"/>
      <c r="AB639" s="30"/>
      <c r="AC639" s="30"/>
      <c r="AD639" s="30"/>
      <c r="AE639" s="30"/>
      <c r="AF639" s="30"/>
    </row>
    <row r="640" ht="15.75" customHeight="1">
      <c r="A640" s="114"/>
      <c r="B640" s="115"/>
      <c r="C640" s="114"/>
      <c r="D640" s="114"/>
      <c r="E640" s="210"/>
      <c r="F640" s="30"/>
      <c r="G640" s="30"/>
      <c r="H640" s="30"/>
      <c r="I640" s="30"/>
      <c r="J640" s="30"/>
      <c r="K640" s="30"/>
      <c r="L640" s="30"/>
      <c r="M640" s="30"/>
      <c r="N640" s="30"/>
      <c r="O640" s="30"/>
      <c r="P640" s="30"/>
      <c r="Q640" s="30"/>
      <c r="R640" s="30"/>
      <c r="S640" s="30"/>
      <c r="T640" s="30"/>
      <c r="U640" s="30"/>
      <c r="V640" s="30"/>
      <c r="W640" s="30"/>
      <c r="X640" s="30"/>
      <c r="Y640" s="30"/>
      <c r="Z640" s="30"/>
      <c r="AA640" s="30"/>
      <c r="AB640" s="30"/>
      <c r="AC640" s="30"/>
      <c r="AD640" s="30"/>
      <c r="AE640" s="30"/>
      <c r="AF640" s="30"/>
    </row>
    <row r="641" ht="15.75" customHeight="1">
      <c r="A641" s="123" t="s">
        <v>5249</v>
      </c>
      <c r="B641" s="126">
        <v>1.0</v>
      </c>
      <c r="C641" s="136" t="s">
        <v>5251</v>
      </c>
      <c r="D641" s="136" t="s">
        <v>5255</v>
      </c>
      <c r="E641" s="136" t="s">
        <v>5256</v>
      </c>
      <c r="F641" s="49"/>
      <c r="G641" s="49"/>
      <c r="H641" s="49"/>
      <c r="I641" s="49"/>
      <c r="J641" s="49"/>
      <c r="K641" s="49"/>
      <c r="L641" s="49"/>
      <c r="M641" s="49"/>
      <c r="N641" s="49"/>
      <c r="O641" s="49"/>
      <c r="P641" s="49"/>
      <c r="Q641" s="49"/>
      <c r="R641" s="49"/>
      <c r="S641" s="49"/>
      <c r="T641" s="49"/>
      <c r="U641" s="49"/>
      <c r="V641" s="49"/>
      <c r="W641" s="49"/>
      <c r="X641" s="49"/>
      <c r="Y641" s="49"/>
      <c r="Z641" s="49"/>
      <c r="AA641" s="49"/>
      <c r="AB641" s="49"/>
      <c r="AC641" s="49"/>
      <c r="AD641" s="49"/>
      <c r="AE641" s="49"/>
      <c r="AF641" s="49"/>
    </row>
    <row r="642" ht="15.75" customHeight="1">
      <c r="A642" s="94" t="s">
        <v>5249</v>
      </c>
      <c r="B642" s="95">
        <v>2.0</v>
      </c>
      <c r="C642" s="28" t="s">
        <v>5267</v>
      </c>
      <c r="D642" s="28" t="s">
        <v>5269</v>
      </c>
      <c r="E642" s="96" t="s">
        <v>5270</v>
      </c>
      <c r="F642" s="30"/>
      <c r="G642" s="30"/>
      <c r="H642" s="30"/>
      <c r="I642" s="30"/>
      <c r="J642" s="30"/>
      <c r="K642" s="30"/>
      <c r="L642" s="30"/>
      <c r="M642" s="30"/>
      <c r="N642" s="30"/>
      <c r="O642" s="30"/>
      <c r="P642" s="30"/>
      <c r="Q642" s="30"/>
      <c r="R642" s="30"/>
      <c r="S642" s="30"/>
      <c r="T642" s="30"/>
      <c r="U642" s="30"/>
      <c r="V642" s="30"/>
      <c r="W642" s="30"/>
      <c r="X642" s="30"/>
      <c r="Y642" s="30"/>
      <c r="Z642" s="30"/>
      <c r="AA642" s="30"/>
      <c r="AB642" s="30"/>
      <c r="AC642" s="30"/>
      <c r="AD642" s="30"/>
      <c r="AE642" s="30"/>
      <c r="AF642" s="30"/>
    </row>
    <row r="643" ht="15.75" customHeight="1">
      <c r="A643" s="94" t="s">
        <v>5249</v>
      </c>
      <c r="B643" s="95">
        <v>3.0</v>
      </c>
      <c r="C643" s="28" t="s">
        <v>5271</v>
      </c>
      <c r="D643" s="28" t="s">
        <v>5272</v>
      </c>
      <c r="E643" s="96" t="s">
        <v>5273</v>
      </c>
      <c r="F643" s="30"/>
      <c r="G643" s="30"/>
      <c r="H643" s="30"/>
      <c r="I643" s="30"/>
      <c r="J643" s="30"/>
      <c r="K643" s="30"/>
      <c r="L643" s="30"/>
      <c r="M643" s="30"/>
      <c r="N643" s="30"/>
      <c r="O643" s="30"/>
      <c r="P643" s="30"/>
      <c r="Q643" s="30"/>
      <c r="R643" s="30"/>
      <c r="S643" s="30"/>
      <c r="T643" s="30"/>
      <c r="U643" s="30"/>
      <c r="V643" s="30"/>
      <c r="W643" s="30"/>
      <c r="X643" s="30"/>
      <c r="Y643" s="30"/>
      <c r="Z643" s="30"/>
      <c r="AA643" s="30"/>
      <c r="AB643" s="30"/>
      <c r="AC643" s="30"/>
      <c r="AD643" s="30"/>
      <c r="AE643" s="30"/>
      <c r="AF643" s="30"/>
    </row>
    <row r="644" ht="15.75" customHeight="1">
      <c r="A644" s="94" t="s">
        <v>5249</v>
      </c>
      <c r="B644" s="95">
        <v>4.0</v>
      </c>
      <c r="C644" s="28" t="s">
        <v>5277</v>
      </c>
      <c r="D644" s="28" t="s">
        <v>5278</v>
      </c>
      <c r="E644" s="96" t="s">
        <v>5279</v>
      </c>
      <c r="F644" s="30"/>
      <c r="G644" s="30"/>
      <c r="H644" s="30"/>
      <c r="I644" s="30"/>
      <c r="J644" s="30"/>
      <c r="K644" s="30"/>
      <c r="L644" s="30"/>
      <c r="M644" s="30"/>
      <c r="N644" s="30"/>
      <c r="O644" s="30"/>
      <c r="P644" s="30"/>
      <c r="Q644" s="30"/>
      <c r="R644" s="30"/>
      <c r="S644" s="30"/>
      <c r="T644" s="30"/>
      <c r="U644" s="30"/>
      <c r="V644" s="30"/>
      <c r="W644" s="30"/>
      <c r="X644" s="30"/>
      <c r="Y644" s="30"/>
      <c r="Z644" s="30"/>
      <c r="AA644" s="30"/>
      <c r="AB644" s="30"/>
      <c r="AC644" s="30"/>
      <c r="AD644" s="30"/>
      <c r="AE644" s="30"/>
      <c r="AF644" s="30"/>
    </row>
    <row r="645" ht="15.75" customHeight="1">
      <c r="A645" s="94" t="s">
        <v>5249</v>
      </c>
      <c r="B645" s="95">
        <v>5.0</v>
      </c>
      <c r="C645" s="28" t="s">
        <v>5281</v>
      </c>
      <c r="D645" s="28" t="s">
        <v>5282</v>
      </c>
      <c r="E645" s="28" t="s">
        <v>5283</v>
      </c>
      <c r="F645" s="30"/>
      <c r="G645" s="30"/>
      <c r="H645" s="30"/>
      <c r="I645" s="30"/>
      <c r="J645" s="30"/>
      <c r="K645" s="30"/>
      <c r="L645" s="30"/>
      <c r="M645" s="30"/>
      <c r="N645" s="30"/>
      <c r="O645" s="30"/>
      <c r="P645" s="30"/>
      <c r="Q645" s="30"/>
      <c r="R645" s="30"/>
      <c r="S645" s="30"/>
      <c r="T645" s="30"/>
      <c r="U645" s="30"/>
      <c r="V645" s="30"/>
      <c r="W645" s="30"/>
      <c r="X645" s="30"/>
      <c r="Y645" s="30"/>
      <c r="Z645" s="30"/>
      <c r="AA645" s="30"/>
      <c r="AB645" s="30"/>
      <c r="AC645" s="30"/>
      <c r="AD645" s="30"/>
      <c r="AE645" s="30"/>
      <c r="AF645" s="30"/>
    </row>
    <row r="646" ht="15.75" customHeight="1">
      <c r="A646" s="94" t="s">
        <v>5249</v>
      </c>
      <c r="B646" s="95">
        <v>6.0</v>
      </c>
      <c r="C646" s="28" t="s">
        <v>5284</v>
      </c>
      <c r="D646" s="28" t="s">
        <v>5285</v>
      </c>
      <c r="E646" s="96" t="s">
        <v>5286</v>
      </c>
      <c r="F646" s="30"/>
      <c r="G646" s="30"/>
      <c r="H646" s="30"/>
      <c r="I646" s="30"/>
      <c r="J646" s="30"/>
      <c r="K646" s="30"/>
      <c r="L646" s="30"/>
      <c r="M646" s="30"/>
      <c r="N646" s="30"/>
      <c r="O646" s="30"/>
      <c r="P646" s="30"/>
      <c r="Q646" s="30"/>
      <c r="R646" s="30"/>
      <c r="S646" s="30"/>
      <c r="T646" s="30"/>
      <c r="U646" s="30"/>
      <c r="V646" s="30"/>
      <c r="W646" s="30"/>
      <c r="X646" s="30"/>
      <c r="Y646" s="30"/>
      <c r="Z646" s="30"/>
      <c r="AA646" s="30"/>
      <c r="AB646" s="30"/>
      <c r="AC646" s="30"/>
      <c r="AD646" s="30"/>
      <c r="AE646" s="30"/>
      <c r="AF646" s="30"/>
    </row>
    <row r="647" ht="15.75" customHeight="1">
      <c r="A647" s="94" t="s">
        <v>5249</v>
      </c>
      <c r="B647" s="95">
        <v>7.0</v>
      </c>
      <c r="C647" s="28" t="s">
        <v>5288</v>
      </c>
      <c r="D647" s="28" t="s">
        <v>5289</v>
      </c>
      <c r="E647" s="96" t="s">
        <v>5291</v>
      </c>
      <c r="F647" s="30"/>
      <c r="G647" s="30"/>
      <c r="H647" s="30"/>
      <c r="I647" s="30"/>
      <c r="J647" s="30"/>
      <c r="K647" s="30"/>
      <c r="L647" s="30"/>
      <c r="M647" s="30"/>
      <c r="N647" s="30"/>
      <c r="O647" s="30"/>
      <c r="P647" s="30"/>
      <c r="Q647" s="30"/>
      <c r="R647" s="30"/>
      <c r="S647" s="30"/>
      <c r="T647" s="30"/>
      <c r="U647" s="30"/>
      <c r="V647" s="30"/>
      <c r="W647" s="30"/>
      <c r="X647" s="30"/>
      <c r="Y647" s="30"/>
      <c r="Z647" s="30"/>
      <c r="AA647" s="30"/>
      <c r="AB647" s="30"/>
      <c r="AC647" s="30"/>
      <c r="AD647" s="30"/>
      <c r="AE647" s="30"/>
      <c r="AF647" s="30"/>
    </row>
    <row r="648" ht="15.75" customHeight="1">
      <c r="A648" s="94" t="s">
        <v>5249</v>
      </c>
      <c r="B648" s="95">
        <v>-777.0</v>
      </c>
      <c r="C648" s="28" t="s">
        <v>478</v>
      </c>
      <c r="D648" s="28" t="s">
        <v>479</v>
      </c>
      <c r="E648" s="28" t="s">
        <v>480</v>
      </c>
      <c r="F648" s="30"/>
      <c r="G648" s="30"/>
      <c r="H648" s="30"/>
      <c r="I648" s="30"/>
      <c r="J648" s="30"/>
      <c r="K648" s="30"/>
      <c r="L648" s="30"/>
      <c r="M648" s="30"/>
      <c r="N648" s="30"/>
      <c r="O648" s="30"/>
      <c r="P648" s="30"/>
      <c r="Q648" s="30"/>
      <c r="R648" s="30"/>
      <c r="S648" s="30"/>
      <c r="T648" s="30"/>
      <c r="U648" s="30"/>
      <c r="V648" s="30"/>
      <c r="W648" s="30"/>
      <c r="X648" s="30"/>
      <c r="Y648" s="30"/>
      <c r="Z648" s="30"/>
      <c r="AA648" s="30"/>
      <c r="AB648" s="30"/>
      <c r="AC648" s="30"/>
      <c r="AD648" s="30"/>
      <c r="AE648" s="30"/>
      <c r="AF648" s="30"/>
    </row>
    <row r="649" ht="15.75" customHeight="1">
      <c r="A649" s="77" t="s">
        <v>5249</v>
      </c>
      <c r="B649" s="111">
        <v>-999.0</v>
      </c>
      <c r="C649" s="42" t="s">
        <v>134</v>
      </c>
      <c r="D649" s="42" t="s">
        <v>5296</v>
      </c>
      <c r="E649" s="42" t="s">
        <v>136</v>
      </c>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row>
    <row r="650" ht="15.75" customHeight="1">
      <c r="A650" s="114"/>
      <c r="B650" s="115"/>
      <c r="C650" s="114"/>
      <c r="D650" s="114"/>
      <c r="E650" s="210"/>
      <c r="F650" s="30"/>
      <c r="G650" s="30"/>
      <c r="H650" s="30"/>
      <c r="I650" s="30"/>
      <c r="J650" s="30"/>
      <c r="K650" s="30"/>
      <c r="L650" s="30"/>
      <c r="M650" s="30"/>
      <c r="N650" s="30"/>
      <c r="O650" s="30"/>
      <c r="P650" s="30"/>
      <c r="Q650" s="30"/>
      <c r="R650" s="30"/>
      <c r="S650" s="30"/>
      <c r="T650" s="30"/>
      <c r="U650" s="30"/>
      <c r="V650" s="30"/>
      <c r="W650" s="30"/>
      <c r="X650" s="30"/>
      <c r="Y650" s="30"/>
      <c r="Z650" s="30"/>
      <c r="AA650" s="30"/>
      <c r="AB650" s="30"/>
      <c r="AC650" s="30"/>
      <c r="AD650" s="30"/>
      <c r="AE650" s="30"/>
      <c r="AF650" s="30"/>
    </row>
    <row r="651" ht="15.75" customHeight="1">
      <c r="A651" s="116" t="s">
        <v>5305</v>
      </c>
      <c r="B651" s="109">
        <v>1.0</v>
      </c>
      <c r="C651" s="301" t="s">
        <v>3522</v>
      </c>
      <c r="D651" s="301" t="s">
        <v>3523</v>
      </c>
      <c r="E651" s="301" t="s">
        <v>3524</v>
      </c>
      <c r="F651" s="30"/>
      <c r="G651" s="30"/>
      <c r="H651" s="30"/>
      <c r="I651" s="30"/>
      <c r="J651" s="30"/>
      <c r="K651" s="30"/>
      <c r="L651" s="30"/>
      <c r="M651" s="30"/>
      <c r="N651" s="30"/>
      <c r="O651" s="30"/>
      <c r="P651" s="30"/>
      <c r="Q651" s="30"/>
      <c r="R651" s="30"/>
      <c r="S651" s="30"/>
      <c r="T651" s="30"/>
      <c r="U651" s="30"/>
      <c r="V651" s="30"/>
      <c r="W651" s="30"/>
      <c r="X651" s="30"/>
      <c r="Y651" s="30"/>
      <c r="Z651" s="30"/>
      <c r="AA651" s="30"/>
      <c r="AB651" s="30"/>
      <c r="AC651" s="30"/>
      <c r="AD651" s="30"/>
      <c r="AE651" s="30"/>
      <c r="AF651" s="30"/>
    </row>
    <row r="652" ht="15.75" customHeight="1">
      <c r="A652" s="116" t="s">
        <v>5305</v>
      </c>
      <c r="B652" s="109">
        <v>2.0</v>
      </c>
      <c r="C652" s="301" t="s">
        <v>5322</v>
      </c>
      <c r="D652" s="301" t="s">
        <v>5323</v>
      </c>
      <c r="E652" s="301" t="s">
        <v>5324</v>
      </c>
      <c r="F652" s="30"/>
      <c r="G652" s="30"/>
      <c r="H652" s="30"/>
      <c r="I652" s="30"/>
      <c r="J652" s="30"/>
      <c r="K652" s="30"/>
      <c r="L652" s="30"/>
      <c r="M652" s="30"/>
      <c r="N652" s="30"/>
      <c r="O652" s="30"/>
      <c r="P652" s="30"/>
      <c r="Q652" s="30"/>
      <c r="R652" s="30"/>
      <c r="S652" s="30"/>
      <c r="T652" s="30"/>
      <c r="U652" s="30"/>
      <c r="V652" s="30"/>
      <c r="W652" s="30"/>
      <c r="X652" s="30"/>
      <c r="Y652" s="30"/>
      <c r="Z652" s="30"/>
      <c r="AA652" s="30"/>
      <c r="AB652" s="30"/>
      <c r="AC652" s="30"/>
      <c r="AD652" s="30"/>
      <c r="AE652" s="30"/>
      <c r="AF652" s="30"/>
    </row>
    <row r="653" ht="15.75" customHeight="1">
      <c r="A653" s="116" t="s">
        <v>5305</v>
      </c>
      <c r="B653" s="109">
        <v>3.0</v>
      </c>
      <c r="C653" s="301" t="s">
        <v>5326</v>
      </c>
      <c r="D653" s="301" t="s">
        <v>5327</v>
      </c>
      <c r="E653" s="301" t="s">
        <v>5329</v>
      </c>
      <c r="F653" s="30"/>
      <c r="G653" s="30"/>
      <c r="H653" s="30"/>
      <c r="I653" s="30"/>
      <c r="J653" s="30"/>
      <c r="K653" s="30"/>
      <c r="L653" s="30"/>
      <c r="M653" s="30"/>
      <c r="N653" s="30"/>
      <c r="O653" s="30"/>
      <c r="P653" s="30"/>
      <c r="Q653" s="30"/>
      <c r="R653" s="30"/>
      <c r="S653" s="30"/>
      <c r="T653" s="30"/>
      <c r="U653" s="30"/>
      <c r="V653" s="30"/>
      <c r="W653" s="30"/>
      <c r="X653" s="30"/>
      <c r="Y653" s="30"/>
      <c r="Z653" s="30"/>
      <c r="AA653" s="30"/>
      <c r="AB653" s="30"/>
      <c r="AC653" s="30"/>
      <c r="AD653" s="30"/>
      <c r="AE653" s="30"/>
      <c r="AF653" s="30"/>
    </row>
    <row r="654" ht="15.75" customHeight="1">
      <c r="A654" s="116" t="s">
        <v>5305</v>
      </c>
      <c r="B654" s="109">
        <v>4.0</v>
      </c>
      <c r="C654" s="301" t="s">
        <v>5082</v>
      </c>
      <c r="D654" s="301" t="s">
        <v>5083</v>
      </c>
      <c r="E654" s="301" t="s">
        <v>5336</v>
      </c>
      <c r="F654" s="30"/>
      <c r="G654" s="30"/>
      <c r="H654" s="30"/>
      <c r="I654" s="30"/>
      <c r="J654" s="30"/>
      <c r="K654" s="30"/>
      <c r="L654" s="30"/>
      <c r="M654" s="30"/>
      <c r="N654" s="30"/>
      <c r="O654" s="30"/>
      <c r="P654" s="30"/>
      <c r="Q654" s="30"/>
      <c r="R654" s="30"/>
      <c r="S654" s="30"/>
      <c r="T654" s="30"/>
      <c r="U654" s="30"/>
      <c r="V654" s="30"/>
      <c r="W654" s="30"/>
      <c r="X654" s="30"/>
      <c r="Y654" s="30"/>
      <c r="Z654" s="30"/>
      <c r="AA654" s="30"/>
      <c r="AB654" s="30"/>
      <c r="AC654" s="30"/>
      <c r="AD654" s="30"/>
      <c r="AE654" s="30"/>
      <c r="AF654" s="30"/>
    </row>
    <row r="655" ht="15.75" customHeight="1">
      <c r="A655" s="116" t="s">
        <v>5305</v>
      </c>
      <c r="B655" s="109">
        <v>5.0</v>
      </c>
      <c r="C655" s="301" t="s">
        <v>5337</v>
      </c>
      <c r="D655" s="301" t="s">
        <v>5338</v>
      </c>
      <c r="E655" s="301" t="s">
        <v>5339</v>
      </c>
      <c r="F655" s="30"/>
      <c r="G655" s="30"/>
      <c r="H655" s="30"/>
      <c r="I655" s="30"/>
      <c r="J655" s="30"/>
      <c r="K655" s="30"/>
      <c r="L655" s="30"/>
      <c r="M655" s="30"/>
      <c r="N655" s="30"/>
      <c r="O655" s="30"/>
      <c r="P655" s="30"/>
      <c r="Q655" s="30"/>
      <c r="R655" s="30"/>
      <c r="S655" s="30"/>
      <c r="T655" s="30"/>
      <c r="U655" s="30"/>
      <c r="V655" s="30"/>
      <c r="W655" s="30"/>
      <c r="X655" s="30"/>
      <c r="Y655" s="30"/>
      <c r="Z655" s="30"/>
      <c r="AA655" s="30"/>
      <c r="AB655" s="30"/>
      <c r="AC655" s="30"/>
      <c r="AD655" s="30"/>
      <c r="AE655" s="30"/>
      <c r="AF655" s="30"/>
    </row>
    <row r="656" ht="15.75" customHeight="1">
      <c r="A656" s="116" t="s">
        <v>5305</v>
      </c>
      <c r="B656" s="109">
        <v>6.0</v>
      </c>
      <c r="C656" s="301" t="s">
        <v>5340</v>
      </c>
      <c r="D656" s="301" t="s">
        <v>5341</v>
      </c>
      <c r="E656" s="301" t="s">
        <v>5342</v>
      </c>
      <c r="F656" s="30"/>
      <c r="G656" s="30"/>
      <c r="H656" s="30"/>
      <c r="I656" s="30"/>
      <c r="J656" s="30"/>
      <c r="K656" s="30"/>
      <c r="L656" s="30"/>
      <c r="M656" s="30"/>
      <c r="N656" s="30"/>
      <c r="O656" s="30"/>
      <c r="P656" s="30"/>
      <c r="Q656" s="30"/>
      <c r="R656" s="30"/>
      <c r="S656" s="30"/>
      <c r="T656" s="30"/>
      <c r="U656" s="30"/>
      <c r="V656" s="30"/>
      <c r="W656" s="30"/>
      <c r="X656" s="30"/>
      <c r="Y656" s="30"/>
      <c r="Z656" s="30"/>
      <c r="AA656" s="30"/>
      <c r="AB656" s="30"/>
      <c r="AC656" s="30"/>
      <c r="AD656" s="30"/>
      <c r="AE656" s="30"/>
      <c r="AF656" s="30"/>
    </row>
    <row r="657" ht="15.75" customHeight="1">
      <c r="A657" s="116" t="s">
        <v>5305</v>
      </c>
      <c r="B657" s="109">
        <v>7.0</v>
      </c>
      <c r="C657" s="302" t="s">
        <v>5346</v>
      </c>
      <c r="D657" s="301" t="s">
        <v>5350</v>
      </c>
      <c r="E657" s="301" t="s">
        <v>5351</v>
      </c>
      <c r="F657" s="30"/>
      <c r="G657" s="30"/>
      <c r="H657" s="30"/>
      <c r="I657" s="30"/>
      <c r="J657" s="30"/>
      <c r="K657" s="30"/>
      <c r="L657" s="30"/>
      <c r="M657" s="30"/>
      <c r="N657" s="30"/>
      <c r="O657" s="30"/>
      <c r="P657" s="30"/>
      <c r="Q657" s="30"/>
      <c r="R657" s="30"/>
      <c r="S657" s="30"/>
      <c r="T657" s="30"/>
      <c r="U657" s="30"/>
      <c r="V657" s="30"/>
      <c r="W657" s="30"/>
      <c r="X657" s="30"/>
      <c r="Y657" s="30"/>
      <c r="Z657" s="30"/>
      <c r="AA657" s="30"/>
      <c r="AB657" s="30"/>
      <c r="AC657" s="30"/>
      <c r="AD657" s="30"/>
      <c r="AE657" s="30"/>
      <c r="AF657" s="30"/>
    </row>
    <row r="658" ht="15.75" customHeight="1">
      <c r="A658" s="116" t="s">
        <v>5305</v>
      </c>
      <c r="B658" s="109">
        <v>8.0</v>
      </c>
      <c r="C658" s="301" t="s">
        <v>5352</v>
      </c>
      <c r="D658" s="301" t="s">
        <v>5354</v>
      </c>
      <c r="E658" s="301" t="s">
        <v>5357</v>
      </c>
      <c r="F658" s="30"/>
      <c r="G658" s="30"/>
      <c r="H658" s="30"/>
      <c r="I658" s="30"/>
      <c r="J658" s="30"/>
      <c r="K658" s="30"/>
      <c r="L658" s="30"/>
      <c r="M658" s="30"/>
      <c r="N658" s="30"/>
      <c r="O658" s="30"/>
      <c r="P658" s="30"/>
      <c r="Q658" s="30"/>
      <c r="R658" s="30"/>
      <c r="S658" s="30"/>
      <c r="T658" s="30"/>
      <c r="U658" s="30"/>
      <c r="V658" s="30"/>
      <c r="W658" s="30"/>
      <c r="X658" s="30"/>
      <c r="Y658" s="30"/>
      <c r="Z658" s="30"/>
      <c r="AA658" s="30"/>
      <c r="AB658" s="30"/>
      <c r="AC658" s="30"/>
      <c r="AD658" s="30"/>
      <c r="AE658" s="30"/>
      <c r="AF658" s="30"/>
    </row>
    <row r="659" ht="15.75" customHeight="1">
      <c r="A659" s="116" t="s">
        <v>5305</v>
      </c>
      <c r="B659" s="109">
        <v>9.0</v>
      </c>
      <c r="C659" s="301" t="s">
        <v>5361</v>
      </c>
      <c r="D659" s="301" t="s">
        <v>5363</v>
      </c>
      <c r="E659" s="301" t="s">
        <v>5365</v>
      </c>
      <c r="F659" s="30"/>
      <c r="G659" s="30"/>
      <c r="H659" s="30"/>
      <c r="I659" s="30"/>
      <c r="J659" s="30"/>
      <c r="K659" s="30"/>
      <c r="L659" s="30"/>
      <c r="M659" s="30"/>
      <c r="N659" s="30"/>
      <c r="O659" s="30"/>
      <c r="P659" s="30"/>
      <c r="Q659" s="30"/>
      <c r="R659" s="30"/>
      <c r="S659" s="30"/>
      <c r="T659" s="30"/>
      <c r="U659" s="30"/>
      <c r="V659" s="30"/>
      <c r="W659" s="30"/>
      <c r="X659" s="30"/>
      <c r="Y659" s="30"/>
      <c r="Z659" s="30"/>
      <c r="AA659" s="30"/>
      <c r="AB659" s="30"/>
      <c r="AC659" s="30"/>
      <c r="AD659" s="30"/>
      <c r="AE659" s="30"/>
      <c r="AF659" s="30"/>
    </row>
    <row r="660" ht="15.75" customHeight="1">
      <c r="A660" s="116" t="s">
        <v>5305</v>
      </c>
      <c r="B660" s="109">
        <v>10.0</v>
      </c>
      <c r="C660" s="301" t="s">
        <v>2041</v>
      </c>
      <c r="D660" s="301" t="s">
        <v>2042</v>
      </c>
      <c r="E660" s="301" t="s">
        <v>2043</v>
      </c>
      <c r="F660" s="30"/>
      <c r="G660" s="30"/>
      <c r="H660" s="30"/>
      <c r="I660" s="30"/>
      <c r="J660" s="30"/>
      <c r="K660" s="30"/>
      <c r="L660" s="30"/>
      <c r="M660" s="30"/>
      <c r="N660" s="30"/>
      <c r="O660" s="30"/>
      <c r="P660" s="30"/>
      <c r="Q660" s="30"/>
      <c r="R660" s="30"/>
      <c r="S660" s="30"/>
      <c r="T660" s="30"/>
      <c r="U660" s="30"/>
      <c r="V660" s="30"/>
      <c r="W660" s="30"/>
      <c r="X660" s="30"/>
      <c r="Y660" s="30"/>
      <c r="Z660" s="30"/>
      <c r="AA660" s="30"/>
      <c r="AB660" s="30"/>
      <c r="AC660" s="30"/>
      <c r="AD660" s="30"/>
      <c r="AE660" s="30"/>
      <c r="AF660" s="30"/>
    </row>
    <row r="661" ht="15.75" customHeight="1">
      <c r="A661" s="116" t="s">
        <v>5305</v>
      </c>
      <c r="B661" s="109">
        <v>-777.0</v>
      </c>
      <c r="C661" s="301" t="s">
        <v>478</v>
      </c>
      <c r="D661" s="301" t="s">
        <v>479</v>
      </c>
      <c r="E661" s="301" t="s">
        <v>5378</v>
      </c>
      <c r="F661" s="30"/>
      <c r="G661" s="30"/>
      <c r="H661" s="30"/>
      <c r="I661" s="30"/>
      <c r="J661" s="30"/>
      <c r="K661" s="30"/>
      <c r="L661" s="30"/>
      <c r="M661" s="30"/>
      <c r="N661" s="30"/>
      <c r="O661" s="30"/>
      <c r="P661" s="30"/>
      <c r="Q661" s="30"/>
      <c r="R661" s="30"/>
      <c r="S661" s="30"/>
      <c r="T661" s="30"/>
      <c r="U661" s="30"/>
      <c r="V661" s="30"/>
      <c r="W661" s="30"/>
      <c r="X661" s="30"/>
      <c r="Y661" s="30"/>
      <c r="Z661" s="30"/>
      <c r="AA661" s="30"/>
      <c r="AB661" s="30"/>
      <c r="AC661" s="30"/>
      <c r="AD661" s="30"/>
      <c r="AE661" s="30"/>
      <c r="AF661" s="30"/>
    </row>
    <row r="662" ht="15.75" customHeight="1">
      <c r="A662" s="116" t="s">
        <v>5305</v>
      </c>
      <c r="B662" s="109">
        <v>-999.0</v>
      </c>
      <c r="C662" s="301" t="s">
        <v>134</v>
      </c>
      <c r="D662" s="301" t="s">
        <v>135</v>
      </c>
      <c r="E662" s="301" t="s">
        <v>136</v>
      </c>
      <c r="F662" s="30"/>
      <c r="G662" s="30"/>
      <c r="H662" s="30"/>
      <c r="I662" s="30"/>
      <c r="J662" s="30"/>
      <c r="K662" s="30"/>
      <c r="L662" s="30"/>
      <c r="M662" s="30"/>
      <c r="N662" s="30"/>
      <c r="O662" s="30"/>
      <c r="P662" s="30"/>
      <c r="Q662" s="30"/>
      <c r="R662" s="30"/>
      <c r="S662" s="30"/>
      <c r="T662" s="30"/>
      <c r="U662" s="30"/>
      <c r="V662" s="30"/>
      <c r="W662" s="30"/>
      <c r="X662" s="30"/>
      <c r="Y662" s="30"/>
      <c r="Z662" s="30"/>
      <c r="AA662" s="30"/>
      <c r="AB662" s="30"/>
      <c r="AC662" s="30"/>
      <c r="AD662" s="30"/>
      <c r="AE662" s="30"/>
      <c r="AF662" s="30"/>
    </row>
    <row r="663" ht="15.75" customHeight="1">
      <c r="A663" s="123" t="s">
        <v>5391</v>
      </c>
      <c r="B663" s="126">
        <v>1.0</v>
      </c>
      <c r="C663" s="136" t="s">
        <v>5392</v>
      </c>
      <c r="D663" s="268" t="s">
        <v>5393</v>
      </c>
      <c r="E663" s="297" t="s">
        <v>5394</v>
      </c>
      <c r="F663" s="49"/>
      <c r="G663" s="49"/>
      <c r="H663" s="49"/>
      <c r="I663" s="49"/>
      <c r="J663" s="49"/>
      <c r="K663" s="49"/>
      <c r="L663" s="49"/>
      <c r="M663" s="49"/>
      <c r="N663" s="49"/>
      <c r="O663" s="49"/>
      <c r="P663" s="49"/>
      <c r="Q663" s="49"/>
      <c r="R663" s="49"/>
      <c r="S663" s="49"/>
      <c r="T663" s="49"/>
      <c r="U663" s="49"/>
      <c r="V663" s="49"/>
      <c r="W663" s="49"/>
      <c r="X663" s="49"/>
      <c r="Y663" s="49"/>
      <c r="Z663" s="49"/>
      <c r="AA663" s="49"/>
      <c r="AB663" s="49"/>
      <c r="AC663" s="49"/>
      <c r="AD663" s="49"/>
      <c r="AE663" s="49"/>
      <c r="AF663" s="49"/>
    </row>
    <row r="664" ht="15.75" customHeight="1">
      <c r="A664" s="94" t="s">
        <v>5391</v>
      </c>
      <c r="B664" s="95">
        <v>2.0</v>
      </c>
      <c r="C664" s="28" t="s">
        <v>5402</v>
      </c>
      <c r="D664" s="114" t="s">
        <v>5403</v>
      </c>
      <c r="E664" s="114" t="s">
        <v>5404</v>
      </c>
      <c r="F664" s="30"/>
      <c r="G664" s="30"/>
      <c r="H664" s="30"/>
      <c r="I664" s="30"/>
      <c r="J664" s="30"/>
      <c r="K664" s="30"/>
      <c r="L664" s="30"/>
      <c r="M664" s="30"/>
      <c r="N664" s="30"/>
      <c r="O664" s="30"/>
      <c r="P664" s="30"/>
      <c r="Q664" s="30"/>
      <c r="R664" s="30"/>
      <c r="S664" s="30"/>
      <c r="T664" s="30"/>
      <c r="U664" s="30"/>
      <c r="V664" s="30"/>
      <c r="W664" s="30"/>
      <c r="X664" s="30"/>
      <c r="Y664" s="30"/>
      <c r="Z664" s="30"/>
      <c r="AA664" s="30"/>
      <c r="AB664" s="30"/>
      <c r="AC664" s="30"/>
      <c r="AD664" s="30"/>
      <c r="AE664" s="30"/>
      <c r="AF664" s="30"/>
    </row>
    <row r="665" ht="15.75" customHeight="1">
      <c r="A665" s="94" t="s">
        <v>5391</v>
      </c>
      <c r="B665" s="95">
        <v>3.0</v>
      </c>
      <c r="C665" s="28" t="s">
        <v>5409</v>
      </c>
      <c r="D665" s="114" t="s">
        <v>5411</v>
      </c>
      <c r="E665" s="114" t="s">
        <v>5412</v>
      </c>
      <c r="F665" s="30"/>
      <c r="G665" s="30"/>
      <c r="H665" s="30"/>
      <c r="I665" s="30"/>
      <c r="J665" s="30"/>
      <c r="K665" s="30"/>
      <c r="L665" s="30"/>
      <c r="M665" s="30"/>
      <c r="N665" s="30"/>
      <c r="O665" s="30"/>
      <c r="P665" s="30"/>
      <c r="Q665" s="30"/>
      <c r="R665" s="30"/>
      <c r="S665" s="30"/>
      <c r="T665" s="30"/>
      <c r="U665" s="30"/>
      <c r="V665" s="30"/>
      <c r="W665" s="30"/>
      <c r="X665" s="30"/>
      <c r="Y665" s="30"/>
      <c r="Z665" s="30"/>
      <c r="AA665" s="30"/>
      <c r="AB665" s="30"/>
      <c r="AC665" s="30"/>
      <c r="AD665" s="30"/>
      <c r="AE665" s="30"/>
      <c r="AF665" s="30"/>
    </row>
    <row r="666" ht="15.75" customHeight="1">
      <c r="A666" s="94" t="s">
        <v>5391</v>
      </c>
      <c r="B666" s="95">
        <v>4.0</v>
      </c>
      <c r="C666" s="28" t="s">
        <v>5414</v>
      </c>
      <c r="D666" s="114" t="s">
        <v>5414</v>
      </c>
      <c r="E666" s="114" t="s">
        <v>5414</v>
      </c>
      <c r="F666" s="30"/>
      <c r="G666" s="30"/>
      <c r="H666" s="30"/>
      <c r="I666" s="30"/>
      <c r="J666" s="30"/>
      <c r="K666" s="30"/>
      <c r="L666" s="30"/>
      <c r="M666" s="30"/>
      <c r="N666" s="30"/>
      <c r="O666" s="30"/>
      <c r="P666" s="30"/>
      <c r="Q666" s="30"/>
      <c r="R666" s="30"/>
      <c r="S666" s="30"/>
      <c r="T666" s="30"/>
      <c r="U666" s="30"/>
      <c r="V666" s="30"/>
      <c r="W666" s="30"/>
      <c r="X666" s="30"/>
      <c r="Y666" s="30"/>
      <c r="Z666" s="30"/>
      <c r="AA666" s="30"/>
      <c r="AB666" s="30"/>
      <c r="AC666" s="30"/>
      <c r="AD666" s="30"/>
      <c r="AE666" s="30"/>
      <c r="AF666" s="30"/>
    </row>
    <row r="667" ht="15.75" customHeight="1">
      <c r="A667" s="94" t="s">
        <v>5391</v>
      </c>
      <c r="B667" s="95">
        <v>5.0</v>
      </c>
      <c r="C667" s="28" t="s">
        <v>5417</v>
      </c>
      <c r="D667" s="114" t="s">
        <v>5418</v>
      </c>
      <c r="E667" s="114" t="s">
        <v>5419</v>
      </c>
      <c r="F667" s="30"/>
      <c r="G667" s="30"/>
      <c r="H667" s="30"/>
      <c r="I667" s="30"/>
      <c r="J667" s="30"/>
      <c r="K667" s="30"/>
      <c r="L667" s="30"/>
      <c r="M667" s="30"/>
      <c r="N667" s="30"/>
      <c r="O667" s="30"/>
      <c r="P667" s="30"/>
      <c r="Q667" s="30"/>
      <c r="R667" s="30"/>
      <c r="S667" s="30"/>
      <c r="T667" s="30"/>
      <c r="U667" s="30"/>
      <c r="V667" s="30"/>
      <c r="W667" s="30"/>
      <c r="X667" s="30"/>
      <c r="Y667" s="30"/>
      <c r="Z667" s="30"/>
      <c r="AA667" s="30"/>
      <c r="AB667" s="30"/>
      <c r="AC667" s="30"/>
      <c r="AD667" s="30"/>
      <c r="AE667" s="30"/>
      <c r="AF667" s="30"/>
    </row>
    <row r="668" ht="15.75" customHeight="1">
      <c r="A668" s="77" t="s">
        <v>5391</v>
      </c>
      <c r="B668" s="111">
        <v>6.0</v>
      </c>
      <c r="C668" s="42" t="s">
        <v>5422</v>
      </c>
      <c r="D668" s="112" t="s">
        <v>5423</v>
      </c>
      <c r="E668" s="82" t="s">
        <v>5424</v>
      </c>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row>
    <row r="669" ht="15.75" customHeight="1">
      <c r="A669" s="114"/>
      <c r="B669" s="115"/>
      <c r="C669" s="114"/>
      <c r="D669" s="114"/>
      <c r="E669" s="210"/>
      <c r="F669" s="30"/>
      <c r="G669" s="30"/>
      <c r="H669" s="30"/>
      <c r="I669" s="30"/>
      <c r="J669" s="30"/>
      <c r="K669" s="30"/>
      <c r="L669" s="30"/>
      <c r="M669" s="30"/>
      <c r="N669" s="30"/>
      <c r="O669" s="30"/>
      <c r="P669" s="30"/>
      <c r="Q669" s="30"/>
      <c r="R669" s="30"/>
      <c r="S669" s="30"/>
      <c r="T669" s="30"/>
      <c r="U669" s="30"/>
      <c r="V669" s="30"/>
      <c r="W669" s="30"/>
      <c r="X669" s="30"/>
      <c r="Y669" s="30"/>
      <c r="Z669" s="30"/>
      <c r="AA669" s="30"/>
      <c r="AB669" s="30"/>
      <c r="AC669" s="30"/>
      <c r="AD669" s="30"/>
      <c r="AE669" s="30"/>
      <c r="AF669" s="30"/>
    </row>
    <row r="670" ht="15.75" customHeight="1">
      <c r="A670" s="55" t="s">
        <v>5431</v>
      </c>
      <c r="B670" s="109">
        <v>1.0</v>
      </c>
      <c r="C670" s="301" t="s">
        <v>5432</v>
      </c>
      <c r="D670" s="301" t="s">
        <v>5433</v>
      </c>
      <c r="E670" s="301" t="s">
        <v>5434</v>
      </c>
      <c r="F670" s="30"/>
      <c r="G670" s="30"/>
      <c r="H670" s="30"/>
      <c r="I670" s="30"/>
      <c r="J670" s="30"/>
      <c r="K670" s="30"/>
      <c r="L670" s="30"/>
      <c r="M670" s="30"/>
      <c r="N670" s="30"/>
      <c r="O670" s="30"/>
      <c r="P670" s="30"/>
      <c r="Q670" s="30"/>
      <c r="R670" s="30"/>
      <c r="S670" s="30"/>
      <c r="T670" s="30"/>
      <c r="U670" s="30"/>
      <c r="V670" s="30"/>
      <c r="W670" s="30"/>
      <c r="X670" s="30"/>
      <c r="Y670" s="30"/>
      <c r="Z670" s="30"/>
      <c r="AA670" s="30"/>
      <c r="AB670" s="30"/>
      <c r="AC670" s="30"/>
      <c r="AD670" s="30"/>
      <c r="AE670" s="30"/>
      <c r="AF670" s="30"/>
    </row>
    <row r="671" ht="15.75" customHeight="1">
      <c r="A671" s="55" t="s">
        <v>5431</v>
      </c>
      <c r="B671" s="109">
        <v>2.0</v>
      </c>
      <c r="C671" s="301" t="s">
        <v>5439</v>
      </c>
      <c r="D671" s="301" t="s">
        <v>5440</v>
      </c>
      <c r="E671" s="301" t="s">
        <v>5441</v>
      </c>
      <c r="F671" s="30"/>
      <c r="G671" s="30"/>
      <c r="H671" s="30"/>
      <c r="I671" s="30"/>
      <c r="J671" s="30"/>
      <c r="K671" s="30"/>
      <c r="L671" s="30"/>
      <c r="M671" s="30"/>
      <c r="N671" s="30"/>
      <c r="O671" s="30"/>
      <c r="P671" s="30"/>
      <c r="Q671" s="30"/>
      <c r="R671" s="30"/>
      <c r="S671" s="30"/>
      <c r="T671" s="30"/>
      <c r="U671" s="30"/>
      <c r="V671" s="30"/>
      <c r="W671" s="30"/>
      <c r="X671" s="30"/>
      <c r="Y671" s="30"/>
      <c r="Z671" s="30"/>
      <c r="AA671" s="30"/>
      <c r="AB671" s="30"/>
      <c r="AC671" s="30"/>
      <c r="AD671" s="30"/>
      <c r="AE671" s="30"/>
      <c r="AF671" s="30"/>
    </row>
    <row r="672" ht="15.75" customHeight="1">
      <c r="A672" s="55" t="s">
        <v>5431</v>
      </c>
      <c r="B672" s="109">
        <v>3.0</v>
      </c>
      <c r="C672" s="301" t="s">
        <v>5445</v>
      </c>
      <c r="D672" s="301" t="s">
        <v>5446</v>
      </c>
      <c r="E672" s="301" t="s">
        <v>5447</v>
      </c>
      <c r="F672" s="30"/>
      <c r="G672" s="30"/>
      <c r="H672" s="30"/>
      <c r="I672" s="30"/>
      <c r="J672" s="30"/>
      <c r="K672" s="30"/>
      <c r="L672" s="30"/>
      <c r="M672" s="30"/>
      <c r="N672" s="30"/>
      <c r="O672" s="30"/>
      <c r="P672" s="30"/>
      <c r="Q672" s="30"/>
      <c r="R672" s="30"/>
      <c r="S672" s="30"/>
      <c r="T672" s="30"/>
      <c r="U672" s="30"/>
      <c r="V672" s="30"/>
      <c r="W672" s="30"/>
      <c r="X672" s="30"/>
      <c r="Y672" s="30"/>
      <c r="Z672" s="30"/>
      <c r="AA672" s="30"/>
      <c r="AB672" s="30"/>
      <c r="AC672" s="30"/>
      <c r="AD672" s="30"/>
      <c r="AE672" s="30"/>
      <c r="AF672" s="30"/>
    </row>
    <row r="673" ht="15.75" customHeight="1">
      <c r="A673" s="55" t="s">
        <v>5431</v>
      </c>
      <c r="B673" s="109">
        <v>-777.0</v>
      </c>
      <c r="C673" s="28" t="s">
        <v>478</v>
      </c>
      <c r="D673" s="28" t="s">
        <v>479</v>
      </c>
      <c r="E673" s="28" t="s">
        <v>480</v>
      </c>
      <c r="F673" s="30"/>
      <c r="G673" s="30"/>
      <c r="H673" s="30"/>
      <c r="I673" s="30"/>
      <c r="J673" s="30"/>
      <c r="K673" s="30"/>
      <c r="L673" s="30"/>
      <c r="M673" s="30"/>
      <c r="N673" s="30"/>
      <c r="O673" s="30"/>
      <c r="P673" s="30"/>
      <c r="Q673" s="30"/>
      <c r="R673" s="30"/>
      <c r="S673" s="30"/>
      <c r="T673" s="30"/>
      <c r="U673" s="30"/>
      <c r="V673" s="30"/>
      <c r="W673" s="30"/>
      <c r="X673" s="30"/>
      <c r="Y673" s="30"/>
      <c r="Z673" s="30"/>
      <c r="AA673" s="30"/>
      <c r="AB673" s="30"/>
      <c r="AC673" s="30"/>
      <c r="AD673" s="30"/>
      <c r="AE673" s="30"/>
      <c r="AF673" s="30"/>
    </row>
    <row r="674" ht="15.75" customHeight="1">
      <c r="A674" s="114"/>
      <c r="B674" s="109"/>
      <c r="C674" s="114"/>
      <c r="D674" s="114"/>
      <c r="E674" s="210"/>
      <c r="F674" s="30"/>
      <c r="G674" s="30"/>
      <c r="H674" s="30"/>
      <c r="I674" s="30"/>
      <c r="J674" s="30"/>
      <c r="K674" s="30"/>
      <c r="L674" s="30"/>
      <c r="M674" s="30"/>
      <c r="N674" s="30"/>
      <c r="O674" s="30"/>
      <c r="P674" s="30"/>
      <c r="Q674" s="30"/>
      <c r="R674" s="30"/>
      <c r="S674" s="30"/>
      <c r="T674" s="30"/>
      <c r="U674" s="30"/>
      <c r="V674" s="30"/>
      <c r="W674" s="30"/>
      <c r="X674" s="30"/>
      <c r="Y674" s="30"/>
      <c r="Z674" s="30"/>
      <c r="AA674" s="30"/>
      <c r="AB674" s="30"/>
      <c r="AC674" s="30"/>
      <c r="AD674" s="30"/>
      <c r="AE674" s="30"/>
      <c r="AF674" s="30"/>
    </row>
    <row r="675" ht="15.75" customHeight="1">
      <c r="A675" s="55" t="s">
        <v>5452</v>
      </c>
      <c r="B675" s="55">
        <v>1.0</v>
      </c>
      <c r="C675" s="55" t="s">
        <v>298</v>
      </c>
      <c r="D675" s="28" t="s">
        <v>299</v>
      </c>
      <c r="E675" s="28" t="s">
        <v>300</v>
      </c>
      <c r="F675" s="30"/>
      <c r="G675" s="30"/>
      <c r="H675" s="30"/>
      <c r="I675" s="30"/>
      <c r="J675" s="30"/>
      <c r="K675" s="30"/>
      <c r="L675" s="30"/>
      <c r="M675" s="30"/>
      <c r="N675" s="30"/>
      <c r="O675" s="30"/>
      <c r="P675" s="30"/>
      <c r="Q675" s="30"/>
      <c r="R675" s="30"/>
      <c r="S675" s="30"/>
      <c r="T675" s="30"/>
      <c r="U675" s="30"/>
      <c r="V675" s="30"/>
      <c r="W675" s="30"/>
      <c r="X675" s="30"/>
      <c r="Y675" s="30"/>
      <c r="Z675" s="30"/>
      <c r="AA675" s="30"/>
      <c r="AB675" s="30"/>
      <c r="AC675" s="30"/>
      <c r="AD675" s="30"/>
      <c r="AE675" s="30"/>
      <c r="AF675" s="30"/>
    </row>
    <row r="676" ht="15.75" customHeight="1">
      <c r="A676" s="55" t="s">
        <v>5452</v>
      </c>
      <c r="B676" s="55">
        <v>2.0</v>
      </c>
      <c r="C676" s="55" t="s">
        <v>288</v>
      </c>
      <c r="D676" s="28" t="s">
        <v>289</v>
      </c>
      <c r="E676" s="28" t="s">
        <v>290</v>
      </c>
      <c r="F676" s="30"/>
      <c r="G676" s="30"/>
      <c r="H676" s="30"/>
      <c r="I676" s="30"/>
      <c r="J676" s="30"/>
      <c r="K676" s="30"/>
      <c r="L676" s="30"/>
      <c r="M676" s="30"/>
      <c r="N676" s="30"/>
      <c r="O676" s="30"/>
      <c r="P676" s="30"/>
      <c r="Q676" s="30"/>
      <c r="R676" s="30"/>
      <c r="S676" s="30"/>
      <c r="T676" s="30"/>
      <c r="U676" s="30"/>
      <c r="V676" s="30"/>
      <c r="W676" s="30"/>
      <c r="X676" s="30"/>
      <c r="Y676" s="30"/>
      <c r="Z676" s="30"/>
      <c r="AA676" s="30"/>
      <c r="AB676" s="30"/>
      <c r="AC676" s="30"/>
      <c r="AD676" s="30"/>
      <c r="AE676" s="30"/>
      <c r="AF676" s="30"/>
    </row>
    <row r="677" ht="15.75" customHeight="1">
      <c r="A677" s="55" t="s">
        <v>5452</v>
      </c>
      <c r="B677" s="55">
        <v>3.0</v>
      </c>
      <c r="C677" s="55" t="s">
        <v>292</v>
      </c>
      <c r="D677" s="28" t="s">
        <v>293</v>
      </c>
      <c r="E677" s="28" t="s">
        <v>295</v>
      </c>
      <c r="F677" s="30"/>
      <c r="G677" s="30"/>
      <c r="H677" s="30"/>
      <c r="I677" s="30"/>
      <c r="J677" s="30"/>
      <c r="K677" s="30"/>
      <c r="L677" s="30"/>
      <c r="M677" s="30"/>
      <c r="N677" s="30"/>
      <c r="O677" s="30"/>
      <c r="P677" s="30"/>
      <c r="Q677" s="30"/>
      <c r="R677" s="30"/>
      <c r="S677" s="30"/>
      <c r="T677" s="30"/>
      <c r="U677" s="30"/>
      <c r="V677" s="30"/>
      <c r="W677" s="30"/>
      <c r="X677" s="30"/>
      <c r="Y677" s="30"/>
      <c r="Z677" s="30"/>
      <c r="AA677" s="30"/>
      <c r="AB677" s="30"/>
      <c r="AC677" s="30"/>
      <c r="AD677" s="30"/>
      <c r="AE677" s="30"/>
      <c r="AF677" s="30"/>
    </row>
    <row r="678" ht="15.75" customHeight="1">
      <c r="A678" s="55" t="s">
        <v>5452</v>
      </c>
      <c r="B678" s="55">
        <v>4.0</v>
      </c>
      <c r="C678" s="55" t="s">
        <v>304</v>
      </c>
      <c r="D678" s="28" t="s">
        <v>305</v>
      </c>
      <c r="E678" s="28" t="s">
        <v>306</v>
      </c>
      <c r="F678" s="30"/>
      <c r="G678" s="30"/>
      <c r="H678" s="30"/>
      <c r="I678" s="30"/>
      <c r="J678" s="30"/>
      <c r="K678" s="30"/>
      <c r="L678" s="30"/>
      <c r="M678" s="30"/>
      <c r="N678" s="30"/>
      <c r="O678" s="30"/>
      <c r="P678" s="30"/>
      <c r="Q678" s="30"/>
      <c r="R678" s="30"/>
      <c r="S678" s="30"/>
      <c r="T678" s="30"/>
      <c r="U678" s="30"/>
      <c r="V678" s="30"/>
      <c r="W678" s="30"/>
      <c r="X678" s="30"/>
      <c r="Y678" s="30"/>
      <c r="Z678" s="30"/>
      <c r="AA678" s="30"/>
      <c r="AB678" s="30"/>
      <c r="AC678" s="30"/>
      <c r="AD678" s="30"/>
      <c r="AE678" s="30"/>
      <c r="AF678" s="30"/>
    </row>
    <row r="679" ht="15.75" customHeight="1">
      <c r="A679" s="55" t="s">
        <v>5452</v>
      </c>
      <c r="B679" s="55">
        <v>5.0</v>
      </c>
      <c r="C679" s="301" t="s">
        <v>5464</v>
      </c>
      <c r="D679" s="301" t="s">
        <v>5466</v>
      </c>
      <c r="E679" s="301" t="s">
        <v>5467</v>
      </c>
      <c r="F679" s="30"/>
      <c r="G679" s="30"/>
      <c r="H679" s="30"/>
      <c r="I679" s="30"/>
      <c r="J679" s="30"/>
      <c r="K679" s="30"/>
      <c r="L679" s="30"/>
      <c r="M679" s="30"/>
      <c r="N679" s="30"/>
      <c r="O679" s="30"/>
      <c r="P679" s="30"/>
      <c r="Q679" s="30"/>
      <c r="R679" s="30"/>
      <c r="S679" s="30"/>
      <c r="T679" s="30"/>
      <c r="U679" s="30"/>
      <c r="V679" s="30"/>
      <c r="W679" s="30"/>
      <c r="X679" s="30"/>
      <c r="Y679" s="30"/>
      <c r="Z679" s="30"/>
      <c r="AA679" s="30"/>
      <c r="AB679" s="30"/>
      <c r="AC679" s="30"/>
      <c r="AD679" s="30"/>
      <c r="AE679" s="30"/>
      <c r="AF679" s="30"/>
    </row>
    <row r="680" ht="15.75" customHeight="1">
      <c r="A680" s="55"/>
      <c r="B680" s="55"/>
      <c r="C680" s="303"/>
      <c r="D680" s="303"/>
      <c r="E680" s="303"/>
      <c r="F680" s="30"/>
      <c r="G680" s="30"/>
      <c r="H680" s="30"/>
      <c r="I680" s="30"/>
      <c r="J680" s="30"/>
      <c r="K680" s="30"/>
      <c r="L680" s="30"/>
      <c r="M680" s="30"/>
      <c r="N680" s="30"/>
      <c r="O680" s="30"/>
      <c r="P680" s="30"/>
      <c r="Q680" s="30"/>
      <c r="R680" s="30"/>
      <c r="S680" s="30"/>
      <c r="T680" s="30"/>
      <c r="U680" s="30"/>
      <c r="V680" s="30"/>
      <c r="W680" s="30"/>
      <c r="X680" s="30"/>
      <c r="Y680" s="30"/>
      <c r="Z680" s="30"/>
      <c r="AA680" s="30"/>
      <c r="AB680" s="30"/>
      <c r="AC680" s="30"/>
      <c r="AD680" s="30"/>
      <c r="AE680" s="30"/>
      <c r="AF680" s="30"/>
    </row>
    <row r="681" ht="15.75" customHeight="1">
      <c r="A681" s="55" t="s">
        <v>5479</v>
      </c>
      <c r="B681" s="55">
        <v>1.0</v>
      </c>
      <c r="C681" s="301" t="s">
        <v>5480</v>
      </c>
      <c r="D681" s="301" t="s">
        <v>5481</v>
      </c>
      <c r="E681" s="301" t="s">
        <v>5482</v>
      </c>
      <c r="F681" s="30"/>
      <c r="G681" s="30"/>
      <c r="H681" s="30"/>
      <c r="I681" s="30"/>
      <c r="J681" s="30"/>
      <c r="K681" s="30"/>
      <c r="L681" s="30"/>
      <c r="M681" s="30"/>
      <c r="N681" s="30"/>
      <c r="O681" s="30"/>
      <c r="P681" s="30"/>
      <c r="Q681" s="30"/>
      <c r="R681" s="30"/>
      <c r="S681" s="30"/>
      <c r="T681" s="30"/>
      <c r="U681" s="30"/>
      <c r="V681" s="30"/>
      <c r="W681" s="30"/>
      <c r="X681" s="30"/>
      <c r="Y681" s="30"/>
      <c r="Z681" s="30"/>
      <c r="AA681" s="30"/>
      <c r="AB681" s="30"/>
      <c r="AC681" s="30"/>
      <c r="AD681" s="30"/>
      <c r="AE681" s="30"/>
      <c r="AF681" s="30"/>
    </row>
    <row r="682" ht="15.75" customHeight="1">
      <c r="A682" s="55" t="s">
        <v>5479</v>
      </c>
      <c r="B682" s="55">
        <v>2.0</v>
      </c>
      <c r="C682" s="301" t="s">
        <v>5486</v>
      </c>
      <c r="D682" s="301" t="s">
        <v>5486</v>
      </c>
      <c r="E682" s="301" t="s">
        <v>5487</v>
      </c>
      <c r="F682" s="30"/>
      <c r="G682" s="30"/>
      <c r="H682" s="30"/>
      <c r="I682" s="30"/>
      <c r="J682" s="30"/>
      <c r="K682" s="30"/>
      <c r="L682" s="30"/>
      <c r="M682" s="30"/>
      <c r="N682" s="30"/>
      <c r="O682" s="30"/>
      <c r="P682" s="30"/>
      <c r="Q682" s="30"/>
      <c r="R682" s="30"/>
      <c r="S682" s="30"/>
      <c r="T682" s="30"/>
      <c r="U682" s="30"/>
      <c r="V682" s="30"/>
      <c r="W682" s="30"/>
      <c r="X682" s="30"/>
      <c r="Y682" s="30"/>
      <c r="Z682" s="30"/>
      <c r="AA682" s="30"/>
      <c r="AB682" s="30"/>
      <c r="AC682" s="30"/>
      <c r="AD682" s="30"/>
      <c r="AE682" s="30"/>
      <c r="AF682" s="30"/>
    </row>
    <row r="683" ht="15.75" customHeight="1">
      <c r="A683" s="55" t="s">
        <v>5479</v>
      </c>
      <c r="B683" s="55">
        <v>3.0</v>
      </c>
      <c r="C683" s="301" t="s">
        <v>5491</v>
      </c>
      <c r="D683" s="301" t="s">
        <v>5492</v>
      </c>
      <c r="E683" s="301" t="s">
        <v>5493</v>
      </c>
      <c r="F683" s="30"/>
      <c r="G683" s="30"/>
      <c r="H683" s="30"/>
      <c r="I683" s="30"/>
      <c r="J683" s="30"/>
      <c r="K683" s="30"/>
      <c r="L683" s="30"/>
      <c r="M683" s="30"/>
      <c r="N683" s="30"/>
      <c r="O683" s="30"/>
      <c r="P683" s="30"/>
      <c r="Q683" s="30"/>
      <c r="R683" s="30"/>
      <c r="S683" s="30"/>
      <c r="T683" s="30"/>
      <c r="U683" s="30"/>
      <c r="V683" s="30"/>
      <c r="W683" s="30"/>
      <c r="X683" s="30"/>
      <c r="Y683" s="30"/>
      <c r="Z683" s="30"/>
      <c r="AA683" s="30"/>
      <c r="AB683" s="30"/>
      <c r="AC683" s="30"/>
      <c r="AD683" s="30"/>
      <c r="AE683" s="30"/>
      <c r="AF683" s="30"/>
    </row>
    <row r="684" ht="15.75" customHeight="1">
      <c r="A684" s="55" t="s">
        <v>5479</v>
      </c>
      <c r="B684" s="55">
        <v>4.0</v>
      </c>
      <c r="C684" s="301" t="s">
        <v>5505</v>
      </c>
      <c r="D684" s="301" t="s">
        <v>5506</v>
      </c>
      <c r="E684" s="301" t="s">
        <v>5507</v>
      </c>
      <c r="F684" s="30"/>
      <c r="G684" s="30"/>
      <c r="H684" s="30"/>
      <c r="I684" s="30"/>
      <c r="J684" s="30"/>
      <c r="K684" s="30"/>
      <c r="L684" s="30"/>
      <c r="M684" s="30"/>
      <c r="N684" s="30"/>
      <c r="O684" s="30"/>
      <c r="P684" s="30"/>
      <c r="Q684" s="30"/>
      <c r="R684" s="30"/>
      <c r="S684" s="30"/>
      <c r="T684" s="30"/>
      <c r="U684" s="30"/>
      <c r="V684" s="30"/>
      <c r="W684" s="30"/>
      <c r="X684" s="30"/>
      <c r="Y684" s="30"/>
      <c r="Z684" s="30"/>
      <c r="AA684" s="30"/>
      <c r="AB684" s="30"/>
      <c r="AC684" s="30"/>
      <c r="AD684" s="30"/>
      <c r="AE684" s="30"/>
      <c r="AF684" s="30"/>
    </row>
    <row r="685" ht="15.75" customHeight="1">
      <c r="A685" s="55" t="s">
        <v>5479</v>
      </c>
      <c r="B685" s="55">
        <v>-777.0</v>
      </c>
      <c r="C685" s="301" t="s">
        <v>478</v>
      </c>
      <c r="D685" s="301" t="s">
        <v>479</v>
      </c>
      <c r="E685" s="301" t="s">
        <v>480</v>
      </c>
      <c r="F685" s="30"/>
      <c r="G685" s="30"/>
      <c r="H685" s="30"/>
      <c r="I685" s="30"/>
      <c r="J685" s="30"/>
      <c r="K685" s="30"/>
      <c r="L685" s="30"/>
      <c r="M685" s="30"/>
      <c r="N685" s="30"/>
      <c r="O685" s="30"/>
      <c r="P685" s="30"/>
      <c r="Q685" s="30"/>
      <c r="R685" s="30"/>
      <c r="S685" s="30"/>
      <c r="T685" s="30"/>
      <c r="U685" s="30"/>
      <c r="V685" s="30"/>
      <c r="W685" s="30"/>
      <c r="X685" s="30"/>
      <c r="Y685" s="30"/>
      <c r="Z685" s="30"/>
      <c r="AA685" s="30"/>
      <c r="AB685" s="30"/>
      <c r="AC685" s="30"/>
      <c r="AD685" s="30"/>
      <c r="AE685" s="30"/>
      <c r="AF685" s="30"/>
    </row>
    <row r="686" ht="15.75" customHeight="1">
      <c r="A686" s="55"/>
      <c r="B686" s="55"/>
      <c r="C686" s="55"/>
      <c r="D686" s="162"/>
      <c r="E686" s="162"/>
      <c r="F686" s="30"/>
      <c r="G686" s="30"/>
      <c r="H686" s="30"/>
      <c r="I686" s="30"/>
      <c r="J686" s="30"/>
      <c r="K686" s="30"/>
      <c r="L686" s="30"/>
      <c r="M686" s="30"/>
      <c r="N686" s="30"/>
      <c r="O686" s="30"/>
      <c r="P686" s="30"/>
      <c r="Q686" s="30"/>
      <c r="R686" s="30"/>
      <c r="S686" s="30"/>
      <c r="T686" s="30"/>
      <c r="U686" s="30"/>
      <c r="V686" s="30"/>
      <c r="W686" s="30"/>
      <c r="X686" s="30"/>
      <c r="Y686" s="30"/>
      <c r="Z686" s="30"/>
      <c r="AA686" s="30"/>
      <c r="AB686" s="30"/>
      <c r="AC686" s="30"/>
      <c r="AD686" s="30"/>
      <c r="AE686" s="30"/>
      <c r="AF686" s="30"/>
    </row>
    <row r="687" ht="15.75" customHeight="1">
      <c r="A687" s="55" t="s">
        <v>5521</v>
      </c>
      <c r="B687" s="55">
        <v>1.0</v>
      </c>
      <c r="C687" s="301" t="s">
        <v>5523</v>
      </c>
      <c r="D687" s="301" t="s">
        <v>5525</v>
      </c>
      <c r="E687" s="301" t="s">
        <v>5527</v>
      </c>
      <c r="F687" s="30"/>
      <c r="G687" s="30"/>
      <c r="H687" s="30"/>
      <c r="I687" s="30"/>
      <c r="J687" s="30"/>
      <c r="K687" s="30"/>
      <c r="L687" s="30"/>
      <c r="M687" s="30"/>
      <c r="N687" s="30"/>
      <c r="O687" s="30"/>
      <c r="P687" s="30"/>
      <c r="Q687" s="30"/>
      <c r="R687" s="30"/>
      <c r="S687" s="30"/>
      <c r="T687" s="30"/>
      <c r="U687" s="30"/>
      <c r="V687" s="30"/>
      <c r="W687" s="30"/>
      <c r="X687" s="30"/>
      <c r="Y687" s="30"/>
      <c r="Z687" s="30"/>
      <c r="AA687" s="30"/>
      <c r="AB687" s="30"/>
      <c r="AC687" s="30"/>
      <c r="AD687" s="30"/>
      <c r="AE687" s="30"/>
      <c r="AF687" s="30"/>
    </row>
    <row r="688" ht="15.75" customHeight="1">
      <c r="A688" s="55" t="s">
        <v>5521</v>
      </c>
      <c r="B688" s="55">
        <v>2.0</v>
      </c>
      <c r="C688" s="301" t="s">
        <v>5532</v>
      </c>
      <c r="D688" s="301" t="s">
        <v>5533</v>
      </c>
      <c r="E688" s="301" t="s">
        <v>5534</v>
      </c>
      <c r="F688" s="30"/>
      <c r="G688" s="30"/>
      <c r="H688" s="30"/>
      <c r="I688" s="30"/>
      <c r="J688" s="30"/>
      <c r="K688" s="30"/>
      <c r="L688" s="30"/>
      <c r="M688" s="30"/>
      <c r="N688" s="30"/>
      <c r="O688" s="30"/>
      <c r="P688" s="30"/>
      <c r="Q688" s="30"/>
      <c r="R688" s="30"/>
      <c r="S688" s="30"/>
      <c r="T688" s="30"/>
      <c r="U688" s="30"/>
      <c r="V688" s="30"/>
      <c r="W688" s="30"/>
      <c r="X688" s="30"/>
      <c r="Y688" s="30"/>
      <c r="Z688" s="30"/>
      <c r="AA688" s="30"/>
      <c r="AB688" s="30"/>
      <c r="AC688" s="30"/>
      <c r="AD688" s="30"/>
      <c r="AE688" s="30"/>
      <c r="AF688" s="30"/>
    </row>
    <row r="689" ht="15.75" customHeight="1">
      <c r="A689" s="55" t="s">
        <v>5521</v>
      </c>
      <c r="B689" s="55">
        <v>3.0</v>
      </c>
      <c r="C689" s="301" t="s">
        <v>5535</v>
      </c>
      <c r="D689" s="301" t="s">
        <v>5536</v>
      </c>
      <c r="E689" s="301" t="s">
        <v>5537</v>
      </c>
      <c r="F689" s="30"/>
      <c r="G689" s="30"/>
      <c r="H689" s="30"/>
      <c r="I689" s="30"/>
      <c r="J689" s="30"/>
      <c r="K689" s="30"/>
      <c r="L689" s="30"/>
      <c r="M689" s="30"/>
      <c r="N689" s="30"/>
      <c r="O689" s="30"/>
      <c r="P689" s="30"/>
      <c r="Q689" s="30"/>
      <c r="R689" s="30"/>
      <c r="S689" s="30"/>
      <c r="T689" s="30"/>
      <c r="U689" s="30"/>
      <c r="V689" s="30"/>
      <c r="W689" s="30"/>
      <c r="X689" s="30"/>
      <c r="Y689" s="30"/>
      <c r="Z689" s="30"/>
      <c r="AA689" s="30"/>
      <c r="AB689" s="30"/>
      <c r="AC689" s="30"/>
      <c r="AD689" s="30"/>
      <c r="AE689" s="30"/>
      <c r="AF689" s="30"/>
    </row>
    <row r="690" ht="15.75" customHeight="1">
      <c r="A690" s="55" t="s">
        <v>5521</v>
      </c>
      <c r="B690" s="55">
        <v>4.0</v>
      </c>
      <c r="C690" s="301" t="s">
        <v>5544</v>
      </c>
      <c r="D690" s="301" t="s">
        <v>5545</v>
      </c>
      <c r="E690" s="301" t="s">
        <v>5546</v>
      </c>
      <c r="F690" s="30"/>
      <c r="G690" s="30"/>
      <c r="H690" s="30"/>
      <c r="I690" s="30"/>
      <c r="J690" s="30"/>
      <c r="K690" s="30"/>
      <c r="L690" s="30"/>
      <c r="M690" s="30"/>
      <c r="N690" s="30"/>
      <c r="O690" s="30"/>
      <c r="P690" s="30"/>
      <c r="Q690" s="30"/>
      <c r="R690" s="30"/>
      <c r="S690" s="30"/>
      <c r="T690" s="30"/>
      <c r="U690" s="30"/>
      <c r="V690" s="30"/>
      <c r="W690" s="30"/>
      <c r="X690" s="30"/>
      <c r="Y690" s="30"/>
      <c r="Z690" s="30"/>
      <c r="AA690" s="30"/>
      <c r="AB690" s="30"/>
      <c r="AC690" s="30"/>
      <c r="AD690" s="30"/>
      <c r="AE690" s="30"/>
      <c r="AF690" s="30"/>
    </row>
    <row r="691" ht="15.75" customHeight="1">
      <c r="A691" s="55" t="s">
        <v>5521</v>
      </c>
      <c r="B691" s="55">
        <v>-777.0</v>
      </c>
      <c r="C691" s="301" t="s">
        <v>478</v>
      </c>
      <c r="D691" s="301" t="s">
        <v>479</v>
      </c>
      <c r="E691" s="301" t="s">
        <v>480</v>
      </c>
      <c r="F691" s="30"/>
      <c r="G691" s="30"/>
      <c r="H691" s="30"/>
      <c r="I691" s="30"/>
      <c r="J691" s="30"/>
      <c r="K691" s="30"/>
      <c r="L691" s="30"/>
      <c r="M691" s="30"/>
      <c r="N691" s="30"/>
      <c r="O691" s="30"/>
      <c r="P691" s="30"/>
      <c r="Q691" s="30"/>
      <c r="R691" s="30"/>
      <c r="S691" s="30"/>
      <c r="T691" s="30"/>
      <c r="U691" s="30"/>
      <c r="V691" s="30"/>
      <c r="W691" s="30"/>
      <c r="X691" s="30"/>
      <c r="Y691" s="30"/>
      <c r="Z691" s="30"/>
      <c r="AA691" s="30"/>
      <c r="AB691" s="30"/>
      <c r="AC691" s="30"/>
      <c r="AD691" s="30"/>
      <c r="AE691" s="30"/>
      <c r="AF691" s="30"/>
    </row>
    <row r="692" ht="15.75" customHeight="1">
      <c r="A692" s="55"/>
      <c r="B692" s="55"/>
      <c r="C692" s="55"/>
      <c r="D692" s="114"/>
      <c r="E692" s="210"/>
      <c r="F692" s="30"/>
      <c r="G692" s="30"/>
      <c r="H692" s="30"/>
      <c r="I692" s="30"/>
      <c r="J692" s="30"/>
      <c r="K692" s="30"/>
      <c r="L692" s="30"/>
      <c r="M692" s="30"/>
      <c r="N692" s="30"/>
      <c r="O692" s="30"/>
      <c r="P692" s="30"/>
      <c r="Q692" s="30"/>
      <c r="R692" s="30"/>
      <c r="S692" s="30"/>
      <c r="T692" s="30"/>
      <c r="U692" s="30"/>
      <c r="V692" s="30"/>
      <c r="W692" s="30"/>
      <c r="X692" s="30"/>
      <c r="Y692" s="30"/>
      <c r="Z692" s="30"/>
      <c r="AA692" s="30"/>
      <c r="AB692" s="30"/>
      <c r="AC692" s="30"/>
      <c r="AD692" s="30"/>
      <c r="AE692" s="30"/>
      <c r="AF692" s="30"/>
    </row>
    <row r="693" ht="15.75" customHeight="1">
      <c r="A693" s="55" t="s">
        <v>5552</v>
      </c>
      <c r="B693" s="55">
        <v>1.0</v>
      </c>
      <c r="C693" s="301" t="s">
        <v>5553</v>
      </c>
      <c r="D693" s="301" t="s">
        <v>5554</v>
      </c>
      <c r="E693" s="301" t="s">
        <v>5555</v>
      </c>
      <c r="F693" s="30"/>
      <c r="G693" s="30"/>
      <c r="H693" s="30"/>
      <c r="I693" s="30"/>
      <c r="J693" s="30"/>
      <c r="K693" s="30"/>
      <c r="L693" s="30"/>
      <c r="M693" s="30"/>
      <c r="N693" s="30"/>
      <c r="O693" s="30"/>
      <c r="P693" s="30"/>
      <c r="Q693" s="30"/>
      <c r="R693" s="30"/>
      <c r="S693" s="30"/>
      <c r="T693" s="30"/>
      <c r="U693" s="30"/>
      <c r="V693" s="30"/>
      <c r="W693" s="30"/>
      <c r="X693" s="30"/>
      <c r="Y693" s="30"/>
      <c r="Z693" s="30"/>
      <c r="AA693" s="30"/>
      <c r="AB693" s="30"/>
      <c r="AC693" s="30"/>
      <c r="AD693" s="30"/>
      <c r="AE693" s="30"/>
      <c r="AF693" s="30"/>
    </row>
    <row r="694" ht="15.75" customHeight="1">
      <c r="A694" s="55" t="s">
        <v>5552</v>
      </c>
      <c r="B694" s="55">
        <v>2.0</v>
      </c>
      <c r="C694" s="301" t="s">
        <v>5558</v>
      </c>
      <c r="D694" s="301" t="s">
        <v>5560</v>
      </c>
      <c r="E694" s="301" t="s">
        <v>5561</v>
      </c>
      <c r="F694" s="30"/>
      <c r="G694" s="30"/>
      <c r="H694" s="30"/>
      <c r="I694" s="30"/>
      <c r="J694" s="30"/>
      <c r="K694" s="30"/>
      <c r="L694" s="30"/>
      <c r="M694" s="30"/>
      <c r="N694" s="30"/>
      <c r="O694" s="30"/>
      <c r="P694" s="30"/>
      <c r="Q694" s="30"/>
      <c r="R694" s="30"/>
      <c r="S694" s="30"/>
      <c r="T694" s="30"/>
      <c r="U694" s="30"/>
      <c r="V694" s="30"/>
      <c r="W694" s="30"/>
      <c r="X694" s="30"/>
      <c r="Y694" s="30"/>
      <c r="Z694" s="30"/>
      <c r="AA694" s="30"/>
      <c r="AB694" s="30"/>
      <c r="AC694" s="30"/>
      <c r="AD694" s="30"/>
      <c r="AE694" s="30"/>
      <c r="AF694" s="30"/>
    </row>
    <row r="695" ht="15.75" customHeight="1">
      <c r="A695" s="55" t="s">
        <v>5552</v>
      </c>
      <c r="B695" s="55">
        <v>3.0</v>
      </c>
      <c r="C695" s="301" t="s">
        <v>5572</v>
      </c>
      <c r="D695" s="301" t="s">
        <v>5573</v>
      </c>
      <c r="E695" s="301" t="s">
        <v>5574</v>
      </c>
      <c r="F695" s="30"/>
      <c r="G695" s="30"/>
      <c r="H695" s="30"/>
      <c r="I695" s="30"/>
      <c r="J695" s="30"/>
      <c r="K695" s="30"/>
      <c r="L695" s="30"/>
      <c r="M695" s="30"/>
      <c r="N695" s="30"/>
      <c r="O695" s="30"/>
      <c r="P695" s="30"/>
      <c r="Q695" s="30"/>
      <c r="R695" s="30"/>
      <c r="S695" s="30"/>
      <c r="T695" s="30"/>
      <c r="U695" s="30"/>
      <c r="V695" s="30"/>
      <c r="W695" s="30"/>
      <c r="X695" s="30"/>
      <c r="Y695" s="30"/>
      <c r="Z695" s="30"/>
      <c r="AA695" s="30"/>
      <c r="AB695" s="30"/>
      <c r="AC695" s="30"/>
      <c r="AD695" s="30"/>
      <c r="AE695" s="30"/>
      <c r="AF695" s="30"/>
    </row>
    <row r="696" ht="15.75" customHeight="1">
      <c r="A696" s="55"/>
      <c r="B696" s="55"/>
      <c r="C696" s="55"/>
      <c r="D696" s="114"/>
      <c r="E696" s="210"/>
      <c r="F696" s="30"/>
      <c r="G696" s="30"/>
      <c r="H696" s="30"/>
      <c r="I696" s="30"/>
      <c r="J696" s="30"/>
      <c r="K696" s="30"/>
      <c r="L696" s="30"/>
      <c r="M696" s="30"/>
      <c r="N696" s="30"/>
      <c r="O696" s="30"/>
      <c r="P696" s="30"/>
      <c r="Q696" s="30"/>
      <c r="R696" s="30"/>
      <c r="S696" s="30"/>
      <c r="T696" s="30"/>
      <c r="U696" s="30"/>
      <c r="V696" s="30"/>
      <c r="W696" s="30"/>
      <c r="X696" s="30"/>
      <c r="Y696" s="30"/>
      <c r="Z696" s="30"/>
      <c r="AA696" s="30"/>
      <c r="AB696" s="30"/>
      <c r="AC696" s="30"/>
      <c r="AD696" s="30"/>
      <c r="AE696" s="30"/>
      <c r="AF696" s="30"/>
    </row>
    <row r="697" ht="15.75" customHeight="1">
      <c r="A697" s="55" t="s">
        <v>5582</v>
      </c>
      <c r="B697" s="55">
        <v>1.0</v>
      </c>
      <c r="C697" s="301" t="s">
        <v>5583</v>
      </c>
      <c r="D697" s="301" t="s">
        <v>5584</v>
      </c>
      <c r="E697" s="301" t="s">
        <v>5585</v>
      </c>
      <c r="F697" s="30"/>
      <c r="G697" s="30"/>
      <c r="H697" s="30"/>
      <c r="I697" s="30"/>
      <c r="J697" s="30"/>
      <c r="K697" s="30"/>
      <c r="L697" s="30"/>
      <c r="M697" s="30"/>
      <c r="N697" s="30"/>
      <c r="O697" s="30"/>
      <c r="P697" s="30"/>
      <c r="Q697" s="30"/>
      <c r="R697" s="30"/>
      <c r="S697" s="30"/>
      <c r="T697" s="30"/>
      <c r="U697" s="30"/>
      <c r="V697" s="30"/>
      <c r="W697" s="30"/>
      <c r="X697" s="30"/>
      <c r="Y697" s="30"/>
      <c r="Z697" s="30"/>
      <c r="AA697" s="30"/>
      <c r="AB697" s="30"/>
      <c r="AC697" s="30"/>
      <c r="AD697" s="30"/>
      <c r="AE697" s="30"/>
      <c r="AF697" s="30"/>
    </row>
    <row r="698" ht="15.75" customHeight="1">
      <c r="A698" s="55" t="s">
        <v>5582</v>
      </c>
      <c r="B698" s="55">
        <v>2.0</v>
      </c>
      <c r="C698" s="301" t="s">
        <v>5590</v>
      </c>
      <c r="D698" s="301" t="s">
        <v>5591</v>
      </c>
      <c r="E698" s="301" t="s">
        <v>5592</v>
      </c>
      <c r="F698" s="30"/>
      <c r="G698" s="30"/>
      <c r="H698" s="30"/>
      <c r="I698" s="30"/>
      <c r="J698" s="30"/>
      <c r="K698" s="30"/>
      <c r="L698" s="30"/>
      <c r="M698" s="30"/>
      <c r="N698" s="30"/>
      <c r="O698" s="30"/>
      <c r="P698" s="30"/>
      <c r="Q698" s="30"/>
      <c r="R698" s="30"/>
      <c r="S698" s="30"/>
      <c r="T698" s="30"/>
      <c r="U698" s="30"/>
      <c r="V698" s="30"/>
      <c r="W698" s="30"/>
      <c r="X698" s="30"/>
      <c r="Y698" s="30"/>
      <c r="Z698" s="30"/>
      <c r="AA698" s="30"/>
      <c r="AB698" s="30"/>
      <c r="AC698" s="30"/>
      <c r="AD698" s="30"/>
      <c r="AE698" s="30"/>
      <c r="AF698" s="30"/>
    </row>
    <row r="699" ht="15.75" customHeight="1">
      <c r="A699" s="55" t="s">
        <v>5582</v>
      </c>
      <c r="B699" s="55">
        <v>3.0</v>
      </c>
      <c r="C699" s="301" t="s">
        <v>5597</v>
      </c>
      <c r="D699" s="301" t="s">
        <v>5598</v>
      </c>
      <c r="E699" s="301" t="s">
        <v>5599</v>
      </c>
      <c r="F699" s="30"/>
      <c r="G699" s="30"/>
      <c r="H699" s="30"/>
      <c r="I699" s="30"/>
      <c r="J699" s="30"/>
      <c r="K699" s="30"/>
      <c r="L699" s="30"/>
      <c r="M699" s="30"/>
      <c r="N699" s="30"/>
      <c r="O699" s="30"/>
      <c r="P699" s="30"/>
      <c r="Q699" s="30"/>
      <c r="R699" s="30"/>
      <c r="S699" s="30"/>
      <c r="T699" s="30"/>
      <c r="U699" s="30"/>
      <c r="V699" s="30"/>
      <c r="W699" s="30"/>
      <c r="X699" s="30"/>
      <c r="Y699" s="30"/>
      <c r="Z699" s="30"/>
      <c r="AA699" s="30"/>
      <c r="AB699" s="30"/>
      <c r="AC699" s="30"/>
      <c r="AD699" s="30"/>
      <c r="AE699" s="30"/>
      <c r="AF699" s="30"/>
    </row>
    <row r="700" ht="15.75" customHeight="1">
      <c r="A700" s="55" t="s">
        <v>5582</v>
      </c>
      <c r="B700" s="55">
        <v>4.0</v>
      </c>
      <c r="C700" s="301" t="s">
        <v>5601</v>
      </c>
      <c r="D700" s="301" t="s">
        <v>5603</v>
      </c>
      <c r="E700" s="301" t="s">
        <v>5604</v>
      </c>
      <c r="F700" s="30"/>
      <c r="G700" s="30"/>
      <c r="H700" s="30"/>
      <c r="I700" s="30"/>
      <c r="J700" s="30"/>
      <c r="K700" s="30"/>
      <c r="L700" s="30"/>
      <c r="M700" s="30"/>
      <c r="N700" s="30"/>
      <c r="O700" s="30"/>
      <c r="P700" s="30"/>
      <c r="Q700" s="30"/>
      <c r="R700" s="30"/>
      <c r="S700" s="30"/>
      <c r="T700" s="30"/>
      <c r="U700" s="30"/>
      <c r="V700" s="30"/>
      <c r="W700" s="30"/>
      <c r="X700" s="30"/>
      <c r="Y700" s="30"/>
      <c r="Z700" s="30"/>
      <c r="AA700" s="30"/>
      <c r="AB700" s="30"/>
      <c r="AC700" s="30"/>
      <c r="AD700" s="30"/>
      <c r="AE700" s="30"/>
      <c r="AF700" s="30"/>
    </row>
    <row r="701" ht="15.75" customHeight="1">
      <c r="A701" s="55" t="s">
        <v>5582</v>
      </c>
      <c r="B701" s="55">
        <v>-777.0</v>
      </c>
      <c r="C701" s="301" t="s">
        <v>478</v>
      </c>
      <c r="D701" s="301" t="s">
        <v>479</v>
      </c>
      <c r="E701" s="301" t="s">
        <v>5605</v>
      </c>
      <c r="F701" s="30"/>
      <c r="G701" s="30"/>
      <c r="H701" s="30"/>
      <c r="I701" s="30"/>
      <c r="J701" s="30"/>
      <c r="K701" s="30"/>
      <c r="L701" s="30"/>
      <c r="M701" s="30"/>
      <c r="N701" s="30"/>
      <c r="O701" s="30"/>
      <c r="P701" s="30"/>
      <c r="Q701" s="30"/>
      <c r="R701" s="30"/>
      <c r="S701" s="30"/>
      <c r="T701" s="30"/>
      <c r="U701" s="30"/>
      <c r="V701" s="30"/>
      <c r="W701" s="30"/>
      <c r="X701" s="30"/>
      <c r="Y701" s="30"/>
      <c r="Z701" s="30"/>
      <c r="AA701" s="30"/>
      <c r="AB701" s="30"/>
      <c r="AC701" s="30"/>
      <c r="AD701" s="30"/>
      <c r="AE701" s="30"/>
      <c r="AF701" s="30"/>
    </row>
    <row r="702" ht="15.75" customHeight="1">
      <c r="A702" s="55"/>
      <c r="B702" s="55"/>
      <c r="C702" s="55"/>
      <c r="D702" s="114"/>
      <c r="E702" s="210"/>
      <c r="F702" s="30"/>
      <c r="G702" s="30"/>
      <c r="H702" s="30"/>
      <c r="I702" s="30"/>
      <c r="J702" s="30"/>
      <c r="K702" s="30"/>
      <c r="L702" s="30"/>
      <c r="M702" s="30"/>
      <c r="N702" s="30"/>
      <c r="O702" s="30"/>
      <c r="P702" s="30"/>
      <c r="Q702" s="30"/>
      <c r="R702" s="30"/>
      <c r="S702" s="30"/>
      <c r="T702" s="30"/>
      <c r="U702" s="30"/>
      <c r="V702" s="30"/>
      <c r="W702" s="30"/>
      <c r="X702" s="30"/>
      <c r="Y702" s="30"/>
      <c r="Z702" s="30"/>
      <c r="AA702" s="30"/>
      <c r="AB702" s="30"/>
      <c r="AC702" s="30"/>
      <c r="AD702" s="30"/>
      <c r="AE702" s="30"/>
      <c r="AF702" s="30"/>
    </row>
    <row r="703" ht="15.75" customHeight="1">
      <c r="A703" s="55" t="s">
        <v>5609</v>
      </c>
      <c r="B703" s="55">
        <v>1.0</v>
      </c>
      <c r="C703" s="301" t="s">
        <v>5610</v>
      </c>
      <c r="D703" s="301" t="s">
        <v>5611</v>
      </c>
      <c r="E703" s="301" t="s">
        <v>5612</v>
      </c>
      <c r="F703" s="30"/>
      <c r="G703" s="30"/>
      <c r="H703" s="30"/>
      <c r="I703" s="30"/>
      <c r="J703" s="30"/>
      <c r="K703" s="30"/>
      <c r="L703" s="30"/>
      <c r="M703" s="30"/>
      <c r="N703" s="30"/>
      <c r="O703" s="30"/>
      <c r="P703" s="30"/>
      <c r="Q703" s="30"/>
      <c r="R703" s="30"/>
      <c r="S703" s="30"/>
      <c r="T703" s="30"/>
      <c r="U703" s="30"/>
      <c r="V703" s="30"/>
      <c r="W703" s="30"/>
      <c r="X703" s="30"/>
      <c r="Y703" s="30"/>
      <c r="Z703" s="30"/>
      <c r="AA703" s="30"/>
      <c r="AB703" s="30"/>
      <c r="AC703" s="30"/>
      <c r="AD703" s="30"/>
      <c r="AE703" s="30"/>
      <c r="AF703" s="30"/>
    </row>
    <row r="704" ht="15.75" customHeight="1">
      <c r="A704" s="55" t="s">
        <v>5609</v>
      </c>
      <c r="B704" s="55">
        <v>2.0</v>
      </c>
      <c r="C704" s="301" t="s">
        <v>5614</v>
      </c>
      <c r="D704" s="301" t="s">
        <v>5615</v>
      </c>
      <c r="E704" s="301" t="s">
        <v>5616</v>
      </c>
      <c r="F704" s="30"/>
      <c r="G704" s="30"/>
      <c r="H704" s="30"/>
      <c r="I704" s="30"/>
      <c r="J704" s="30"/>
      <c r="K704" s="30"/>
      <c r="L704" s="30"/>
      <c r="M704" s="30"/>
      <c r="N704" s="30"/>
      <c r="O704" s="30"/>
      <c r="P704" s="30"/>
      <c r="Q704" s="30"/>
      <c r="R704" s="30"/>
      <c r="S704" s="30"/>
      <c r="T704" s="30"/>
      <c r="U704" s="30"/>
      <c r="V704" s="30"/>
      <c r="W704" s="30"/>
      <c r="X704" s="30"/>
      <c r="Y704" s="30"/>
      <c r="Z704" s="30"/>
      <c r="AA704" s="30"/>
      <c r="AB704" s="30"/>
      <c r="AC704" s="30"/>
      <c r="AD704" s="30"/>
      <c r="AE704" s="30"/>
      <c r="AF704" s="30"/>
    </row>
    <row r="705" ht="15.75" customHeight="1">
      <c r="A705" s="55" t="s">
        <v>5609</v>
      </c>
      <c r="B705" s="55">
        <v>3.0</v>
      </c>
      <c r="C705" s="301" t="s">
        <v>5621</v>
      </c>
      <c r="D705" s="301" t="s">
        <v>5622</v>
      </c>
      <c r="E705" s="301" t="s">
        <v>5623</v>
      </c>
      <c r="F705" s="30"/>
      <c r="G705" s="30"/>
      <c r="H705" s="30"/>
      <c r="I705" s="30"/>
      <c r="J705" s="30"/>
      <c r="K705" s="30"/>
      <c r="L705" s="30"/>
      <c r="M705" s="30"/>
      <c r="N705" s="30"/>
      <c r="O705" s="30"/>
      <c r="P705" s="30"/>
      <c r="Q705" s="30"/>
      <c r="R705" s="30"/>
      <c r="S705" s="30"/>
      <c r="T705" s="30"/>
      <c r="U705" s="30"/>
      <c r="V705" s="30"/>
      <c r="W705" s="30"/>
      <c r="X705" s="30"/>
      <c r="Y705" s="30"/>
      <c r="Z705" s="30"/>
      <c r="AA705" s="30"/>
      <c r="AB705" s="30"/>
      <c r="AC705" s="30"/>
      <c r="AD705" s="30"/>
      <c r="AE705" s="30"/>
      <c r="AF705" s="30"/>
    </row>
    <row r="706" ht="15.75" customHeight="1">
      <c r="A706" s="55" t="s">
        <v>5609</v>
      </c>
      <c r="B706" s="55">
        <v>4.0</v>
      </c>
      <c r="C706" s="301" t="s">
        <v>5629</v>
      </c>
      <c r="D706" s="301" t="s">
        <v>5630</v>
      </c>
      <c r="E706" s="301" t="s">
        <v>5631</v>
      </c>
      <c r="F706" s="30"/>
      <c r="G706" s="30"/>
      <c r="H706" s="30"/>
      <c r="I706" s="30"/>
      <c r="J706" s="30"/>
      <c r="K706" s="30"/>
      <c r="L706" s="30"/>
      <c r="M706" s="30"/>
      <c r="N706" s="30"/>
      <c r="O706" s="30"/>
      <c r="P706" s="30"/>
      <c r="Q706" s="30"/>
      <c r="R706" s="30"/>
      <c r="S706" s="30"/>
      <c r="T706" s="30"/>
      <c r="U706" s="30"/>
      <c r="V706" s="30"/>
      <c r="W706" s="30"/>
      <c r="X706" s="30"/>
      <c r="Y706" s="30"/>
      <c r="Z706" s="30"/>
      <c r="AA706" s="30"/>
      <c r="AB706" s="30"/>
      <c r="AC706" s="30"/>
      <c r="AD706" s="30"/>
      <c r="AE706" s="30"/>
      <c r="AF706" s="30"/>
    </row>
    <row r="707" ht="15.75" customHeight="1">
      <c r="A707" s="55" t="s">
        <v>5609</v>
      </c>
      <c r="B707" s="55">
        <v>-777.0</v>
      </c>
      <c r="C707" s="301" t="s">
        <v>478</v>
      </c>
      <c r="D707" s="301" t="s">
        <v>479</v>
      </c>
      <c r="E707" s="301" t="s">
        <v>480</v>
      </c>
      <c r="F707" s="30"/>
      <c r="G707" s="30"/>
      <c r="H707" s="30"/>
      <c r="I707" s="30"/>
      <c r="J707" s="30"/>
      <c r="K707" s="30"/>
      <c r="L707" s="30"/>
      <c r="M707" s="30"/>
      <c r="N707" s="30"/>
      <c r="O707" s="30"/>
      <c r="P707" s="30"/>
      <c r="Q707" s="30"/>
      <c r="R707" s="30"/>
      <c r="S707" s="30"/>
      <c r="T707" s="30"/>
      <c r="U707" s="30"/>
      <c r="V707" s="30"/>
      <c r="W707" s="30"/>
      <c r="X707" s="30"/>
      <c r="Y707" s="30"/>
      <c r="Z707" s="30"/>
      <c r="AA707" s="30"/>
      <c r="AB707" s="30"/>
      <c r="AC707" s="30"/>
      <c r="AD707" s="30"/>
      <c r="AE707" s="30"/>
      <c r="AF707" s="30"/>
    </row>
    <row r="708" ht="15.75" customHeight="1">
      <c r="A708" s="55"/>
      <c r="B708" s="55"/>
      <c r="C708" s="55"/>
      <c r="D708" s="114"/>
      <c r="E708" s="210"/>
      <c r="F708" s="30"/>
      <c r="G708" s="30"/>
      <c r="H708" s="30"/>
      <c r="I708" s="30"/>
      <c r="J708" s="30"/>
      <c r="K708" s="30"/>
      <c r="L708" s="30"/>
      <c r="M708" s="30"/>
      <c r="N708" s="30"/>
      <c r="O708" s="30"/>
      <c r="P708" s="30"/>
      <c r="Q708" s="30"/>
      <c r="R708" s="30"/>
      <c r="S708" s="30"/>
      <c r="T708" s="30"/>
      <c r="U708" s="30"/>
      <c r="V708" s="30"/>
      <c r="W708" s="30"/>
      <c r="X708" s="30"/>
      <c r="Y708" s="30"/>
      <c r="Z708" s="30"/>
      <c r="AA708" s="30"/>
      <c r="AB708" s="30"/>
      <c r="AC708" s="30"/>
      <c r="AD708" s="30"/>
      <c r="AE708" s="30"/>
      <c r="AF708" s="30"/>
    </row>
    <row r="709" ht="15.75" customHeight="1">
      <c r="A709" s="55" t="s">
        <v>5635</v>
      </c>
      <c r="B709" s="55">
        <v>1.0</v>
      </c>
      <c r="C709" s="301" t="s">
        <v>5636</v>
      </c>
      <c r="D709" s="301" t="s">
        <v>5637</v>
      </c>
      <c r="E709" s="301" t="s">
        <v>5638</v>
      </c>
      <c r="F709" s="30"/>
      <c r="G709" s="30"/>
      <c r="H709" s="30"/>
      <c r="I709" s="30"/>
      <c r="J709" s="30"/>
      <c r="K709" s="30"/>
      <c r="L709" s="30"/>
      <c r="M709" s="30"/>
      <c r="N709" s="30"/>
      <c r="O709" s="30"/>
      <c r="P709" s="30"/>
      <c r="Q709" s="30"/>
      <c r="R709" s="30"/>
      <c r="S709" s="30"/>
      <c r="T709" s="30"/>
      <c r="U709" s="30"/>
      <c r="V709" s="30"/>
      <c r="W709" s="30"/>
      <c r="X709" s="30"/>
      <c r="Y709" s="30"/>
      <c r="Z709" s="30"/>
      <c r="AA709" s="30"/>
      <c r="AB709" s="30"/>
      <c r="AC709" s="30"/>
      <c r="AD709" s="30"/>
      <c r="AE709" s="30"/>
      <c r="AF709" s="30"/>
    </row>
    <row r="710" ht="15.75" customHeight="1">
      <c r="A710" s="55" t="s">
        <v>5635</v>
      </c>
      <c r="B710" s="55">
        <v>2.0</v>
      </c>
      <c r="C710" s="301" t="s">
        <v>5643</v>
      </c>
      <c r="D710" s="301" t="s">
        <v>5645</v>
      </c>
      <c r="E710" s="301" t="s">
        <v>5646</v>
      </c>
      <c r="F710" s="30"/>
      <c r="G710" s="30"/>
      <c r="H710" s="30"/>
      <c r="I710" s="30"/>
      <c r="J710" s="30"/>
      <c r="K710" s="30"/>
      <c r="L710" s="30"/>
      <c r="M710" s="30"/>
      <c r="N710" s="30"/>
      <c r="O710" s="30"/>
      <c r="P710" s="30"/>
      <c r="Q710" s="30"/>
      <c r="R710" s="30"/>
      <c r="S710" s="30"/>
      <c r="T710" s="30"/>
      <c r="U710" s="30"/>
      <c r="V710" s="30"/>
      <c r="W710" s="30"/>
      <c r="X710" s="30"/>
      <c r="Y710" s="30"/>
      <c r="Z710" s="30"/>
      <c r="AA710" s="30"/>
      <c r="AB710" s="30"/>
      <c r="AC710" s="30"/>
      <c r="AD710" s="30"/>
      <c r="AE710" s="30"/>
      <c r="AF710" s="30"/>
    </row>
    <row r="711" ht="15.75" customHeight="1">
      <c r="A711" s="55" t="s">
        <v>5635</v>
      </c>
      <c r="B711" s="109">
        <v>3.0</v>
      </c>
      <c r="C711" s="301" t="s">
        <v>5647</v>
      </c>
      <c r="D711" s="301" t="s">
        <v>5650</v>
      </c>
      <c r="E711" s="301" t="s">
        <v>5652</v>
      </c>
      <c r="F711" s="30"/>
      <c r="G711" s="30"/>
      <c r="H711" s="30"/>
      <c r="I711" s="30"/>
      <c r="J711" s="30"/>
      <c r="K711" s="30"/>
      <c r="L711" s="30"/>
      <c r="M711" s="30"/>
      <c r="N711" s="30"/>
      <c r="O711" s="30"/>
      <c r="P711" s="30"/>
      <c r="Q711" s="30"/>
      <c r="R711" s="30"/>
      <c r="S711" s="30"/>
      <c r="T711" s="30"/>
      <c r="U711" s="30"/>
      <c r="V711" s="30"/>
      <c r="W711" s="30"/>
      <c r="X711" s="30"/>
      <c r="Y711" s="30"/>
      <c r="Z711" s="30"/>
      <c r="AA711" s="30"/>
      <c r="AB711" s="30"/>
      <c r="AC711" s="30"/>
      <c r="AD711" s="30"/>
      <c r="AE711" s="30"/>
      <c r="AF711" s="30"/>
    </row>
    <row r="712" ht="15.75" customHeight="1">
      <c r="A712" s="55" t="s">
        <v>5635</v>
      </c>
      <c r="B712" s="109">
        <v>4.0</v>
      </c>
      <c r="C712" s="301" t="s">
        <v>5658</v>
      </c>
      <c r="D712" s="301" t="s">
        <v>5660</v>
      </c>
      <c r="E712" s="301" t="s">
        <v>5662</v>
      </c>
      <c r="F712" s="30"/>
      <c r="G712" s="30"/>
      <c r="H712" s="30"/>
      <c r="I712" s="30"/>
      <c r="J712" s="30"/>
      <c r="K712" s="30"/>
      <c r="L712" s="30"/>
      <c r="M712" s="30"/>
      <c r="N712" s="30"/>
      <c r="O712" s="30"/>
      <c r="P712" s="30"/>
      <c r="Q712" s="30"/>
      <c r="R712" s="30"/>
      <c r="S712" s="30"/>
      <c r="T712" s="30"/>
      <c r="U712" s="30"/>
      <c r="V712" s="30"/>
      <c r="W712" s="30"/>
      <c r="X712" s="30"/>
      <c r="Y712" s="30"/>
      <c r="Z712" s="30"/>
      <c r="AA712" s="30"/>
      <c r="AB712" s="30"/>
      <c r="AC712" s="30"/>
      <c r="AD712" s="30"/>
      <c r="AE712" s="30"/>
      <c r="AF712" s="30"/>
    </row>
    <row r="713" ht="15.75" customHeight="1">
      <c r="A713" s="55" t="s">
        <v>5635</v>
      </c>
      <c r="B713" s="109">
        <v>5.0</v>
      </c>
      <c r="C713" s="301" t="s">
        <v>5667</v>
      </c>
      <c r="D713" s="301" t="s">
        <v>5668</v>
      </c>
      <c r="E713" s="301" t="s">
        <v>5669</v>
      </c>
      <c r="F713" s="30"/>
      <c r="G713" s="30"/>
      <c r="H713" s="30"/>
      <c r="I713" s="30"/>
      <c r="J713" s="30"/>
      <c r="K713" s="30"/>
      <c r="L713" s="30"/>
      <c r="M713" s="30"/>
      <c r="N713" s="30"/>
      <c r="O713" s="30"/>
      <c r="P713" s="30"/>
      <c r="Q713" s="30"/>
      <c r="R713" s="30"/>
      <c r="S713" s="30"/>
      <c r="T713" s="30"/>
      <c r="U713" s="30"/>
      <c r="V713" s="30"/>
      <c r="W713" s="30"/>
      <c r="X713" s="30"/>
      <c r="Y713" s="30"/>
      <c r="Z713" s="30"/>
      <c r="AA713" s="30"/>
      <c r="AB713" s="30"/>
      <c r="AC713" s="30"/>
      <c r="AD713" s="30"/>
      <c r="AE713" s="30"/>
      <c r="AF713" s="30"/>
    </row>
    <row r="714" ht="15.75" customHeight="1">
      <c r="A714" s="55" t="s">
        <v>5635</v>
      </c>
      <c r="B714" s="109">
        <v>6.0</v>
      </c>
      <c r="C714" s="301" t="s">
        <v>5678</v>
      </c>
      <c r="D714" s="301" t="s">
        <v>5679</v>
      </c>
      <c r="E714" s="301" t="s">
        <v>5680</v>
      </c>
      <c r="F714" s="30"/>
      <c r="G714" s="30"/>
      <c r="H714" s="30"/>
      <c r="I714" s="30"/>
      <c r="J714" s="30"/>
      <c r="K714" s="30"/>
      <c r="L714" s="30"/>
      <c r="M714" s="30"/>
      <c r="N714" s="30"/>
      <c r="O714" s="30"/>
      <c r="P714" s="30"/>
      <c r="Q714" s="30"/>
      <c r="R714" s="30"/>
      <c r="S714" s="30"/>
      <c r="T714" s="30"/>
      <c r="U714" s="30"/>
      <c r="V714" s="30"/>
      <c r="W714" s="30"/>
      <c r="X714" s="30"/>
      <c r="Y714" s="30"/>
      <c r="Z714" s="30"/>
      <c r="AA714" s="30"/>
      <c r="AB714" s="30"/>
      <c r="AC714" s="30"/>
      <c r="AD714" s="30"/>
      <c r="AE714" s="30"/>
      <c r="AF714" s="30"/>
    </row>
    <row r="715" ht="15.75" customHeight="1">
      <c r="A715" s="55" t="s">
        <v>5635</v>
      </c>
      <c r="B715" s="109">
        <v>-777.0</v>
      </c>
      <c r="C715" s="301" t="s">
        <v>478</v>
      </c>
      <c r="D715" s="301" t="s">
        <v>479</v>
      </c>
      <c r="E715" s="301" t="s">
        <v>1784</v>
      </c>
      <c r="F715" s="30"/>
      <c r="G715" s="30"/>
      <c r="H715" s="30"/>
      <c r="I715" s="30"/>
      <c r="J715" s="30"/>
      <c r="K715" s="30"/>
      <c r="L715" s="30"/>
      <c r="M715" s="30"/>
      <c r="N715" s="30"/>
      <c r="O715" s="30"/>
      <c r="P715" s="30"/>
      <c r="Q715" s="30"/>
      <c r="R715" s="30"/>
      <c r="S715" s="30"/>
      <c r="T715" s="30"/>
      <c r="U715" s="30"/>
      <c r="V715" s="30"/>
      <c r="W715" s="30"/>
      <c r="X715" s="30"/>
      <c r="Y715" s="30"/>
      <c r="Z715" s="30"/>
      <c r="AA715" s="30"/>
      <c r="AB715" s="30"/>
      <c r="AC715" s="30"/>
      <c r="AD715" s="30"/>
      <c r="AE715" s="30"/>
      <c r="AF715" s="30"/>
    </row>
    <row r="716" ht="15.75" customHeight="1">
      <c r="A716" s="114"/>
      <c r="B716" s="115"/>
      <c r="C716" s="114"/>
      <c r="D716" s="114"/>
      <c r="E716" s="210"/>
      <c r="F716" s="30"/>
      <c r="G716" s="30"/>
      <c r="H716" s="30"/>
      <c r="I716" s="30"/>
      <c r="J716" s="30"/>
      <c r="K716" s="30"/>
      <c r="L716" s="30"/>
      <c r="M716" s="30"/>
      <c r="N716" s="30"/>
      <c r="O716" s="30"/>
      <c r="P716" s="30"/>
      <c r="Q716" s="30"/>
      <c r="R716" s="30"/>
      <c r="S716" s="30"/>
      <c r="T716" s="30"/>
      <c r="U716" s="30"/>
      <c r="V716" s="30"/>
      <c r="W716" s="30"/>
      <c r="X716" s="30"/>
      <c r="Y716" s="30"/>
      <c r="Z716" s="30"/>
      <c r="AA716" s="30"/>
      <c r="AB716" s="30"/>
      <c r="AC716" s="30"/>
      <c r="AD716" s="30"/>
      <c r="AE716" s="30"/>
      <c r="AF716" s="30"/>
    </row>
    <row r="717" ht="15.75" customHeight="1">
      <c r="A717" s="55" t="s">
        <v>5687</v>
      </c>
      <c r="B717" s="55">
        <v>0.0</v>
      </c>
      <c r="C717" s="301" t="s">
        <v>5688</v>
      </c>
      <c r="D717" s="301" t="s">
        <v>5689</v>
      </c>
      <c r="E717" s="301" t="s">
        <v>5690</v>
      </c>
      <c r="F717" s="30"/>
      <c r="G717" s="30"/>
      <c r="H717" s="30"/>
      <c r="I717" s="30"/>
      <c r="J717" s="30"/>
      <c r="K717" s="30"/>
      <c r="L717" s="30"/>
      <c r="M717" s="30"/>
      <c r="N717" s="30"/>
      <c r="O717" s="30"/>
      <c r="P717" s="30"/>
      <c r="Q717" s="30"/>
      <c r="R717" s="30"/>
      <c r="S717" s="30"/>
      <c r="T717" s="30"/>
      <c r="U717" s="30"/>
      <c r="V717" s="30"/>
      <c r="W717" s="30"/>
      <c r="X717" s="30"/>
      <c r="Y717" s="30"/>
      <c r="Z717" s="30"/>
      <c r="AA717" s="30"/>
      <c r="AB717" s="30"/>
      <c r="AC717" s="30"/>
      <c r="AD717" s="30"/>
      <c r="AE717" s="30"/>
      <c r="AF717" s="30"/>
    </row>
    <row r="718" ht="15.75" customHeight="1">
      <c r="A718" s="55" t="s">
        <v>5687</v>
      </c>
      <c r="B718" s="55">
        <v>1.0</v>
      </c>
      <c r="C718" s="301" t="s">
        <v>5464</v>
      </c>
      <c r="D718" s="301" t="s">
        <v>5466</v>
      </c>
      <c r="E718" s="301" t="s">
        <v>5695</v>
      </c>
      <c r="F718" s="30"/>
      <c r="G718" s="30"/>
      <c r="H718" s="30"/>
      <c r="I718" s="30"/>
      <c r="J718" s="30"/>
      <c r="K718" s="30"/>
      <c r="L718" s="30"/>
      <c r="M718" s="30"/>
      <c r="N718" s="30"/>
      <c r="O718" s="30"/>
      <c r="P718" s="30"/>
      <c r="Q718" s="30"/>
      <c r="R718" s="30"/>
      <c r="S718" s="30"/>
      <c r="T718" s="30"/>
      <c r="U718" s="30"/>
      <c r="V718" s="30"/>
      <c r="W718" s="30"/>
      <c r="X718" s="30"/>
      <c r="Y718" s="30"/>
      <c r="Z718" s="30"/>
      <c r="AA718" s="30"/>
      <c r="AB718" s="30"/>
      <c r="AC718" s="30"/>
      <c r="AD718" s="30"/>
      <c r="AE718" s="30"/>
      <c r="AF718" s="30"/>
    </row>
    <row r="719" ht="15.75" customHeight="1">
      <c r="A719" s="55" t="s">
        <v>5687</v>
      </c>
      <c r="B719" s="55">
        <v>2.0</v>
      </c>
      <c r="C719" s="301" t="s">
        <v>5698</v>
      </c>
      <c r="D719" s="301" t="s">
        <v>5699</v>
      </c>
      <c r="E719" s="301" t="s">
        <v>5700</v>
      </c>
      <c r="F719" s="30"/>
      <c r="G719" s="30"/>
      <c r="H719" s="30"/>
      <c r="I719" s="30"/>
      <c r="J719" s="30"/>
      <c r="K719" s="30"/>
      <c r="L719" s="30"/>
      <c r="M719" s="30"/>
      <c r="N719" s="30"/>
      <c r="O719" s="30"/>
      <c r="P719" s="30"/>
      <c r="Q719" s="30"/>
      <c r="R719" s="30"/>
      <c r="S719" s="30"/>
      <c r="T719" s="30"/>
      <c r="U719" s="30"/>
      <c r="V719" s="30"/>
      <c r="W719" s="30"/>
      <c r="X719" s="30"/>
      <c r="Y719" s="30"/>
      <c r="Z719" s="30"/>
      <c r="AA719" s="30"/>
      <c r="AB719" s="30"/>
      <c r="AC719" s="30"/>
      <c r="AD719" s="30"/>
      <c r="AE719" s="30"/>
      <c r="AF719" s="30"/>
    </row>
    <row r="720" ht="15.75" customHeight="1">
      <c r="A720" s="55" t="s">
        <v>5687</v>
      </c>
      <c r="B720" s="55">
        <v>3.0</v>
      </c>
      <c r="C720" s="301" t="s">
        <v>5710</v>
      </c>
      <c r="D720" s="301" t="s">
        <v>5711</v>
      </c>
      <c r="E720" s="301" t="s">
        <v>5713</v>
      </c>
      <c r="F720" s="30"/>
      <c r="G720" s="30"/>
      <c r="H720" s="30"/>
      <c r="I720" s="30"/>
      <c r="J720" s="30"/>
      <c r="K720" s="30"/>
      <c r="L720" s="30"/>
      <c r="M720" s="30"/>
      <c r="N720" s="30"/>
      <c r="O720" s="30"/>
      <c r="P720" s="30"/>
      <c r="Q720" s="30"/>
      <c r="R720" s="30"/>
      <c r="S720" s="30"/>
      <c r="T720" s="30"/>
      <c r="U720" s="30"/>
      <c r="V720" s="30"/>
      <c r="W720" s="30"/>
      <c r="X720" s="30"/>
      <c r="Y720" s="30"/>
      <c r="Z720" s="30"/>
      <c r="AA720" s="30"/>
      <c r="AB720" s="30"/>
      <c r="AC720" s="30"/>
      <c r="AD720" s="30"/>
      <c r="AE720" s="30"/>
      <c r="AF720" s="30"/>
    </row>
    <row r="721" ht="15.75" customHeight="1">
      <c r="A721" s="55" t="s">
        <v>5687</v>
      </c>
      <c r="B721" s="55">
        <v>4.0</v>
      </c>
      <c r="C721" s="301" t="s">
        <v>5480</v>
      </c>
      <c r="D721" s="301" t="s">
        <v>5481</v>
      </c>
      <c r="E721" s="301" t="s">
        <v>5717</v>
      </c>
      <c r="F721" s="30"/>
      <c r="G721" s="30"/>
      <c r="H721" s="30"/>
      <c r="I721" s="30"/>
      <c r="J721" s="30"/>
      <c r="K721" s="30"/>
      <c r="L721" s="30"/>
      <c r="M721" s="30"/>
      <c r="N721" s="30"/>
      <c r="O721" s="30"/>
      <c r="P721" s="30"/>
      <c r="Q721" s="30"/>
      <c r="R721" s="30"/>
      <c r="S721" s="30"/>
      <c r="T721" s="30"/>
      <c r="U721" s="30"/>
      <c r="V721" s="30"/>
      <c r="W721" s="30"/>
      <c r="X721" s="30"/>
      <c r="Y721" s="30"/>
      <c r="Z721" s="30"/>
      <c r="AA721" s="30"/>
      <c r="AB721" s="30"/>
      <c r="AC721" s="30"/>
      <c r="AD721" s="30"/>
      <c r="AE721" s="30"/>
      <c r="AF721" s="30"/>
    </row>
    <row r="722" ht="15.75" customHeight="1">
      <c r="A722" s="55" t="s">
        <v>5687</v>
      </c>
      <c r="B722" s="55">
        <v>5.0</v>
      </c>
      <c r="C722" s="301" t="s">
        <v>5720</v>
      </c>
      <c r="D722" s="301" t="s">
        <v>5721</v>
      </c>
      <c r="E722" s="301" t="s">
        <v>5722</v>
      </c>
      <c r="F722" s="30"/>
      <c r="G722" s="30"/>
      <c r="H722" s="30"/>
      <c r="I722" s="30"/>
      <c r="J722" s="30"/>
      <c r="K722" s="30"/>
      <c r="L722" s="30"/>
      <c r="M722" s="30"/>
      <c r="N722" s="30"/>
      <c r="O722" s="30"/>
      <c r="P722" s="30"/>
      <c r="Q722" s="30"/>
      <c r="R722" s="30"/>
      <c r="S722" s="30"/>
      <c r="T722" s="30"/>
      <c r="U722" s="30"/>
      <c r="V722" s="30"/>
      <c r="W722" s="30"/>
      <c r="X722" s="30"/>
      <c r="Y722" s="30"/>
      <c r="Z722" s="30"/>
      <c r="AA722" s="30"/>
      <c r="AB722" s="30"/>
      <c r="AC722" s="30"/>
      <c r="AD722" s="30"/>
      <c r="AE722" s="30"/>
      <c r="AF722" s="30"/>
    </row>
    <row r="723" ht="15.75" customHeight="1">
      <c r="A723" s="55" t="s">
        <v>5687</v>
      </c>
      <c r="B723" s="55">
        <v>-777.0</v>
      </c>
      <c r="C723" s="301" t="s">
        <v>478</v>
      </c>
      <c r="D723" s="301" t="s">
        <v>479</v>
      </c>
      <c r="E723" s="301" t="s">
        <v>480</v>
      </c>
      <c r="F723" s="30"/>
      <c r="G723" s="30"/>
      <c r="H723" s="30"/>
      <c r="I723" s="30"/>
      <c r="J723" s="30"/>
      <c r="K723" s="30"/>
      <c r="L723" s="30"/>
      <c r="M723" s="30"/>
      <c r="N723" s="30"/>
      <c r="O723" s="30"/>
      <c r="P723" s="30"/>
      <c r="Q723" s="30"/>
      <c r="R723" s="30"/>
      <c r="S723" s="30"/>
      <c r="T723" s="30"/>
      <c r="U723" s="30"/>
      <c r="V723" s="30"/>
      <c r="W723" s="30"/>
      <c r="X723" s="30"/>
      <c r="Y723" s="30"/>
      <c r="Z723" s="30"/>
      <c r="AA723" s="30"/>
      <c r="AB723" s="30"/>
      <c r="AC723" s="30"/>
      <c r="AD723" s="30"/>
      <c r="AE723" s="30"/>
      <c r="AF723" s="30"/>
    </row>
    <row r="724" ht="15.75" customHeight="1">
      <c r="A724" s="114"/>
      <c r="B724" s="115"/>
      <c r="C724" s="114"/>
      <c r="D724" s="114"/>
      <c r="E724" s="210"/>
      <c r="F724" s="30"/>
      <c r="G724" s="30"/>
      <c r="H724" s="30"/>
      <c r="I724" s="30"/>
      <c r="J724" s="30"/>
      <c r="K724" s="30"/>
      <c r="L724" s="30"/>
      <c r="M724" s="30"/>
      <c r="N724" s="30"/>
      <c r="O724" s="30"/>
      <c r="P724" s="30"/>
      <c r="Q724" s="30"/>
      <c r="R724" s="30"/>
      <c r="S724" s="30"/>
      <c r="T724" s="30"/>
      <c r="U724" s="30"/>
      <c r="V724" s="30"/>
      <c r="W724" s="30"/>
      <c r="X724" s="30"/>
      <c r="Y724" s="30"/>
      <c r="Z724" s="30"/>
      <c r="AA724" s="30"/>
      <c r="AB724" s="30"/>
      <c r="AC724" s="30"/>
      <c r="AD724" s="30"/>
      <c r="AE724" s="30"/>
      <c r="AF724" s="30"/>
    </row>
    <row r="725" ht="15.75" customHeight="1">
      <c r="A725" s="55" t="s">
        <v>5729</v>
      </c>
      <c r="B725" s="55">
        <v>1.0</v>
      </c>
      <c r="C725" s="301" t="s">
        <v>5730</v>
      </c>
      <c r="D725" s="301" t="s">
        <v>5732</v>
      </c>
      <c r="E725" s="301" t="s">
        <v>5733</v>
      </c>
      <c r="F725" s="30"/>
      <c r="G725" s="30"/>
      <c r="H725" s="30"/>
      <c r="I725" s="30"/>
      <c r="J725" s="30"/>
      <c r="K725" s="30"/>
      <c r="L725" s="30"/>
      <c r="M725" s="30"/>
      <c r="N725" s="30"/>
      <c r="O725" s="30"/>
      <c r="P725" s="30"/>
      <c r="Q725" s="30"/>
      <c r="R725" s="30"/>
      <c r="S725" s="30"/>
      <c r="T725" s="30"/>
      <c r="U725" s="30"/>
      <c r="V725" s="30"/>
      <c r="W725" s="30"/>
      <c r="X725" s="30"/>
      <c r="Y725" s="30"/>
      <c r="Z725" s="30"/>
      <c r="AA725" s="30"/>
      <c r="AB725" s="30"/>
      <c r="AC725" s="30"/>
      <c r="AD725" s="30"/>
      <c r="AE725" s="30"/>
      <c r="AF725" s="30"/>
    </row>
    <row r="726" ht="15.75" customHeight="1">
      <c r="A726" s="55" t="s">
        <v>5729</v>
      </c>
      <c r="B726" s="55">
        <v>2.0</v>
      </c>
      <c r="C726" s="301" t="s">
        <v>5735</v>
      </c>
      <c r="D726" s="301" t="s">
        <v>5736</v>
      </c>
      <c r="E726" s="301" t="s">
        <v>5737</v>
      </c>
      <c r="F726" s="30"/>
      <c r="G726" s="30"/>
      <c r="H726" s="30"/>
      <c r="I726" s="30"/>
      <c r="J726" s="30"/>
      <c r="K726" s="30"/>
      <c r="L726" s="30"/>
      <c r="M726" s="30"/>
      <c r="N726" s="30"/>
      <c r="O726" s="30"/>
      <c r="P726" s="30"/>
      <c r="Q726" s="30"/>
      <c r="R726" s="30"/>
      <c r="S726" s="30"/>
      <c r="T726" s="30"/>
      <c r="U726" s="30"/>
      <c r="V726" s="30"/>
      <c r="W726" s="30"/>
      <c r="X726" s="30"/>
      <c r="Y726" s="30"/>
      <c r="Z726" s="30"/>
      <c r="AA726" s="30"/>
      <c r="AB726" s="30"/>
      <c r="AC726" s="30"/>
      <c r="AD726" s="30"/>
      <c r="AE726" s="30"/>
      <c r="AF726" s="30"/>
    </row>
    <row r="727" ht="15.75" customHeight="1">
      <c r="A727" s="55" t="s">
        <v>5729</v>
      </c>
      <c r="B727" s="55">
        <v>3.0</v>
      </c>
      <c r="C727" s="301" t="s">
        <v>5742</v>
      </c>
      <c r="D727" s="301" t="s">
        <v>5744</v>
      </c>
      <c r="E727" s="301" t="s">
        <v>5747</v>
      </c>
      <c r="F727" s="30"/>
      <c r="G727" s="30"/>
      <c r="H727" s="30"/>
      <c r="I727" s="30"/>
      <c r="J727" s="30"/>
      <c r="K727" s="30"/>
      <c r="L727" s="30"/>
      <c r="M727" s="30"/>
      <c r="N727" s="30"/>
      <c r="O727" s="30"/>
      <c r="P727" s="30"/>
      <c r="Q727" s="30"/>
      <c r="R727" s="30"/>
      <c r="S727" s="30"/>
      <c r="T727" s="30"/>
      <c r="U727" s="30"/>
      <c r="V727" s="30"/>
      <c r="W727" s="30"/>
      <c r="X727" s="30"/>
      <c r="Y727" s="30"/>
      <c r="Z727" s="30"/>
      <c r="AA727" s="30"/>
      <c r="AB727" s="30"/>
      <c r="AC727" s="30"/>
      <c r="AD727" s="30"/>
      <c r="AE727" s="30"/>
      <c r="AF727" s="30"/>
    </row>
    <row r="728" ht="15.75" customHeight="1">
      <c r="A728" s="55" t="s">
        <v>5729</v>
      </c>
      <c r="B728" s="55">
        <v>4.0</v>
      </c>
      <c r="C728" s="301" t="s">
        <v>5753</v>
      </c>
      <c r="D728" s="301" t="s">
        <v>5754</v>
      </c>
      <c r="E728" s="301" t="s">
        <v>5756</v>
      </c>
      <c r="F728" s="30"/>
      <c r="G728" s="30"/>
      <c r="H728" s="30"/>
      <c r="I728" s="30"/>
      <c r="J728" s="30"/>
      <c r="K728" s="30"/>
      <c r="L728" s="30"/>
      <c r="M728" s="30"/>
      <c r="N728" s="30"/>
      <c r="O728" s="30"/>
      <c r="P728" s="30"/>
      <c r="Q728" s="30"/>
      <c r="R728" s="30"/>
      <c r="S728" s="30"/>
      <c r="T728" s="30"/>
      <c r="U728" s="30"/>
      <c r="V728" s="30"/>
      <c r="W728" s="30"/>
      <c r="X728" s="30"/>
      <c r="Y728" s="30"/>
      <c r="Z728" s="30"/>
      <c r="AA728" s="30"/>
      <c r="AB728" s="30"/>
      <c r="AC728" s="30"/>
      <c r="AD728" s="30"/>
      <c r="AE728" s="30"/>
      <c r="AF728" s="30"/>
    </row>
    <row r="729" ht="15.75" customHeight="1">
      <c r="A729" s="55" t="s">
        <v>5729</v>
      </c>
      <c r="B729" s="55">
        <v>-777.0</v>
      </c>
      <c r="C729" s="301" t="s">
        <v>478</v>
      </c>
      <c r="D729" s="301" t="s">
        <v>479</v>
      </c>
      <c r="E729" s="301" t="s">
        <v>480</v>
      </c>
      <c r="F729" s="30"/>
      <c r="G729" s="30"/>
      <c r="H729" s="30"/>
      <c r="I729" s="30"/>
      <c r="J729" s="30"/>
      <c r="K729" s="30"/>
      <c r="L729" s="30"/>
      <c r="M729" s="30"/>
      <c r="N729" s="30"/>
      <c r="O729" s="30"/>
      <c r="P729" s="30"/>
      <c r="Q729" s="30"/>
      <c r="R729" s="30"/>
      <c r="S729" s="30"/>
      <c r="T729" s="30"/>
      <c r="U729" s="30"/>
      <c r="V729" s="30"/>
      <c r="W729" s="30"/>
      <c r="X729" s="30"/>
      <c r="Y729" s="30"/>
      <c r="Z729" s="30"/>
      <c r="AA729" s="30"/>
      <c r="AB729" s="30"/>
      <c r="AC729" s="30"/>
      <c r="AD729" s="30"/>
      <c r="AE729" s="30"/>
      <c r="AF729" s="30"/>
    </row>
    <row r="730" ht="15.75" customHeight="1">
      <c r="A730" s="55"/>
      <c r="B730" s="55"/>
      <c r="C730" s="55"/>
      <c r="D730" s="55"/>
      <c r="E730" s="55"/>
      <c r="F730" s="30"/>
      <c r="G730" s="30"/>
      <c r="H730" s="30"/>
      <c r="I730" s="30"/>
      <c r="J730" s="30"/>
      <c r="K730" s="30"/>
      <c r="L730" s="30"/>
      <c r="M730" s="30"/>
      <c r="N730" s="30"/>
      <c r="O730" s="30"/>
      <c r="P730" s="30"/>
      <c r="Q730" s="30"/>
      <c r="R730" s="30"/>
      <c r="S730" s="30"/>
      <c r="T730" s="30"/>
      <c r="U730" s="30"/>
      <c r="V730" s="30"/>
      <c r="W730" s="30"/>
      <c r="X730" s="30"/>
      <c r="Y730" s="30"/>
      <c r="Z730" s="30"/>
      <c r="AA730" s="30"/>
      <c r="AB730" s="30"/>
      <c r="AC730" s="30"/>
      <c r="AD730" s="30"/>
      <c r="AE730" s="30"/>
      <c r="AF730" s="30"/>
    </row>
    <row r="731" ht="15.75" customHeight="1">
      <c r="A731" s="55" t="s">
        <v>5767</v>
      </c>
      <c r="B731" s="55">
        <v>1.0</v>
      </c>
      <c r="C731" s="301" t="s">
        <v>5768</v>
      </c>
      <c r="D731" s="301" t="s">
        <v>5769</v>
      </c>
      <c r="E731" s="301" t="s">
        <v>5770</v>
      </c>
      <c r="F731" s="30"/>
      <c r="G731" s="30"/>
      <c r="H731" s="30"/>
      <c r="I731" s="30"/>
      <c r="J731" s="30"/>
      <c r="K731" s="30"/>
      <c r="L731" s="30"/>
      <c r="M731" s="30"/>
      <c r="N731" s="30"/>
      <c r="O731" s="30"/>
      <c r="P731" s="30"/>
      <c r="Q731" s="30"/>
      <c r="R731" s="30"/>
      <c r="S731" s="30"/>
      <c r="T731" s="30"/>
      <c r="U731" s="30"/>
      <c r="V731" s="30"/>
      <c r="W731" s="30"/>
      <c r="X731" s="30"/>
      <c r="Y731" s="30"/>
      <c r="Z731" s="30"/>
      <c r="AA731" s="30"/>
      <c r="AB731" s="30"/>
      <c r="AC731" s="30"/>
      <c r="AD731" s="30"/>
      <c r="AE731" s="30"/>
      <c r="AF731" s="30"/>
    </row>
    <row r="732" ht="15.75" customHeight="1">
      <c r="A732" s="55" t="s">
        <v>5767</v>
      </c>
      <c r="B732" s="55">
        <v>2.0</v>
      </c>
      <c r="C732" s="301" t="s">
        <v>5776</v>
      </c>
      <c r="D732" s="301" t="s">
        <v>5777</v>
      </c>
      <c r="E732" s="301" t="s">
        <v>5778</v>
      </c>
      <c r="F732" s="30"/>
      <c r="G732" s="30"/>
      <c r="H732" s="30"/>
      <c r="I732" s="30"/>
      <c r="J732" s="30"/>
      <c r="K732" s="30"/>
      <c r="L732" s="30"/>
      <c r="M732" s="30"/>
      <c r="N732" s="30"/>
      <c r="O732" s="30"/>
      <c r="P732" s="30"/>
      <c r="Q732" s="30"/>
      <c r="R732" s="30"/>
      <c r="S732" s="30"/>
      <c r="T732" s="30"/>
      <c r="U732" s="30"/>
      <c r="V732" s="30"/>
      <c r="W732" s="30"/>
      <c r="X732" s="30"/>
      <c r="Y732" s="30"/>
      <c r="Z732" s="30"/>
      <c r="AA732" s="30"/>
      <c r="AB732" s="30"/>
      <c r="AC732" s="30"/>
      <c r="AD732" s="30"/>
      <c r="AE732" s="30"/>
      <c r="AF732" s="30"/>
    </row>
    <row r="733" ht="15.75" customHeight="1">
      <c r="A733" s="55" t="s">
        <v>5767</v>
      </c>
      <c r="B733" s="55">
        <v>3.0</v>
      </c>
      <c r="C733" s="301" t="s">
        <v>5779</v>
      </c>
      <c r="D733" s="301" t="s">
        <v>5780</v>
      </c>
      <c r="E733" s="301" t="s">
        <v>5781</v>
      </c>
      <c r="F733" s="30"/>
      <c r="G733" s="30"/>
      <c r="H733" s="30"/>
      <c r="I733" s="30"/>
      <c r="J733" s="30"/>
      <c r="K733" s="30"/>
      <c r="L733" s="30"/>
      <c r="M733" s="30"/>
      <c r="N733" s="30"/>
      <c r="O733" s="30"/>
      <c r="P733" s="30"/>
      <c r="Q733" s="30"/>
      <c r="R733" s="30"/>
      <c r="S733" s="30"/>
      <c r="T733" s="30"/>
      <c r="U733" s="30"/>
      <c r="V733" s="30"/>
      <c r="W733" s="30"/>
      <c r="X733" s="30"/>
      <c r="Y733" s="30"/>
      <c r="Z733" s="30"/>
      <c r="AA733" s="30"/>
      <c r="AB733" s="30"/>
      <c r="AC733" s="30"/>
      <c r="AD733" s="30"/>
      <c r="AE733" s="30"/>
      <c r="AF733" s="30"/>
    </row>
    <row r="734" ht="15.75" customHeight="1">
      <c r="A734" s="55" t="s">
        <v>5767</v>
      </c>
      <c r="B734" s="55">
        <v>4.0</v>
      </c>
      <c r="C734" s="301" t="s">
        <v>5782</v>
      </c>
      <c r="D734" s="301" t="s">
        <v>5783</v>
      </c>
      <c r="E734" s="301" t="s">
        <v>5784</v>
      </c>
      <c r="F734" s="30"/>
      <c r="G734" s="30"/>
      <c r="H734" s="30"/>
      <c r="I734" s="30"/>
      <c r="J734" s="30"/>
      <c r="K734" s="30"/>
      <c r="L734" s="30"/>
      <c r="M734" s="30"/>
      <c r="N734" s="30"/>
      <c r="O734" s="30"/>
      <c r="P734" s="30"/>
      <c r="Q734" s="30"/>
      <c r="R734" s="30"/>
      <c r="S734" s="30"/>
      <c r="T734" s="30"/>
      <c r="U734" s="30"/>
      <c r="V734" s="30"/>
      <c r="W734" s="30"/>
      <c r="X734" s="30"/>
      <c r="Y734" s="30"/>
      <c r="Z734" s="30"/>
      <c r="AA734" s="30"/>
      <c r="AB734" s="30"/>
      <c r="AC734" s="30"/>
      <c r="AD734" s="30"/>
      <c r="AE734" s="30"/>
      <c r="AF734" s="30"/>
    </row>
    <row r="735" ht="15.75" customHeight="1">
      <c r="A735" s="55" t="s">
        <v>5767</v>
      </c>
      <c r="B735" s="55">
        <v>5.0</v>
      </c>
      <c r="C735" s="301" t="s">
        <v>5785</v>
      </c>
      <c r="D735" s="301" t="s">
        <v>5786</v>
      </c>
      <c r="E735" s="301" t="s">
        <v>5787</v>
      </c>
      <c r="F735" s="30"/>
      <c r="G735" s="30"/>
      <c r="H735" s="30"/>
      <c r="I735" s="30"/>
      <c r="J735" s="30"/>
      <c r="K735" s="30"/>
      <c r="L735" s="30"/>
      <c r="M735" s="30"/>
      <c r="N735" s="30"/>
      <c r="O735" s="30"/>
      <c r="P735" s="30"/>
      <c r="Q735" s="30"/>
      <c r="R735" s="30"/>
      <c r="S735" s="30"/>
      <c r="T735" s="30"/>
      <c r="U735" s="30"/>
      <c r="V735" s="30"/>
      <c r="W735" s="30"/>
      <c r="X735" s="30"/>
      <c r="Y735" s="30"/>
      <c r="Z735" s="30"/>
      <c r="AA735" s="30"/>
      <c r="AB735" s="30"/>
      <c r="AC735" s="30"/>
      <c r="AD735" s="30"/>
      <c r="AE735" s="30"/>
      <c r="AF735" s="30"/>
    </row>
    <row r="736" ht="15.75" customHeight="1">
      <c r="A736" s="55" t="s">
        <v>5767</v>
      </c>
      <c r="B736" s="55">
        <v>-777.0</v>
      </c>
      <c r="C736" s="301" t="s">
        <v>478</v>
      </c>
      <c r="D736" s="301" t="s">
        <v>479</v>
      </c>
      <c r="E736" s="301" t="s">
        <v>480</v>
      </c>
      <c r="F736" s="30"/>
      <c r="G736" s="30"/>
      <c r="H736" s="30"/>
      <c r="I736" s="30"/>
      <c r="J736" s="30"/>
      <c r="K736" s="30"/>
      <c r="L736" s="30"/>
      <c r="M736" s="30"/>
      <c r="N736" s="30"/>
      <c r="O736" s="30"/>
      <c r="P736" s="30"/>
      <c r="Q736" s="30"/>
      <c r="R736" s="30"/>
      <c r="S736" s="30"/>
      <c r="T736" s="30"/>
      <c r="U736" s="30"/>
      <c r="V736" s="30"/>
      <c r="W736" s="30"/>
      <c r="X736" s="30"/>
      <c r="Y736" s="30"/>
      <c r="Z736" s="30"/>
      <c r="AA736" s="30"/>
      <c r="AB736" s="30"/>
      <c r="AC736" s="30"/>
      <c r="AD736" s="30"/>
      <c r="AE736" s="30"/>
      <c r="AF736" s="30"/>
    </row>
    <row r="737" ht="15.75" customHeight="1">
      <c r="A737" s="114"/>
      <c r="B737" s="115"/>
      <c r="C737" s="114"/>
      <c r="D737" s="114"/>
      <c r="E737" s="210"/>
      <c r="F737" s="30"/>
      <c r="G737" s="30"/>
      <c r="H737" s="30"/>
      <c r="I737" s="30"/>
      <c r="J737" s="30"/>
      <c r="K737" s="30"/>
      <c r="L737" s="30"/>
      <c r="M737" s="30"/>
      <c r="N737" s="30"/>
      <c r="O737" s="30"/>
      <c r="P737" s="30"/>
      <c r="Q737" s="30"/>
      <c r="R737" s="30"/>
      <c r="S737" s="30"/>
      <c r="T737" s="30"/>
      <c r="U737" s="30"/>
      <c r="V737" s="30"/>
      <c r="W737" s="30"/>
      <c r="X737" s="30"/>
      <c r="Y737" s="30"/>
      <c r="Z737" s="30"/>
      <c r="AA737" s="30"/>
      <c r="AB737" s="30"/>
      <c r="AC737" s="30"/>
      <c r="AD737" s="30"/>
      <c r="AE737" s="30"/>
      <c r="AF737" s="30"/>
    </row>
    <row r="738" ht="15.75" customHeight="1">
      <c r="A738" s="304" t="s">
        <v>5791</v>
      </c>
      <c r="B738" s="304">
        <v>1.0</v>
      </c>
      <c r="C738" s="305" t="s">
        <v>5795</v>
      </c>
      <c r="D738" s="114" t="s">
        <v>5796</v>
      </c>
      <c r="E738" s="306" t="s">
        <v>5797</v>
      </c>
      <c r="F738" s="307"/>
      <c r="G738" s="307"/>
      <c r="H738" s="307"/>
      <c r="I738" s="307"/>
      <c r="J738" s="307"/>
      <c r="K738" s="307"/>
      <c r="L738" s="307"/>
      <c r="M738" s="307"/>
      <c r="N738" s="307"/>
      <c r="O738" s="307"/>
      <c r="P738" s="307"/>
      <c r="Q738" s="307"/>
      <c r="R738" s="307"/>
      <c r="S738" s="307"/>
      <c r="T738" s="307"/>
      <c r="U738" s="307"/>
      <c r="V738" s="307"/>
      <c r="W738" s="307"/>
      <c r="X738" s="307"/>
      <c r="Y738" s="307"/>
      <c r="Z738" s="307"/>
      <c r="AA738" s="307"/>
      <c r="AB738" s="307"/>
      <c r="AC738" s="307"/>
      <c r="AD738" s="307"/>
      <c r="AE738" s="307"/>
      <c r="AF738" s="307"/>
    </row>
    <row r="739" ht="15.75" customHeight="1">
      <c r="A739" s="308" t="s">
        <v>5791</v>
      </c>
      <c r="B739" s="308">
        <v>2.0</v>
      </c>
      <c r="C739" s="305" t="s">
        <v>1075</v>
      </c>
      <c r="D739" s="306" t="s">
        <v>1078</v>
      </c>
      <c r="E739" s="306" t="s">
        <v>5799</v>
      </c>
      <c r="F739" s="155"/>
      <c r="G739" s="155"/>
      <c r="H739" s="155"/>
      <c r="I739" s="155"/>
      <c r="J739" s="155"/>
      <c r="K739" s="155"/>
      <c r="L739" s="155"/>
      <c r="M739" s="155"/>
      <c r="N739" s="155"/>
      <c r="O739" s="155"/>
      <c r="P739" s="155"/>
      <c r="Q739" s="155"/>
      <c r="R739" s="155"/>
      <c r="S739" s="155"/>
      <c r="T739" s="155"/>
      <c r="U739" s="155"/>
      <c r="V739" s="155"/>
      <c r="W739" s="155"/>
      <c r="X739" s="155"/>
      <c r="Y739" s="155"/>
      <c r="Z739" s="155"/>
      <c r="AA739" s="155"/>
      <c r="AB739" s="155"/>
      <c r="AC739" s="155"/>
      <c r="AD739" s="155"/>
      <c r="AE739" s="155"/>
      <c r="AF739" s="155"/>
    </row>
    <row r="740" ht="15.75" customHeight="1">
      <c r="A740" s="308" t="s">
        <v>5791</v>
      </c>
      <c r="B740" s="308">
        <v>3.0</v>
      </c>
      <c r="C740" s="305" t="s">
        <v>1068</v>
      </c>
      <c r="D740" s="306" t="s">
        <v>1069</v>
      </c>
      <c r="E740" s="306" t="s">
        <v>5802</v>
      </c>
      <c r="F740" s="155"/>
      <c r="G740" s="155"/>
      <c r="H740" s="155"/>
      <c r="I740" s="155"/>
      <c r="J740" s="155"/>
      <c r="K740" s="155"/>
      <c r="L740" s="155"/>
      <c r="M740" s="155"/>
      <c r="N740" s="155"/>
      <c r="O740" s="155"/>
      <c r="P740" s="155"/>
      <c r="Q740" s="155"/>
      <c r="R740" s="155"/>
      <c r="S740" s="155"/>
      <c r="T740" s="155"/>
      <c r="U740" s="155"/>
      <c r="V740" s="155"/>
      <c r="W740" s="155"/>
      <c r="X740" s="155"/>
      <c r="Y740" s="155"/>
      <c r="Z740" s="155"/>
      <c r="AA740" s="155"/>
      <c r="AB740" s="155"/>
      <c r="AC740" s="155"/>
      <c r="AD740" s="155"/>
      <c r="AE740" s="155"/>
      <c r="AF740" s="155"/>
    </row>
    <row r="741" ht="15.75" customHeight="1">
      <c r="A741" s="308" t="s">
        <v>5791</v>
      </c>
      <c r="B741" s="308">
        <v>4.0</v>
      </c>
      <c r="C741" s="305" t="s">
        <v>5805</v>
      </c>
      <c r="D741" s="306" t="s">
        <v>5806</v>
      </c>
      <c r="E741" s="306" t="s">
        <v>5807</v>
      </c>
      <c r="F741" s="155"/>
      <c r="G741" s="155"/>
      <c r="H741" s="155"/>
      <c r="I741" s="155"/>
      <c r="J741" s="155"/>
      <c r="K741" s="155"/>
      <c r="L741" s="155"/>
      <c r="M741" s="155"/>
      <c r="N741" s="155"/>
      <c r="O741" s="155"/>
      <c r="P741" s="155"/>
      <c r="Q741" s="155"/>
      <c r="R741" s="155"/>
      <c r="S741" s="155"/>
      <c r="T741" s="155"/>
      <c r="U741" s="155"/>
      <c r="V741" s="155"/>
      <c r="W741" s="155"/>
      <c r="X741" s="155"/>
      <c r="Y741" s="155"/>
      <c r="Z741" s="155"/>
      <c r="AA741" s="155"/>
      <c r="AB741" s="155"/>
      <c r="AC741" s="155"/>
      <c r="AD741" s="155"/>
      <c r="AE741" s="155"/>
      <c r="AF741" s="155"/>
    </row>
    <row r="742" ht="15.75" customHeight="1">
      <c r="A742" s="308" t="s">
        <v>5791</v>
      </c>
      <c r="B742" s="308">
        <v>5.0</v>
      </c>
      <c r="C742" s="305" t="s">
        <v>5811</v>
      </c>
      <c r="D742" s="306" t="s">
        <v>5812</v>
      </c>
      <c r="E742" s="306" t="s">
        <v>5813</v>
      </c>
      <c r="F742" s="155"/>
      <c r="G742" s="155"/>
      <c r="H742" s="155"/>
      <c r="I742" s="155"/>
      <c r="J742" s="155"/>
      <c r="K742" s="155"/>
      <c r="L742" s="155"/>
      <c r="M742" s="155"/>
      <c r="N742" s="155"/>
      <c r="O742" s="155"/>
      <c r="P742" s="155"/>
      <c r="Q742" s="155"/>
      <c r="R742" s="155"/>
      <c r="S742" s="155"/>
      <c r="T742" s="155"/>
      <c r="U742" s="155"/>
      <c r="V742" s="155"/>
      <c r="W742" s="155"/>
      <c r="X742" s="155"/>
      <c r="Y742" s="155"/>
      <c r="Z742" s="155"/>
      <c r="AA742" s="155"/>
      <c r="AB742" s="155"/>
      <c r="AC742" s="155"/>
      <c r="AD742" s="155"/>
      <c r="AE742" s="155"/>
      <c r="AF742" s="155"/>
    </row>
    <row r="743" ht="15.75" customHeight="1">
      <c r="A743" s="306" t="s">
        <v>5791</v>
      </c>
      <c r="B743" s="306">
        <v>-777.0</v>
      </c>
      <c r="C743" s="305" t="s">
        <v>478</v>
      </c>
      <c r="D743" s="306" t="s">
        <v>479</v>
      </c>
      <c r="E743" s="306" t="s">
        <v>480</v>
      </c>
      <c r="F743" s="309"/>
      <c r="G743" s="309"/>
      <c r="H743" s="309"/>
      <c r="I743" s="309"/>
      <c r="J743" s="309"/>
      <c r="K743" s="309"/>
      <c r="L743" s="309"/>
      <c r="M743" s="309"/>
      <c r="N743" s="309"/>
      <c r="O743" s="309"/>
      <c r="P743" s="309"/>
      <c r="Q743" s="309"/>
      <c r="R743" s="309"/>
      <c r="S743" s="309"/>
      <c r="T743" s="309"/>
      <c r="U743" s="309"/>
      <c r="V743" s="309"/>
      <c r="W743" s="309"/>
      <c r="X743" s="309"/>
      <c r="Y743" s="309"/>
      <c r="Z743" s="309"/>
      <c r="AA743" s="309"/>
      <c r="AB743" s="309"/>
      <c r="AC743" s="309"/>
      <c r="AD743" s="309"/>
      <c r="AE743" s="309"/>
      <c r="AF743" s="309"/>
    </row>
    <row r="744" ht="15.75" customHeight="1">
      <c r="A744" s="114"/>
      <c r="B744" s="115"/>
      <c r="C744" s="114"/>
      <c r="D744" s="114"/>
      <c r="E744" s="210"/>
      <c r="F744" s="30"/>
      <c r="G744" s="30"/>
      <c r="H744" s="30"/>
      <c r="I744" s="30"/>
      <c r="J744" s="30"/>
      <c r="K744" s="30"/>
      <c r="L744" s="30"/>
      <c r="M744" s="30"/>
      <c r="N744" s="30"/>
      <c r="O744" s="30"/>
      <c r="P744" s="30"/>
      <c r="Q744" s="30"/>
      <c r="R744" s="30"/>
      <c r="S744" s="30"/>
      <c r="T744" s="30"/>
      <c r="U744" s="30"/>
      <c r="V744" s="30"/>
      <c r="W744" s="30"/>
      <c r="X744" s="30"/>
      <c r="Y744" s="30"/>
      <c r="Z744" s="30"/>
      <c r="AA744" s="30"/>
      <c r="AB744" s="30"/>
      <c r="AC744" s="30"/>
      <c r="AD744" s="30"/>
      <c r="AE744" s="30"/>
      <c r="AF744" s="30"/>
    </row>
    <row r="745" ht="15.75" customHeight="1">
      <c r="A745" s="114"/>
      <c r="B745" s="115"/>
      <c r="C745" s="114"/>
      <c r="D745" s="114"/>
      <c r="E745" s="210"/>
      <c r="F745" s="30"/>
      <c r="G745" s="30"/>
      <c r="H745" s="30"/>
      <c r="I745" s="30"/>
      <c r="J745" s="30"/>
      <c r="K745" s="30"/>
      <c r="L745" s="30"/>
      <c r="M745" s="30"/>
      <c r="N745" s="30"/>
      <c r="O745" s="30"/>
      <c r="P745" s="30"/>
      <c r="Q745" s="30"/>
      <c r="R745" s="30"/>
      <c r="S745" s="30"/>
      <c r="T745" s="30"/>
      <c r="U745" s="30"/>
      <c r="V745" s="30"/>
      <c r="W745" s="30"/>
      <c r="X745" s="30"/>
      <c r="Y745" s="30"/>
      <c r="Z745" s="30"/>
      <c r="AA745" s="30"/>
      <c r="AB745" s="30"/>
      <c r="AC745" s="30"/>
      <c r="AD745" s="30"/>
      <c r="AE745" s="30"/>
      <c r="AF745" s="30"/>
    </row>
    <row r="746" ht="15.75" customHeight="1">
      <c r="A746" s="114"/>
      <c r="B746" s="115"/>
      <c r="C746" s="114"/>
      <c r="D746" s="114"/>
      <c r="E746" s="210"/>
      <c r="F746" s="30"/>
      <c r="G746" s="30"/>
      <c r="H746" s="30"/>
      <c r="I746" s="30"/>
      <c r="J746" s="30"/>
      <c r="K746" s="30"/>
      <c r="L746" s="30"/>
      <c r="M746" s="30"/>
      <c r="N746" s="30"/>
      <c r="O746" s="30"/>
      <c r="P746" s="30"/>
      <c r="Q746" s="30"/>
      <c r="R746" s="30"/>
      <c r="S746" s="30"/>
      <c r="T746" s="30"/>
      <c r="U746" s="30"/>
      <c r="V746" s="30"/>
      <c r="W746" s="30"/>
      <c r="X746" s="30"/>
      <c r="Y746" s="30"/>
      <c r="Z746" s="30"/>
      <c r="AA746" s="30"/>
      <c r="AB746" s="30"/>
      <c r="AC746" s="30"/>
      <c r="AD746" s="30"/>
      <c r="AE746" s="30"/>
      <c r="AF746" s="30"/>
    </row>
    <row r="747" ht="15.75" customHeight="1">
      <c r="A747" s="114"/>
      <c r="B747" s="115"/>
      <c r="C747" s="114"/>
      <c r="D747" s="114"/>
      <c r="E747" s="210"/>
      <c r="F747" s="30"/>
      <c r="G747" s="30"/>
      <c r="H747" s="30"/>
      <c r="I747" s="30"/>
      <c r="J747" s="30"/>
      <c r="K747" s="30"/>
      <c r="L747" s="30"/>
      <c r="M747" s="30"/>
      <c r="N747" s="30"/>
      <c r="O747" s="30"/>
      <c r="P747" s="30"/>
      <c r="Q747" s="30"/>
      <c r="R747" s="30"/>
      <c r="S747" s="30"/>
      <c r="T747" s="30"/>
      <c r="U747" s="30"/>
      <c r="V747" s="30"/>
      <c r="W747" s="30"/>
      <c r="X747" s="30"/>
      <c r="Y747" s="30"/>
      <c r="Z747" s="30"/>
      <c r="AA747" s="30"/>
      <c r="AB747" s="30"/>
      <c r="AC747" s="30"/>
      <c r="AD747" s="30"/>
      <c r="AE747" s="30"/>
      <c r="AF747" s="30"/>
    </row>
    <row r="748" ht="15.75" customHeight="1">
      <c r="A748" s="114"/>
      <c r="B748" s="115"/>
      <c r="C748" s="114"/>
      <c r="D748" s="114"/>
      <c r="E748" s="210"/>
      <c r="F748" s="30"/>
      <c r="G748" s="30"/>
      <c r="H748" s="30"/>
      <c r="I748" s="30"/>
      <c r="J748" s="30"/>
      <c r="K748" s="30"/>
      <c r="L748" s="30"/>
      <c r="M748" s="30"/>
      <c r="N748" s="30"/>
      <c r="O748" s="30"/>
      <c r="P748" s="30"/>
      <c r="Q748" s="30"/>
      <c r="R748" s="30"/>
      <c r="S748" s="30"/>
      <c r="T748" s="30"/>
      <c r="U748" s="30"/>
      <c r="V748" s="30"/>
      <c r="W748" s="30"/>
      <c r="X748" s="30"/>
      <c r="Y748" s="30"/>
      <c r="Z748" s="30"/>
      <c r="AA748" s="30"/>
      <c r="AB748" s="30"/>
      <c r="AC748" s="30"/>
      <c r="AD748" s="30"/>
      <c r="AE748" s="30"/>
      <c r="AF748" s="30"/>
    </row>
    <row r="749" ht="15.75" customHeight="1">
      <c r="A749" s="114"/>
      <c r="B749" s="115"/>
      <c r="C749" s="114"/>
      <c r="D749" s="114"/>
      <c r="E749" s="210"/>
      <c r="F749" s="30"/>
      <c r="G749" s="30"/>
      <c r="H749" s="30"/>
      <c r="I749" s="30"/>
      <c r="J749" s="30"/>
      <c r="K749" s="30"/>
      <c r="L749" s="30"/>
      <c r="M749" s="30"/>
      <c r="N749" s="30"/>
      <c r="O749" s="30"/>
      <c r="P749" s="30"/>
      <c r="Q749" s="30"/>
      <c r="R749" s="30"/>
      <c r="S749" s="30"/>
      <c r="T749" s="30"/>
      <c r="U749" s="30"/>
      <c r="V749" s="30"/>
      <c r="W749" s="30"/>
      <c r="X749" s="30"/>
      <c r="Y749" s="30"/>
      <c r="Z749" s="30"/>
      <c r="AA749" s="30"/>
      <c r="AB749" s="30"/>
      <c r="AC749" s="30"/>
      <c r="AD749" s="30"/>
      <c r="AE749" s="30"/>
      <c r="AF749" s="30"/>
    </row>
    <row r="750" ht="15.75" customHeight="1">
      <c r="A750" s="114"/>
      <c r="B750" s="115"/>
      <c r="C750" s="114"/>
      <c r="D750" s="114"/>
      <c r="E750" s="210"/>
      <c r="F750" s="30"/>
      <c r="G750" s="30"/>
      <c r="H750" s="30"/>
      <c r="I750" s="30"/>
      <c r="J750" s="30"/>
      <c r="K750" s="30"/>
      <c r="L750" s="30"/>
      <c r="M750" s="30"/>
      <c r="N750" s="30"/>
      <c r="O750" s="30"/>
      <c r="P750" s="30"/>
      <c r="Q750" s="30"/>
      <c r="R750" s="30"/>
      <c r="S750" s="30"/>
      <c r="T750" s="30"/>
      <c r="U750" s="30"/>
      <c r="V750" s="30"/>
      <c r="W750" s="30"/>
      <c r="X750" s="30"/>
      <c r="Y750" s="30"/>
      <c r="Z750" s="30"/>
      <c r="AA750" s="30"/>
      <c r="AB750" s="30"/>
      <c r="AC750" s="30"/>
      <c r="AD750" s="30"/>
      <c r="AE750" s="30"/>
      <c r="AF750" s="30"/>
    </row>
    <row r="751" ht="15.75" customHeight="1">
      <c r="A751" s="114"/>
      <c r="B751" s="115"/>
      <c r="C751" s="114"/>
      <c r="D751" s="114"/>
      <c r="E751" s="210"/>
      <c r="F751" s="30"/>
      <c r="G751" s="30"/>
      <c r="H751" s="30"/>
      <c r="I751" s="30"/>
      <c r="J751" s="30"/>
      <c r="K751" s="30"/>
      <c r="L751" s="30"/>
      <c r="M751" s="30"/>
      <c r="N751" s="30"/>
      <c r="O751" s="30"/>
      <c r="P751" s="30"/>
      <c r="Q751" s="30"/>
      <c r="R751" s="30"/>
      <c r="S751" s="30"/>
      <c r="T751" s="30"/>
      <c r="U751" s="30"/>
      <c r="V751" s="30"/>
      <c r="W751" s="30"/>
      <c r="X751" s="30"/>
      <c r="Y751" s="30"/>
      <c r="Z751" s="30"/>
      <c r="AA751" s="30"/>
      <c r="AB751" s="30"/>
      <c r="AC751" s="30"/>
      <c r="AD751" s="30"/>
      <c r="AE751" s="30"/>
      <c r="AF751" s="30"/>
    </row>
    <row r="752" ht="15.75" customHeight="1">
      <c r="A752" s="114"/>
      <c r="B752" s="115"/>
      <c r="C752" s="114"/>
      <c r="D752" s="114"/>
      <c r="E752" s="210"/>
      <c r="F752" s="30"/>
      <c r="G752" s="30"/>
      <c r="H752" s="30"/>
      <c r="I752" s="30"/>
      <c r="J752" s="30"/>
      <c r="K752" s="30"/>
      <c r="L752" s="30"/>
      <c r="M752" s="30"/>
      <c r="N752" s="30"/>
      <c r="O752" s="30"/>
      <c r="P752" s="30"/>
      <c r="Q752" s="30"/>
      <c r="R752" s="30"/>
      <c r="S752" s="30"/>
      <c r="T752" s="30"/>
      <c r="U752" s="30"/>
      <c r="V752" s="30"/>
      <c r="W752" s="30"/>
      <c r="X752" s="30"/>
      <c r="Y752" s="30"/>
      <c r="Z752" s="30"/>
      <c r="AA752" s="30"/>
      <c r="AB752" s="30"/>
      <c r="AC752" s="30"/>
      <c r="AD752" s="30"/>
      <c r="AE752" s="30"/>
      <c r="AF752" s="30"/>
    </row>
    <row r="753" ht="15.75" customHeight="1">
      <c r="A753" s="114"/>
      <c r="B753" s="115"/>
      <c r="C753" s="114"/>
      <c r="D753" s="114"/>
      <c r="E753" s="210"/>
      <c r="F753" s="30"/>
      <c r="G753" s="30"/>
      <c r="H753" s="30"/>
      <c r="I753" s="30"/>
      <c r="J753" s="30"/>
      <c r="K753" s="30"/>
      <c r="L753" s="30"/>
      <c r="M753" s="30"/>
      <c r="N753" s="30"/>
      <c r="O753" s="30"/>
      <c r="P753" s="30"/>
      <c r="Q753" s="30"/>
      <c r="R753" s="30"/>
      <c r="S753" s="30"/>
      <c r="T753" s="30"/>
      <c r="U753" s="30"/>
      <c r="V753" s="30"/>
      <c r="W753" s="30"/>
      <c r="X753" s="30"/>
      <c r="Y753" s="30"/>
      <c r="Z753" s="30"/>
      <c r="AA753" s="30"/>
      <c r="AB753" s="30"/>
      <c r="AC753" s="30"/>
      <c r="AD753" s="30"/>
      <c r="AE753" s="30"/>
      <c r="AF753" s="30"/>
    </row>
    <row r="754" ht="15.75" customHeight="1">
      <c r="A754" s="114"/>
      <c r="B754" s="115"/>
      <c r="C754" s="114"/>
      <c r="D754" s="114"/>
      <c r="E754" s="210"/>
      <c r="F754" s="30"/>
      <c r="G754" s="30"/>
      <c r="H754" s="30"/>
      <c r="I754" s="30"/>
      <c r="J754" s="30"/>
      <c r="K754" s="30"/>
      <c r="L754" s="30"/>
      <c r="M754" s="30"/>
      <c r="N754" s="30"/>
      <c r="O754" s="30"/>
      <c r="P754" s="30"/>
      <c r="Q754" s="30"/>
      <c r="R754" s="30"/>
      <c r="S754" s="30"/>
      <c r="T754" s="30"/>
      <c r="U754" s="30"/>
      <c r="V754" s="30"/>
      <c r="W754" s="30"/>
      <c r="X754" s="30"/>
      <c r="Y754" s="30"/>
      <c r="Z754" s="30"/>
      <c r="AA754" s="30"/>
      <c r="AB754" s="30"/>
      <c r="AC754" s="30"/>
      <c r="AD754" s="30"/>
      <c r="AE754" s="30"/>
      <c r="AF754" s="30"/>
    </row>
    <row r="755" ht="15.75" customHeight="1">
      <c r="A755" s="114"/>
      <c r="B755" s="115"/>
      <c r="C755" s="114"/>
      <c r="D755" s="114"/>
      <c r="E755" s="210"/>
      <c r="F755" s="30"/>
      <c r="G755" s="30"/>
      <c r="H755" s="30"/>
      <c r="I755" s="30"/>
      <c r="J755" s="30"/>
      <c r="K755" s="30"/>
      <c r="L755" s="30"/>
      <c r="M755" s="30"/>
      <c r="N755" s="30"/>
      <c r="O755" s="30"/>
      <c r="P755" s="30"/>
      <c r="Q755" s="30"/>
      <c r="R755" s="30"/>
      <c r="S755" s="30"/>
      <c r="T755" s="30"/>
      <c r="U755" s="30"/>
      <c r="V755" s="30"/>
      <c r="W755" s="30"/>
      <c r="X755" s="30"/>
      <c r="Y755" s="30"/>
      <c r="Z755" s="30"/>
      <c r="AA755" s="30"/>
      <c r="AB755" s="30"/>
      <c r="AC755" s="30"/>
      <c r="AD755" s="30"/>
      <c r="AE755" s="30"/>
      <c r="AF755" s="30"/>
    </row>
    <row r="756" ht="15.75" customHeight="1">
      <c r="A756" s="114"/>
      <c r="B756" s="115"/>
      <c r="C756" s="114"/>
      <c r="D756" s="114"/>
      <c r="E756" s="210"/>
      <c r="F756" s="30"/>
      <c r="G756" s="30"/>
      <c r="H756" s="30"/>
      <c r="I756" s="30"/>
      <c r="J756" s="30"/>
      <c r="K756" s="30"/>
      <c r="L756" s="30"/>
      <c r="M756" s="30"/>
      <c r="N756" s="30"/>
      <c r="O756" s="30"/>
      <c r="P756" s="30"/>
      <c r="Q756" s="30"/>
      <c r="R756" s="30"/>
      <c r="S756" s="30"/>
      <c r="T756" s="30"/>
      <c r="U756" s="30"/>
      <c r="V756" s="30"/>
      <c r="W756" s="30"/>
      <c r="X756" s="30"/>
      <c r="Y756" s="30"/>
      <c r="Z756" s="30"/>
      <c r="AA756" s="30"/>
      <c r="AB756" s="30"/>
      <c r="AC756" s="30"/>
      <c r="AD756" s="30"/>
      <c r="AE756" s="30"/>
      <c r="AF756" s="30"/>
    </row>
    <row r="757" ht="15.75" customHeight="1">
      <c r="A757" s="114"/>
      <c r="B757" s="115"/>
      <c r="C757" s="114"/>
      <c r="D757" s="114"/>
      <c r="E757" s="210"/>
      <c r="F757" s="30"/>
      <c r="G757" s="30"/>
      <c r="H757" s="30"/>
      <c r="I757" s="30"/>
      <c r="J757" s="30"/>
      <c r="K757" s="30"/>
      <c r="L757" s="30"/>
      <c r="M757" s="30"/>
      <c r="N757" s="30"/>
      <c r="O757" s="30"/>
      <c r="P757" s="30"/>
      <c r="Q757" s="30"/>
      <c r="R757" s="30"/>
      <c r="S757" s="30"/>
      <c r="T757" s="30"/>
      <c r="U757" s="30"/>
      <c r="V757" s="30"/>
      <c r="W757" s="30"/>
      <c r="X757" s="30"/>
      <c r="Y757" s="30"/>
      <c r="Z757" s="30"/>
      <c r="AA757" s="30"/>
      <c r="AB757" s="30"/>
      <c r="AC757" s="30"/>
      <c r="AD757" s="30"/>
      <c r="AE757" s="30"/>
      <c r="AF757" s="30"/>
    </row>
    <row r="758" ht="15.75" customHeight="1">
      <c r="A758" s="114"/>
      <c r="B758" s="115"/>
      <c r="C758" s="114"/>
      <c r="D758" s="114"/>
      <c r="E758" s="210"/>
      <c r="F758" s="30"/>
      <c r="G758" s="30"/>
      <c r="H758" s="30"/>
      <c r="I758" s="30"/>
      <c r="J758" s="30"/>
      <c r="K758" s="30"/>
      <c r="L758" s="30"/>
      <c r="M758" s="30"/>
      <c r="N758" s="30"/>
      <c r="O758" s="30"/>
      <c r="P758" s="30"/>
      <c r="Q758" s="30"/>
      <c r="R758" s="30"/>
      <c r="S758" s="30"/>
      <c r="T758" s="30"/>
      <c r="U758" s="30"/>
      <c r="V758" s="30"/>
      <c r="W758" s="30"/>
      <c r="X758" s="30"/>
      <c r="Y758" s="30"/>
      <c r="Z758" s="30"/>
      <c r="AA758" s="30"/>
      <c r="AB758" s="30"/>
      <c r="AC758" s="30"/>
      <c r="AD758" s="30"/>
      <c r="AE758" s="30"/>
      <c r="AF758" s="30"/>
    </row>
    <row r="759" ht="15.75" customHeight="1">
      <c r="A759" s="114"/>
      <c r="B759" s="115"/>
      <c r="C759" s="114"/>
      <c r="D759" s="114"/>
      <c r="E759" s="210"/>
      <c r="F759" s="30"/>
      <c r="G759" s="30"/>
      <c r="H759" s="30"/>
      <c r="I759" s="30"/>
      <c r="J759" s="30"/>
      <c r="K759" s="30"/>
      <c r="L759" s="30"/>
      <c r="M759" s="30"/>
      <c r="N759" s="30"/>
      <c r="O759" s="30"/>
      <c r="P759" s="30"/>
      <c r="Q759" s="30"/>
      <c r="R759" s="30"/>
      <c r="S759" s="30"/>
      <c r="T759" s="30"/>
      <c r="U759" s="30"/>
      <c r="V759" s="30"/>
      <c r="W759" s="30"/>
      <c r="X759" s="30"/>
      <c r="Y759" s="30"/>
      <c r="Z759" s="30"/>
      <c r="AA759" s="30"/>
      <c r="AB759" s="30"/>
      <c r="AC759" s="30"/>
      <c r="AD759" s="30"/>
      <c r="AE759" s="30"/>
      <c r="AF759" s="30"/>
    </row>
    <row r="760" ht="15.75" customHeight="1">
      <c r="A760" s="114"/>
      <c r="B760" s="115"/>
      <c r="C760" s="114"/>
      <c r="D760" s="114"/>
      <c r="E760" s="210"/>
      <c r="F760" s="30"/>
      <c r="G760" s="30"/>
      <c r="H760" s="30"/>
      <c r="I760" s="30"/>
      <c r="J760" s="30"/>
      <c r="K760" s="30"/>
      <c r="L760" s="30"/>
      <c r="M760" s="30"/>
      <c r="N760" s="30"/>
      <c r="O760" s="30"/>
      <c r="P760" s="30"/>
      <c r="Q760" s="30"/>
      <c r="R760" s="30"/>
      <c r="S760" s="30"/>
      <c r="T760" s="30"/>
      <c r="U760" s="30"/>
      <c r="V760" s="30"/>
      <c r="W760" s="30"/>
      <c r="X760" s="30"/>
      <c r="Y760" s="30"/>
      <c r="Z760" s="30"/>
      <c r="AA760" s="30"/>
      <c r="AB760" s="30"/>
      <c r="AC760" s="30"/>
      <c r="AD760" s="30"/>
      <c r="AE760" s="30"/>
      <c r="AF760" s="30"/>
    </row>
    <row r="761" ht="15.75" customHeight="1">
      <c r="A761" s="114"/>
      <c r="B761" s="115"/>
      <c r="C761" s="114"/>
      <c r="D761" s="114"/>
      <c r="E761" s="210"/>
      <c r="F761" s="30"/>
      <c r="G761" s="30"/>
      <c r="H761" s="30"/>
      <c r="I761" s="30"/>
      <c r="J761" s="30"/>
      <c r="K761" s="30"/>
      <c r="L761" s="30"/>
      <c r="M761" s="30"/>
      <c r="N761" s="30"/>
      <c r="O761" s="30"/>
      <c r="P761" s="30"/>
      <c r="Q761" s="30"/>
      <c r="R761" s="30"/>
      <c r="S761" s="30"/>
      <c r="T761" s="30"/>
      <c r="U761" s="30"/>
      <c r="V761" s="30"/>
      <c r="W761" s="30"/>
      <c r="X761" s="30"/>
      <c r="Y761" s="30"/>
      <c r="Z761" s="30"/>
      <c r="AA761" s="30"/>
      <c r="AB761" s="30"/>
      <c r="AC761" s="30"/>
      <c r="AD761" s="30"/>
      <c r="AE761" s="30"/>
      <c r="AF761" s="30"/>
    </row>
    <row r="762" ht="15.75" customHeight="1">
      <c r="A762" s="114"/>
      <c r="B762" s="115"/>
      <c r="C762" s="114"/>
      <c r="D762" s="114"/>
      <c r="E762" s="210"/>
      <c r="F762" s="30"/>
      <c r="G762" s="30"/>
      <c r="H762" s="30"/>
      <c r="I762" s="30"/>
      <c r="J762" s="30"/>
      <c r="K762" s="30"/>
      <c r="L762" s="30"/>
      <c r="M762" s="30"/>
      <c r="N762" s="30"/>
      <c r="O762" s="30"/>
      <c r="P762" s="30"/>
      <c r="Q762" s="30"/>
      <c r="R762" s="30"/>
      <c r="S762" s="30"/>
      <c r="T762" s="30"/>
      <c r="U762" s="30"/>
      <c r="V762" s="30"/>
      <c r="W762" s="30"/>
      <c r="X762" s="30"/>
      <c r="Y762" s="30"/>
      <c r="Z762" s="30"/>
      <c r="AA762" s="30"/>
      <c r="AB762" s="30"/>
      <c r="AC762" s="30"/>
      <c r="AD762" s="30"/>
      <c r="AE762" s="30"/>
      <c r="AF762" s="30"/>
    </row>
    <row r="763" ht="15.75" customHeight="1">
      <c r="A763" s="114"/>
      <c r="B763" s="115"/>
      <c r="C763" s="114"/>
      <c r="D763" s="114"/>
      <c r="E763" s="210"/>
      <c r="F763" s="30"/>
      <c r="G763" s="30"/>
      <c r="H763" s="30"/>
      <c r="I763" s="30"/>
      <c r="J763" s="30"/>
      <c r="K763" s="30"/>
      <c r="L763" s="30"/>
      <c r="M763" s="30"/>
      <c r="N763" s="30"/>
      <c r="O763" s="30"/>
      <c r="P763" s="30"/>
      <c r="Q763" s="30"/>
      <c r="R763" s="30"/>
      <c r="S763" s="30"/>
      <c r="T763" s="30"/>
      <c r="U763" s="30"/>
      <c r="V763" s="30"/>
      <c r="W763" s="30"/>
      <c r="X763" s="30"/>
      <c r="Y763" s="30"/>
      <c r="Z763" s="30"/>
      <c r="AA763" s="30"/>
      <c r="AB763" s="30"/>
      <c r="AC763" s="30"/>
      <c r="AD763" s="30"/>
      <c r="AE763" s="30"/>
      <c r="AF763" s="30"/>
    </row>
    <row r="764" ht="15.75" customHeight="1">
      <c r="A764" s="114"/>
      <c r="B764" s="115"/>
      <c r="C764" s="114"/>
      <c r="D764" s="114"/>
      <c r="E764" s="210"/>
      <c r="F764" s="30"/>
      <c r="G764" s="30"/>
      <c r="H764" s="30"/>
      <c r="I764" s="30"/>
      <c r="J764" s="30"/>
      <c r="K764" s="30"/>
      <c r="L764" s="30"/>
      <c r="M764" s="30"/>
      <c r="N764" s="30"/>
      <c r="O764" s="30"/>
      <c r="P764" s="30"/>
      <c r="Q764" s="30"/>
      <c r="R764" s="30"/>
      <c r="S764" s="30"/>
      <c r="T764" s="30"/>
      <c r="U764" s="30"/>
      <c r="V764" s="30"/>
      <c r="W764" s="30"/>
      <c r="X764" s="30"/>
      <c r="Y764" s="30"/>
      <c r="Z764" s="30"/>
      <c r="AA764" s="30"/>
      <c r="AB764" s="30"/>
      <c r="AC764" s="30"/>
      <c r="AD764" s="30"/>
      <c r="AE764" s="30"/>
      <c r="AF764" s="30"/>
    </row>
    <row r="765" ht="15.75" customHeight="1">
      <c r="A765" s="114"/>
      <c r="B765" s="115"/>
      <c r="C765" s="114"/>
      <c r="D765" s="114"/>
      <c r="E765" s="210"/>
      <c r="F765" s="30"/>
      <c r="G765" s="30"/>
      <c r="H765" s="30"/>
      <c r="I765" s="30"/>
      <c r="J765" s="30"/>
      <c r="K765" s="30"/>
      <c r="L765" s="30"/>
      <c r="M765" s="30"/>
      <c r="N765" s="30"/>
      <c r="O765" s="30"/>
      <c r="P765" s="30"/>
      <c r="Q765" s="30"/>
      <c r="R765" s="30"/>
      <c r="S765" s="30"/>
      <c r="T765" s="30"/>
      <c r="U765" s="30"/>
      <c r="V765" s="30"/>
      <c r="W765" s="30"/>
      <c r="X765" s="30"/>
      <c r="Y765" s="30"/>
      <c r="Z765" s="30"/>
      <c r="AA765" s="30"/>
      <c r="AB765" s="30"/>
      <c r="AC765" s="30"/>
      <c r="AD765" s="30"/>
      <c r="AE765" s="30"/>
      <c r="AF765" s="30"/>
    </row>
    <row r="766" ht="15.75" customHeight="1">
      <c r="A766" s="114"/>
      <c r="B766" s="115"/>
      <c r="C766" s="114"/>
      <c r="D766" s="114"/>
      <c r="E766" s="210"/>
      <c r="F766" s="30"/>
      <c r="G766" s="30"/>
      <c r="H766" s="30"/>
      <c r="I766" s="30"/>
      <c r="J766" s="30"/>
      <c r="K766" s="30"/>
      <c r="L766" s="30"/>
      <c r="M766" s="30"/>
      <c r="N766" s="30"/>
      <c r="O766" s="30"/>
      <c r="P766" s="30"/>
      <c r="Q766" s="30"/>
      <c r="R766" s="30"/>
      <c r="S766" s="30"/>
      <c r="T766" s="30"/>
      <c r="U766" s="30"/>
      <c r="V766" s="30"/>
      <c r="W766" s="30"/>
      <c r="X766" s="30"/>
      <c r="Y766" s="30"/>
      <c r="Z766" s="30"/>
      <c r="AA766" s="30"/>
      <c r="AB766" s="30"/>
      <c r="AC766" s="30"/>
      <c r="AD766" s="30"/>
      <c r="AE766" s="30"/>
      <c r="AF766" s="30"/>
    </row>
    <row r="767" ht="15.75" customHeight="1">
      <c r="A767" s="114"/>
      <c r="B767" s="115"/>
      <c r="C767" s="114"/>
      <c r="D767" s="114"/>
      <c r="E767" s="210"/>
      <c r="F767" s="30"/>
      <c r="G767" s="30"/>
      <c r="H767" s="30"/>
      <c r="I767" s="30"/>
      <c r="J767" s="30"/>
      <c r="K767" s="30"/>
      <c r="L767" s="30"/>
      <c r="M767" s="30"/>
      <c r="N767" s="30"/>
      <c r="O767" s="30"/>
      <c r="P767" s="30"/>
      <c r="Q767" s="30"/>
      <c r="R767" s="30"/>
      <c r="S767" s="30"/>
      <c r="T767" s="30"/>
      <c r="U767" s="30"/>
      <c r="V767" s="30"/>
      <c r="W767" s="30"/>
      <c r="X767" s="30"/>
      <c r="Y767" s="30"/>
      <c r="Z767" s="30"/>
      <c r="AA767" s="30"/>
      <c r="AB767" s="30"/>
      <c r="AC767" s="30"/>
      <c r="AD767" s="30"/>
      <c r="AE767" s="30"/>
      <c r="AF767" s="30"/>
    </row>
    <row r="768" ht="15.75" customHeight="1">
      <c r="A768" s="114"/>
      <c r="B768" s="115"/>
      <c r="C768" s="114"/>
      <c r="D768" s="114"/>
      <c r="E768" s="210"/>
      <c r="F768" s="30"/>
      <c r="G768" s="30"/>
      <c r="H768" s="30"/>
      <c r="I768" s="30"/>
      <c r="J768" s="30"/>
      <c r="K768" s="30"/>
      <c r="L768" s="30"/>
      <c r="M768" s="30"/>
      <c r="N768" s="30"/>
      <c r="O768" s="30"/>
      <c r="P768" s="30"/>
      <c r="Q768" s="30"/>
      <c r="R768" s="30"/>
      <c r="S768" s="30"/>
      <c r="T768" s="30"/>
      <c r="U768" s="30"/>
      <c r="V768" s="30"/>
      <c r="W768" s="30"/>
      <c r="X768" s="30"/>
      <c r="Y768" s="30"/>
      <c r="Z768" s="30"/>
      <c r="AA768" s="30"/>
      <c r="AB768" s="30"/>
      <c r="AC768" s="30"/>
      <c r="AD768" s="30"/>
      <c r="AE768" s="30"/>
      <c r="AF768" s="30"/>
    </row>
    <row r="769" ht="15.75" customHeight="1">
      <c r="A769" s="114"/>
      <c r="B769" s="115"/>
      <c r="C769" s="114"/>
      <c r="D769" s="114"/>
      <c r="E769" s="210"/>
      <c r="F769" s="30"/>
      <c r="G769" s="30"/>
      <c r="H769" s="30"/>
      <c r="I769" s="30"/>
      <c r="J769" s="30"/>
      <c r="K769" s="30"/>
      <c r="L769" s="30"/>
      <c r="M769" s="30"/>
      <c r="N769" s="30"/>
      <c r="O769" s="30"/>
      <c r="P769" s="30"/>
      <c r="Q769" s="30"/>
      <c r="R769" s="30"/>
      <c r="S769" s="30"/>
      <c r="T769" s="30"/>
      <c r="U769" s="30"/>
      <c r="V769" s="30"/>
      <c r="W769" s="30"/>
      <c r="X769" s="30"/>
      <c r="Y769" s="30"/>
      <c r="Z769" s="30"/>
      <c r="AA769" s="30"/>
      <c r="AB769" s="30"/>
      <c r="AC769" s="30"/>
      <c r="AD769" s="30"/>
      <c r="AE769" s="30"/>
      <c r="AF769" s="30"/>
    </row>
    <row r="770" ht="15.75" customHeight="1">
      <c r="A770" s="114"/>
      <c r="B770" s="115"/>
      <c r="C770" s="114"/>
      <c r="D770" s="114"/>
      <c r="E770" s="210"/>
      <c r="F770" s="30"/>
      <c r="G770" s="30"/>
      <c r="H770" s="30"/>
      <c r="I770" s="30"/>
      <c r="J770" s="30"/>
      <c r="K770" s="30"/>
      <c r="L770" s="30"/>
      <c r="M770" s="30"/>
      <c r="N770" s="30"/>
      <c r="O770" s="30"/>
      <c r="P770" s="30"/>
      <c r="Q770" s="30"/>
      <c r="R770" s="30"/>
      <c r="S770" s="30"/>
      <c r="T770" s="30"/>
      <c r="U770" s="30"/>
      <c r="V770" s="30"/>
      <c r="W770" s="30"/>
      <c r="X770" s="30"/>
      <c r="Y770" s="30"/>
      <c r="Z770" s="30"/>
      <c r="AA770" s="30"/>
      <c r="AB770" s="30"/>
      <c r="AC770" s="30"/>
      <c r="AD770" s="30"/>
      <c r="AE770" s="30"/>
      <c r="AF770" s="30"/>
    </row>
    <row r="771" ht="15.75" customHeight="1">
      <c r="A771" s="114"/>
      <c r="B771" s="115"/>
      <c r="C771" s="114"/>
      <c r="D771" s="114"/>
      <c r="E771" s="210"/>
      <c r="F771" s="30"/>
      <c r="G771" s="30"/>
      <c r="H771" s="30"/>
      <c r="I771" s="30"/>
      <c r="J771" s="30"/>
      <c r="K771" s="30"/>
      <c r="L771" s="30"/>
      <c r="M771" s="30"/>
      <c r="N771" s="30"/>
      <c r="O771" s="30"/>
      <c r="P771" s="30"/>
      <c r="Q771" s="30"/>
      <c r="R771" s="30"/>
      <c r="S771" s="30"/>
      <c r="T771" s="30"/>
      <c r="U771" s="30"/>
      <c r="V771" s="30"/>
      <c r="W771" s="30"/>
      <c r="X771" s="30"/>
      <c r="Y771" s="30"/>
      <c r="Z771" s="30"/>
      <c r="AA771" s="30"/>
      <c r="AB771" s="30"/>
      <c r="AC771" s="30"/>
      <c r="AD771" s="30"/>
      <c r="AE771" s="30"/>
      <c r="AF771" s="30"/>
    </row>
    <row r="772" ht="15.75" customHeight="1">
      <c r="A772" s="114"/>
      <c r="B772" s="115"/>
      <c r="C772" s="114"/>
      <c r="D772" s="114"/>
      <c r="E772" s="210"/>
      <c r="F772" s="30"/>
      <c r="G772" s="30"/>
      <c r="H772" s="30"/>
      <c r="I772" s="30"/>
      <c r="J772" s="30"/>
      <c r="K772" s="30"/>
      <c r="L772" s="30"/>
      <c r="M772" s="30"/>
      <c r="N772" s="30"/>
      <c r="O772" s="30"/>
      <c r="P772" s="30"/>
      <c r="Q772" s="30"/>
      <c r="R772" s="30"/>
      <c r="S772" s="30"/>
      <c r="T772" s="30"/>
      <c r="U772" s="30"/>
      <c r="V772" s="30"/>
      <c r="W772" s="30"/>
      <c r="X772" s="30"/>
      <c r="Y772" s="30"/>
      <c r="Z772" s="30"/>
      <c r="AA772" s="30"/>
      <c r="AB772" s="30"/>
      <c r="AC772" s="30"/>
      <c r="AD772" s="30"/>
      <c r="AE772" s="30"/>
      <c r="AF772" s="30"/>
    </row>
    <row r="773" ht="15.75" customHeight="1">
      <c r="A773" s="114"/>
      <c r="B773" s="115"/>
      <c r="C773" s="114"/>
      <c r="D773" s="114"/>
      <c r="E773" s="210"/>
      <c r="F773" s="30"/>
      <c r="G773" s="30"/>
      <c r="H773" s="30"/>
      <c r="I773" s="30"/>
      <c r="J773" s="30"/>
      <c r="K773" s="30"/>
      <c r="L773" s="30"/>
      <c r="M773" s="30"/>
      <c r="N773" s="30"/>
      <c r="O773" s="30"/>
      <c r="P773" s="30"/>
      <c r="Q773" s="30"/>
      <c r="R773" s="30"/>
      <c r="S773" s="30"/>
      <c r="T773" s="30"/>
      <c r="U773" s="30"/>
      <c r="V773" s="30"/>
      <c r="W773" s="30"/>
      <c r="X773" s="30"/>
      <c r="Y773" s="30"/>
      <c r="Z773" s="30"/>
      <c r="AA773" s="30"/>
      <c r="AB773" s="30"/>
      <c r="AC773" s="30"/>
      <c r="AD773" s="30"/>
      <c r="AE773" s="30"/>
      <c r="AF773" s="30"/>
    </row>
    <row r="774" ht="15.75" customHeight="1">
      <c r="A774" s="114"/>
      <c r="B774" s="115"/>
      <c r="C774" s="114"/>
      <c r="D774" s="114"/>
      <c r="E774" s="210"/>
      <c r="F774" s="30"/>
      <c r="G774" s="30"/>
      <c r="H774" s="30"/>
      <c r="I774" s="30"/>
      <c r="J774" s="30"/>
      <c r="K774" s="30"/>
      <c r="L774" s="30"/>
      <c r="M774" s="30"/>
      <c r="N774" s="30"/>
      <c r="O774" s="30"/>
      <c r="P774" s="30"/>
      <c r="Q774" s="30"/>
      <c r="R774" s="30"/>
      <c r="S774" s="30"/>
      <c r="T774" s="30"/>
      <c r="U774" s="30"/>
      <c r="V774" s="30"/>
      <c r="W774" s="30"/>
      <c r="X774" s="30"/>
      <c r="Y774" s="30"/>
      <c r="Z774" s="30"/>
      <c r="AA774" s="30"/>
      <c r="AB774" s="30"/>
      <c r="AC774" s="30"/>
      <c r="AD774" s="30"/>
      <c r="AE774" s="30"/>
      <c r="AF774" s="30"/>
    </row>
    <row r="775" ht="15.75" customHeight="1">
      <c r="A775" s="114"/>
      <c r="B775" s="115"/>
      <c r="C775" s="114"/>
      <c r="D775" s="114"/>
      <c r="E775" s="210"/>
      <c r="F775" s="30"/>
      <c r="G775" s="30"/>
      <c r="H775" s="30"/>
      <c r="I775" s="30"/>
      <c r="J775" s="30"/>
      <c r="K775" s="30"/>
      <c r="L775" s="30"/>
      <c r="M775" s="30"/>
      <c r="N775" s="30"/>
      <c r="O775" s="30"/>
      <c r="P775" s="30"/>
      <c r="Q775" s="30"/>
      <c r="R775" s="30"/>
      <c r="S775" s="30"/>
      <c r="T775" s="30"/>
      <c r="U775" s="30"/>
      <c r="V775" s="30"/>
      <c r="W775" s="30"/>
      <c r="X775" s="30"/>
      <c r="Y775" s="30"/>
      <c r="Z775" s="30"/>
      <c r="AA775" s="30"/>
      <c r="AB775" s="30"/>
      <c r="AC775" s="30"/>
      <c r="AD775" s="30"/>
      <c r="AE775" s="30"/>
      <c r="AF775" s="30"/>
    </row>
    <row r="776" ht="15.75" customHeight="1">
      <c r="A776" s="114"/>
      <c r="B776" s="115"/>
      <c r="C776" s="114"/>
      <c r="D776" s="114"/>
      <c r="E776" s="210"/>
      <c r="F776" s="30"/>
      <c r="G776" s="30"/>
      <c r="H776" s="30"/>
      <c r="I776" s="30"/>
      <c r="J776" s="30"/>
      <c r="K776" s="30"/>
      <c r="L776" s="30"/>
      <c r="M776" s="30"/>
      <c r="N776" s="30"/>
      <c r="O776" s="30"/>
      <c r="P776" s="30"/>
      <c r="Q776" s="30"/>
      <c r="R776" s="30"/>
      <c r="S776" s="30"/>
      <c r="T776" s="30"/>
      <c r="U776" s="30"/>
      <c r="V776" s="30"/>
      <c r="W776" s="30"/>
      <c r="X776" s="30"/>
      <c r="Y776" s="30"/>
      <c r="Z776" s="30"/>
      <c r="AA776" s="30"/>
      <c r="AB776" s="30"/>
      <c r="AC776" s="30"/>
      <c r="AD776" s="30"/>
      <c r="AE776" s="30"/>
      <c r="AF776" s="30"/>
    </row>
    <row r="777" ht="15.75" customHeight="1">
      <c r="A777" s="114"/>
      <c r="B777" s="115"/>
      <c r="C777" s="114"/>
      <c r="D777" s="114"/>
      <c r="E777" s="210"/>
      <c r="F777" s="30"/>
      <c r="G777" s="30"/>
      <c r="H777" s="30"/>
      <c r="I777" s="30"/>
      <c r="J777" s="30"/>
      <c r="K777" s="30"/>
      <c r="L777" s="30"/>
      <c r="M777" s="30"/>
      <c r="N777" s="30"/>
      <c r="O777" s="30"/>
      <c r="P777" s="30"/>
      <c r="Q777" s="30"/>
      <c r="R777" s="30"/>
      <c r="S777" s="30"/>
      <c r="T777" s="30"/>
      <c r="U777" s="30"/>
      <c r="V777" s="30"/>
      <c r="W777" s="30"/>
      <c r="X777" s="30"/>
      <c r="Y777" s="30"/>
      <c r="Z777" s="30"/>
      <c r="AA777" s="30"/>
      <c r="AB777" s="30"/>
      <c r="AC777" s="30"/>
      <c r="AD777" s="30"/>
      <c r="AE777" s="30"/>
      <c r="AF777" s="30"/>
    </row>
    <row r="778" ht="15.75" customHeight="1">
      <c r="A778" s="114"/>
      <c r="B778" s="115"/>
      <c r="C778" s="114"/>
      <c r="D778" s="114"/>
      <c r="E778" s="210"/>
      <c r="F778" s="30"/>
      <c r="G778" s="30"/>
      <c r="H778" s="30"/>
      <c r="I778" s="30"/>
      <c r="J778" s="30"/>
      <c r="K778" s="30"/>
      <c r="L778" s="30"/>
      <c r="M778" s="30"/>
      <c r="N778" s="30"/>
      <c r="O778" s="30"/>
      <c r="P778" s="30"/>
      <c r="Q778" s="30"/>
      <c r="R778" s="30"/>
      <c r="S778" s="30"/>
      <c r="T778" s="30"/>
      <c r="U778" s="30"/>
      <c r="V778" s="30"/>
      <c r="W778" s="30"/>
      <c r="X778" s="30"/>
      <c r="Y778" s="30"/>
      <c r="Z778" s="30"/>
      <c r="AA778" s="30"/>
      <c r="AB778" s="30"/>
      <c r="AC778" s="30"/>
      <c r="AD778" s="30"/>
      <c r="AE778" s="30"/>
      <c r="AF778" s="30"/>
    </row>
    <row r="779" ht="15.75" customHeight="1">
      <c r="A779" s="114"/>
      <c r="B779" s="115"/>
      <c r="C779" s="114"/>
      <c r="D779" s="114"/>
      <c r="E779" s="210"/>
      <c r="F779" s="30"/>
      <c r="G779" s="30"/>
      <c r="H779" s="30"/>
      <c r="I779" s="30"/>
      <c r="J779" s="30"/>
      <c r="K779" s="30"/>
      <c r="L779" s="30"/>
      <c r="M779" s="30"/>
      <c r="N779" s="30"/>
      <c r="O779" s="30"/>
      <c r="P779" s="30"/>
      <c r="Q779" s="30"/>
      <c r="R779" s="30"/>
      <c r="S779" s="30"/>
      <c r="T779" s="30"/>
      <c r="U779" s="30"/>
      <c r="V779" s="30"/>
      <c r="W779" s="30"/>
      <c r="X779" s="30"/>
      <c r="Y779" s="30"/>
      <c r="Z779" s="30"/>
      <c r="AA779" s="30"/>
      <c r="AB779" s="30"/>
      <c r="AC779" s="30"/>
      <c r="AD779" s="30"/>
      <c r="AE779" s="30"/>
      <c r="AF779" s="30"/>
    </row>
    <row r="780" ht="15.75" customHeight="1">
      <c r="A780" s="114"/>
      <c r="B780" s="115"/>
      <c r="C780" s="114"/>
      <c r="D780" s="114"/>
      <c r="E780" s="210"/>
      <c r="F780" s="30"/>
      <c r="G780" s="30"/>
      <c r="H780" s="30"/>
      <c r="I780" s="30"/>
      <c r="J780" s="30"/>
      <c r="K780" s="30"/>
      <c r="L780" s="30"/>
      <c r="M780" s="30"/>
      <c r="N780" s="30"/>
      <c r="O780" s="30"/>
      <c r="P780" s="30"/>
      <c r="Q780" s="30"/>
      <c r="R780" s="30"/>
      <c r="S780" s="30"/>
      <c r="T780" s="30"/>
      <c r="U780" s="30"/>
      <c r="V780" s="30"/>
      <c r="W780" s="30"/>
      <c r="X780" s="30"/>
      <c r="Y780" s="30"/>
      <c r="Z780" s="30"/>
      <c r="AA780" s="30"/>
      <c r="AB780" s="30"/>
      <c r="AC780" s="30"/>
      <c r="AD780" s="30"/>
      <c r="AE780" s="30"/>
      <c r="AF780" s="30"/>
    </row>
    <row r="781" ht="15.75" customHeight="1">
      <c r="A781" s="114"/>
      <c r="B781" s="115"/>
      <c r="C781" s="114"/>
      <c r="D781" s="114"/>
      <c r="E781" s="210"/>
      <c r="F781" s="30"/>
      <c r="G781" s="30"/>
      <c r="H781" s="30"/>
      <c r="I781" s="30"/>
      <c r="J781" s="30"/>
      <c r="K781" s="30"/>
      <c r="L781" s="30"/>
      <c r="M781" s="30"/>
      <c r="N781" s="30"/>
      <c r="O781" s="30"/>
      <c r="P781" s="30"/>
      <c r="Q781" s="30"/>
      <c r="R781" s="30"/>
      <c r="S781" s="30"/>
      <c r="T781" s="30"/>
      <c r="U781" s="30"/>
      <c r="V781" s="30"/>
      <c r="W781" s="30"/>
      <c r="X781" s="30"/>
      <c r="Y781" s="30"/>
      <c r="Z781" s="30"/>
      <c r="AA781" s="30"/>
      <c r="AB781" s="30"/>
      <c r="AC781" s="30"/>
      <c r="AD781" s="30"/>
      <c r="AE781" s="30"/>
      <c r="AF781" s="30"/>
    </row>
    <row r="782" ht="15.75" customHeight="1">
      <c r="A782" s="114"/>
      <c r="B782" s="115"/>
      <c r="C782" s="114"/>
      <c r="D782" s="114"/>
      <c r="E782" s="210"/>
      <c r="F782" s="30"/>
      <c r="G782" s="30"/>
      <c r="H782" s="30"/>
      <c r="I782" s="30"/>
      <c r="J782" s="30"/>
      <c r="K782" s="30"/>
      <c r="L782" s="30"/>
      <c r="M782" s="30"/>
      <c r="N782" s="30"/>
      <c r="O782" s="30"/>
      <c r="P782" s="30"/>
      <c r="Q782" s="30"/>
      <c r="R782" s="30"/>
      <c r="S782" s="30"/>
      <c r="T782" s="30"/>
      <c r="U782" s="30"/>
      <c r="V782" s="30"/>
      <c r="W782" s="30"/>
      <c r="X782" s="30"/>
      <c r="Y782" s="30"/>
      <c r="Z782" s="30"/>
      <c r="AA782" s="30"/>
      <c r="AB782" s="30"/>
      <c r="AC782" s="30"/>
      <c r="AD782" s="30"/>
      <c r="AE782" s="30"/>
      <c r="AF782" s="30"/>
    </row>
    <row r="783" ht="15.75" customHeight="1">
      <c r="A783" s="114"/>
      <c r="B783" s="115"/>
      <c r="C783" s="114"/>
      <c r="D783" s="114"/>
      <c r="E783" s="210"/>
      <c r="F783" s="30"/>
      <c r="G783" s="30"/>
      <c r="H783" s="30"/>
      <c r="I783" s="30"/>
      <c r="J783" s="30"/>
      <c r="K783" s="30"/>
      <c r="L783" s="30"/>
      <c r="M783" s="30"/>
      <c r="N783" s="30"/>
      <c r="O783" s="30"/>
      <c r="P783" s="30"/>
      <c r="Q783" s="30"/>
      <c r="R783" s="30"/>
      <c r="S783" s="30"/>
      <c r="T783" s="30"/>
      <c r="U783" s="30"/>
      <c r="V783" s="30"/>
      <c r="W783" s="30"/>
      <c r="X783" s="30"/>
      <c r="Y783" s="30"/>
      <c r="Z783" s="30"/>
      <c r="AA783" s="30"/>
      <c r="AB783" s="30"/>
      <c r="AC783" s="30"/>
      <c r="AD783" s="30"/>
      <c r="AE783" s="30"/>
      <c r="AF783" s="30"/>
    </row>
    <row r="784" ht="15.75" customHeight="1">
      <c r="A784" s="114"/>
      <c r="B784" s="115"/>
      <c r="C784" s="114"/>
      <c r="D784" s="114"/>
      <c r="E784" s="210"/>
      <c r="F784" s="30"/>
      <c r="G784" s="30"/>
      <c r="H784" s="30"/>
      <c r="I784" s="30"/>
      <c r="J784" s="30"/>
      <c r="K784" s="30"/>
      <c r="L784" s="30"/>
      <c r="M784" s="30"/>
      <c r="N784" s="30"/>
      <c r="O784" s="30"/>
      <c r="P784" s="30"/>
      <c r="Q784" s="30"/>
      <c r="R784" s="30"/>
      <c r="S784" s="30"/>
      <c r="T784" s="30"/>
      <c r="U784" s="30"/>
      <c r="V784" s="30"/>
      <c r="W784" s="30"/>
      <c r="X784" s="30"/>
      <c r="Y784" s="30"/>
      <c r="Z784" s="30"/>
      <c r="AA784" s="30"/>
      <c r="AB784" s="30"/>
      <c r="AC784" s="30"/>
      <c r="AD784" s="30"/>
      <c r="AE784" s="30"/>
      <c r="AF784" s="30"/>
    </row>
    <row r="785" ht="15.75" customHeight="1">
      <c r="A785" s="114"/>
      <c r="B785" s="115"/>
      <c r="C785" s="114"/>
      <c r="D785" s="114"/>
      <c r="E785" s="210"/>
      <c r="F785" s="30"/>
      <c r="G785" s="30"/>
      <c r="H785" s="30"/>
      <c r="I785" s="30"/>
      <c r="J785" s="30"/>
      <c r="K785" s="30"/>
      <c r="L785" s="30"/>
      <c r="M785" s="30"/>
      <c r="N785" s="30"/>
      <c r="O785" s="30"/>
      <c r="P785" s="30"/>
      <c r="Q785" s="30"/>
      <c r="R785" s="30"/>
      <c r="S785" s="30"/>
      <c r="T785" s="30"/>
      <c r="U785" s="30"/>
      <c r="V785" s="30"/>
      <c r="W785" s="30"/>
      <c r="X785" s="30"/>
      <c r="Y785" s="30"/>
      <c r="Z785" s="30"/>
      <c r="AA785" s="30"/>
      <c r="AB785" s="30"/>
      <c r="AC785" s="30"/>
      <c r="AD785" s="30"/>
      <c r="AE785" s="30"/>
      <c r="AF785" s="30"/>
    </row>
    <row r="786" ht="15.75" customHeight="1">
      <c r="A786" s="114"/>
      <c r="B786" s="115"/>
      <c r="C786" s="114"/>
      <c r="D786" s="114"/>
      <c r="E786" s="210"/>
      <c r="F786" s="30"/>
      <c r="G786" s="30"/>
      <c r="H786" s="30"/>
      <c r="I786" s="30"/>
      <c r="J786" s="30"/>
      <c r="K786" s="30"/>
      <c r="L786" s="30"/>
      <c r="M786" s="30"/>
      <c r="N786" s="30"/>
      <c r="O786" s="30"/>
      <c r="P786" s="30"/>
      <c r="Q786" s="30"/>
      <c r="R786" s="30"/>
      <c r="S786" s="30"/>
      <c r="T786" s="30"/>
      <c r="U786" s="30"/>
      <c r="V786" s="30"/>
      <c r="W786" s="30"/>
      <c r="X786" s="30"/>
      <c r="Y786" s="30"/>
      <c r="Z786" s="30"/>
      <c r="AA786" s="30"/>
      <c r="AB786" s="30"/>
      <c r="AC786" s="30"/>
      <c r="AD786" s="30"/>
      <c r="AE786" s="30"/>
      <c r="AF786" s="30"/>
    </row>
    <row r="787" ht="15.75" customHeight="1">
      <c r="A787" s="114"/>
      <c r="B787" s="115"/>
      <c r="C787" s="114"/>
      <c r="D787" s="114"/>
      <c r="E787" s="210"/>
      <c r="F787" s="30"/>
      <c r="G787" s="30"/>
      <c r="H787" s="30"/>
      <c r="I787" s="30"/>
      <c r="J787" s="30"/>
      <c r="K787" s="30"/>
      <c r="L787" s="30"/>
      <c r="M787" s="30"/>
      <c r="N787" s="30"/>
      <c r="O787" s="30"/>
      <c r="P787" s="30"/>
      <c r="Q787" s="30"/>
      <c r="R787" s="30"/>
      <c r="S787" s="30"/>
      <c r="T787" s="30"/>
      <c r="U787" s="30"/>
      <c r="V787" s="30"/>
      <c r="W787" s="30"/>
      <c r="X787" s="30"/>
      <c r="Y787" s="30"/>
      <c r="Z787" s="30"/>
      <c r="AA787" s="30"/>
      <c r="AB787" s="30"/>
      <c r="AC787" s="30"/>
      <c r="AD787" s="30"/>
      <c r="AE787" s="30"/>
      <c r="AF787" s="30"/>
    </row>
    <row r="788" ht="15.75" customHeight="1">
      <c r="A788" s="114"/>
      <c r="B788" s="115"/>
      <c r="C788" s="114"/>
      <c r="D788" s="114"/>
      <c r="E788" s="210"/>
      <c r="F788" s="30"/>
      <c r="G788" s="30"/>
      <c r="H788" s="30"/>
      <c r="I788" s="30"/>
      <c r="J788" s="30"/>
      <c r="K788" s="30"/>
      <c r="L788" s="30"/>
      <c r="M788" s="30"/>
      <c r="N788" s="30"/>
      <c r="O788" s="30"/>
      <c r="P788" s="30"/>
      <c r="Q788" s="30"/>
      <c r="R788" s="30"/>
      <c r="S788" s="30"/>
      <c r="T788" s="30"/>
      <c r="U788" s="30"/>
      <c r="V788" s="30"/>
      <c r="W788" s="30"/>
      <c r="X788" s="30"/>
      <c r="Y788" s="30"/>
      <c r="Z788" s="30"/>
      <c r="AA788" s="30"/>
      <c r="AB788" s="30"/>
      <c r="AC788" s="30"/>
      <c r="AD788" s="30"/>
      <c r="AE788" s="30"/>
      <c r="AF788" s="30"/>
    </row>
    <row r="789" ht="15.75" customHeight="1">
      <c r="A789" s="114"/>
      <c r="B789" s="115"/>
      <c r="C789" s="114"/>
      <c r="D789" s="114"/>
      <c r="E789" s="210"/>
      <c r="F789" s="30"/>
      <c r="G789" s="30"/>
      <c r="H789" s="30"/>
      <c r="I789" s="30"/>
      <c r="J789" s="30"/>
      <c r="K789" s="30"/>
      <c r="L789" s="30"/>
      <c r="M789" s="30"/>
      <c r="N789" s="30"/>
      <c r="O789" s="30"/>
      <c r="P789" s="30"/>
      <c r="Q789" s="30"/>
      <c r="R789" s="30"/>
      <c r="S789" s="30"/>
      <c r="T789" s="30"/>
      <c r="U789" s="30"/>
      <c r="V789" s="30"/>
      <c r="W789" s="30"/>
      <c r="X789" s="30"/>
      <c r="Y789" s="30"/>
      <c r="Z789" s="30"/>
      <c r="AA789" s="30"/>
      <c r="AB789" s="30"/>
      <c r="AC789" s="30"/>
      <c r="AD789" s="30"/>
      <c r="AE789" s="30"/>
      <c r="AF789" s="30"/>
    </row>
    <row r="790" ht="15.75" customHeight="1">
      <c r="A790" s="114"/>
      <c r="B790" s="115"/>
      <c r="C790" s="114"/>
      <c r="D790" s="114"/>
      <c r="E790" s="210"/>
      <c r="F790" s="30"/>
      <c r="G790" s="30"/>
      <c r="H790" s="30"/>
      <c r="I790" s="30"/>
      <c r="J790" s="30"/>
      <c r="K790" s="30"/>
      <c r="L790" s="30"/>
      <c r="M790" s="30"/>
      <c r="N790" s="30"/>
      <c r="O790" s="30"/>
      <c r="P790" s="30"/>
      <c r="Q790" s="30"/>
      <c r="R790" s="30"/>
      <c r="S790" s="30"/>
      <c r="T790" s="30"/>
      <c r="U790" s="30"/>
      <c r="V790" s="30"/>
      <c r="W790" s="30"/>
      <c r="X790" s="30"/>
      <c r="Y790" s="30"/>
      <c r="Z790" s="30"/>
      <c r="AA790" s="30"/>
      <c r="AB790" s="30"/>
      <c r="AC790" s="30"/>
      <c r="AD790" s="30"/>
      <c r="AE790" s="30"/>
      <c r="AF790" s="30"/>
    </row>
    <row r="791" ht="15.75" customHeight="1">
      <c r="A791" s="114"/>
      <c r="B791" s="115"/>
      <c r="C791" s="114"/>
      <c r="D791" s="114"/>
      <c r="E791" s="210"/>
      <c r="F791" s="30"/>
      <c r="G791" s="30"/>
      <c r="H791" s="30"/>
      <c r="I791" s="30"/>
      <c r="J791" s="30"/>
      <c r="K791" s="30"/>
      <c r="L791" s="30"/>
      <c r="M791" s="30"/>
      <c r="N791" s="30"/>
      <c r="O791" s="30"/>
      <c r="P791" s="30"/>
      <c r="Q791" s="30"/>
      <c r="R791" s="30"/>
      <c r="S791" s="30"/>
      <c r="T791" s="30"/>
      <c r="U791" s="30"/>
      <c r="V791" s="30"/>
      <c r="W791" s="30"/>
      <c r="X791" s="30"/>
      <c r="Y791" s="30"/>
      <c r="Z791" s="30"/>
      <c r="AA791" s="30"/>
      <c r="AB791" s="30"/>
      <c r="AC791" s="30"/>
      <c r="AD791" s="30"/>
      <c r="AE791" s="30"/>
      <c r="AF791" s="30"/>
    </row>
    <row r="792" ht="15.75" customHeight="1">
      <c r="A792" s="114"/>
      <c r="B792" s="115"/>
      <c r="C792" s="114"/>
      <c r="D792" s="114"/>
      <c r="E792" s="210"/>
      <c r="F792" s="30"/>
      <c r="G792" s="30"/>
      <c r="H792" s="30"/>
      <c r="I792" s="30"/>
      <c r="J792" s="30"/>
      <c r="K792" s="30"/>
      <c r="L792" s="30"/>
      <c r="M792" s="30"/>
      <c r="N792" s="30"/>
      <c r="O792" s="30"/>
      <c r="P792" s="30"/>
      <c r="Q792" s="30"/>
      <c r="R792" s="30"/>
      <c r="S792" s="30"/>
      <c r="T792" s="30"/>
      <c r="U792" s="30"/>
      <c r="V792" s="30"/>
      <c r="W792" s="30"/>
      <c r="X792" s="30"/>
      <c r="Y792" s="30"/>
      <c r="Z792" s="30"/>
      <c r="AA792" s="30"/>
      <c r="AB792" s="30"/>
      <c r="AC792" s="30"/>
      <c r="AD792" s="30"/>
      <c r="AE792" s="30"/>
      <c r="AF792" s="30"/>
    </row>
    <row r="793" ht="15.75" customHeight="1">
      <c r="A793" s="114"/>
      <c r="B793" s="115"/>
      <c r="C793" s="114"/>
      <c r="D793" s="114"/>
      <c r="E793" s="210"/>
      <c r="F793" s="30"/>
      <c r="G793" s="30"/>
      <c r="H793" s="30"/>
      <c r="I793" s="30"/>
      <c r="J793" s="30"/>
      <c r="K793" s="30"/>
      <c r="L793" s="30"/>
      <c r="M793" s="30"/>
      <c r="N793" s="30"/>
      <c r="O793" s="30"/>
      <c r="P793" s="30"/>
      <c r="Q793" s="30"/>
      <c r="R793" s="30"/>
      <c r="S793" s="30"/>
      <c r="T793" s="30"/>
      <c r="U793" s="30"/>
      <c r="V793" s="30"/>
      <c r="W793" s="30"/>
      <c r="X793" s="30"/>
      <c r="Y793" s="30"/>
      <c r="Z793" s="30"/>
      <c r="AA793" s="30"/>
      <c r="AB793" s="30"/>
      <c r="AC793" s="30"/>
      <c r="AD793" s="30"/>
      <c r="AE793" s="30"/>
      <c r="AF793" s="30"/>
    </row>
    <row r="794" ht="15.75" customHeight="1">
      <c r="A794" s="114"/>
      <c r="B794" s="115"/>
      <c r="C794" s="114"/>
      <c r="D794" s="114"/>
      <c r="E794" s="210"/>
      <c r="F794" s="30"/>
      <c r="G794" s="30"/>
      <c r="H794" s="30"/>
      <c r="I794" s="30"/>
      <c r="J794" s="30"/>
      <c r="K794" s="30"/>
      <c r="L794" s="30"/>
      <c r="M794" s="30"/>
      <c r="N794" s="30"/>
      <c r="O794" s="30"/>
      <c r="P794" s="30"/>
      <c r="Q794" s="30"/>
      <c r="R794" s="30"/>
      <c r="S794" s="30"/>
      <c r="T794" s="30"/>
      <c r="U794" s="30"/>
      <c r="V794" s="30"/>
      <c r="W794" s="30"/>
      <c r="X794" s="30"/>
      <c r="Y794" s="30"/>
      <c r="Z794" s="30"/>
      <c r="AA794" s="30"/>
      <c r="AB794" s="30"/>
      <c r="AC794" s="30"/>
      <c r="AD794" s="30"/>
      <c r="AE794" s="30"/>
      <c r="AF794" s="30"/>
    </row>
    <row r="795" ht="15.75" customHeight="1">
      <c r="A795" s="114"/>
      <c r="B795" s="115"/>
      <c r="C795" s="114"/>
      <c r="D795" s="114"/>
      <c r="E795" s="210"/>
      <c r="F795" s="30"/>
      <c r="G795" s="30"/>
      <c r="H795" s="30"/>
      <c r="I795" s="30"/>
      <c r="J795" s="30"/>
      <c r="K795" s="30"/>
      <c r="L795" s="30"/>
      <c r="M795" s="30"/>
      <c r="N795" s="30"/>
      <c r="O795" s="30"/>
      <c r="P795" s="30"/>
      <c r="Q795" s="30"/>
      <c r="R795" s="30"/>
      <c r="S795" s="30"/>
      <c r="T795" s="30"/>
      <c r="U795" s="30"/>
      <c r="V795" s="30"/>
      <c r="W795" s="30"/>
      <c r="X795" s="30"/>
      <c r="Y795" s="30"/>
      <c r="Z795" s="30"/>
      <c r="AA795" s="30"/>
      <c r="AB795" s="30"/>
      <c r="AC795" s="30"/>
      <c r="AD795" s="30"/>
      <c r="AE795" s="30"/>
      <c r="AF795" s="30"/>
    </row>
    <row r="796" ht="15.75" customHeight="1">
      <c r="A796" s="114"/>
      <c r="B796" s="115"/>
      <c r="C796" s="114"/>
      <c r="D796" s="114"/>
      <c r="E796" s="210"/>
      <c r="F796" s="30"/>
      <c r="G796" s="30"/>
      <c r="H796" s="30"/>
      <c r="I796" s="30"/>
      <c r="J796" s="30"/>
      <c r="K796" s="30"/>
      <c r="L796" s="30"/>
      <c r="M796" s="30"/>
      <c r="N796" s="30"/>
      <c r="O796" s="30"/>
      <c r="P796" s="30"/>
      <c r="Q796" s="30"/>
      <c r="R796" s="30"/>
      <c r="S796" s="30"/>
      <c r="T796" s="30"/>
      <c r="U796" s="30"/>
      <c r="V796" s="30"/>
      <c r="W796" s="30"/>
      <c r="X796" s="30"/>
      <c r="Y796" s="30"/>
      <c r="Z796" s="30"/>
      <c r="AA796" s="30"/>
      <c r="AB796" s="30"/>
      <c r="AC796" s="30"/>
      <c r="AD796" s="30"/>
      <c r="AE796" s="30"/>
      <c r="AF796" s="30"/>
    </row>
    <row r="797" ht="15.75" customHeight="1">
      <c r="A797" s="114"/>
      <c r="B797" s="115"/>
      <c r="C797" s="114"/>
      <c r="D797" s="114"/>
      <c r="E797" s="210"/>
      <c r="F797" s="30"/>
      <c r="G797" s="30"/>
      <c r="H797" s="30"/>
      <c r="I797" s="30"/>
      <c r="J797" s="30"/>
      <c r="K797" s="30"/>
      <c r="L797" s="30"/>
      <c r="M797" s="30"/>
      <c r="N797" s="30"/>
      <c r="O797" s="30"/>
      <c r="P797" s="30"/>
      <c r="Q797" s="30"/>
      <c r="R797" s="30"/>
      <c r="S797" s="30"/>
      <c r="T797" s="30"/>
      <c r="U797" s="30"/>
      <c r="V797" s="30"/>
      <c r="W797" s="30"/>
      <c r="X797" s="30"/>
      <c r="Y797" s="30"/>
      <c r="Z797" s="30"/>
      <c r="AA797" s="30"/>
      <c r="AB797" s="30"/>
      <c r="AC797" s="30"/>
      <c r="AD797" s="30"/>
      <c r="AE797" s="30"/>
      <c r="AF797" s="30"/>
    </row>
    <row r="798" ht="15.75" customHeight="1">
      <c r="A798" s="114"/>
      <c r="B798" s="115"/>
      <c r="C798" s="114"/>
      <c r="D798" s="114"/>
      <c r="E798" s="210"/>
      <c r="F798" s="30"/>
      <c r="G798" s="30"/>
      <c r="H798" s="30"/>
      <c r="I798" s="30"/>
      <c r="J798" s="30"/>
      <c r="K798" s="30"/>
      <c r="L798" s="30"/>
      <c r="M798" s="30"/>
      <c r="N798" s="30"/>
      <c r="O798" s="30"/>
      <c r="P798" s="30"/>
      <c r="Q798" s="30"/>
      <c r="R798" s="30"/>
      <c r="S798" s="30"/>
      <c r="T798" s="30"/>
      <c r="U798" s="30"/>
      <c r="V798" s="30"/>
      <c r="W798" s="30"/>
      <c r="X798" s="30"/>
      <c r="Y798" s="30"/>
      <c r="Z798" s="30"/>
      <c r="AA798" s="30"/>
      <c r="AB798" s="30"/>
      <c r="AC798" s="30"/>
      <c r="AD798" s="30"/>
      <c r="AE798" s="30"/>
      <c r="AF798" s="30"/>
    </row>
    <row r="799" ht="15.75" customHeight="1">
      <c r="A799" s="114"/>
      <c r="B799" s="115"/>
      <c r="C799" s="114"/>
      <c r="D799" s="114"/>
      <c r="E799" s="210"/>
      <c r="F799" s="30"/>
      <c r="G799" s="30"/>
      <c r="H799" s="30"/>
      <c r="I799" s="30"/>
      <c r="J799" s="30"/>
      <c r="K799" s="30"/>
      <c r="L799" s="30"/>
      <c r="M799" s="30"/>
      <c r="N799" s="30"/>
      <c r="O799" s="30"/>
      <c r="P799" s="30"/>
      <c r="Q799" s="30"/>
      <c r="R799" s="30"/>
      <c r="S799" s="30"/>
      <c r="T799" s="30"/>
      <c r="U799" s="30"/>
      <c r="V799" s="30"/>
      <c r="W799" s="30"/>
      <c r="X799" s="30"/>
      <c r="Y799" s="30"/>
      <c r="Z799" s="30"/>
      <c r="AA799" s="30"/>
      <c r="AB799" s="30"/>
      <c r="AC799" s="30"/>
      <c r="AD799" s="30"/>
      <c r="AE799" s="30"/>
      <c r="AF799" s="30"/>
    </row>
    <row r="800" ht="15.75" customHeight="1">
      <c r="A800" s="114"/>
      <c r="B800" s="115"/>
      <c r="C800" s="114"/>
      <c r="D800" s="114"/>
      <c r="E800" s="210"/>
      <c r="F800" s="30"/>
      <c r="G800" s="30"/>
      <c r="H800" s="30"/>
      <c r="I800" s="30"/>
      <c r="J800" s="30"/>
      <c r="K800" s="30"/>
      <c r="L800" s="30"/>
      <c r="M800" s="30"/>
      <c r="N800" s="30"/>
      <c r="O800" s="30"/>
      <c r="P800" s="30"/>
      <c r="Q800" s="30"/>
      <c r="R800" s="30"/>
      <c r="S800" s="30"/>
      <c r="T800" s="30"/>
      <c r="U800" s="30"/>
      <c r="V800" s="30"/>
      <c r="W800" s="30"/>
      <c r="X800" s="30"/>
      <c r="Y800" s="30"/>
      <c r="Z800" s="30"/>
      <c r="AA800" s="30"/>
      <c r="AB800" s="30"/>
      <c r="AC800" s="30"/>
      <c r="AD800" s="30"/>
      <c r="AE800" s="30"/>
      <c r="AF800" s="30"/>
    </row>
    <row r="801" ht="15.75" customHeight="1">
      <c r="A801" s="114"/>
      <c r="B801" s="115"/>
      <c r="C801" s="114"/>
      <c r="D801" s="114"/>
      <c r="E801" s="210"/>
      <c r="F801" s="30"/>
      <c r="G801" s="30"/>
      <c r="H801" s="30"/>
      <c r="I801" s="30"/>
      <c r="J801" s="30"/>
      <c r="K801" s="30"/>
      <c r="L801" s="30"/>
      <c r="M801" s="30"/>
      <c r="N801" s="30"/>
      <c r="O801" s="30"/>
      <c r="P801" s="30"/>
      <c r="Q801" s="30"/>
      <c r="R801" s="30"/>
      <c r="S801" s="30"/>
      <c r="T801" s="30"/>
      <c r="U801" s="30"/>
      <c r="V801" s="30"/>
      <c r="W801" s="30"/>
      <c r="X801" s="30"/>
      <c r="Y801" s="30"/>
      <c r="Z801" s="30"/>
      <c r="AA801" s="30"/>
      <c r="AB801" s="30"/>
      <c r="AC801" s="30"/>
      <c r="AD801" s="30"/>
      <c r="AE801" s="30"/>
      <c r="AF801" s="30"/>
    </row>
    <row r="802" ht="15.75" customHeight="1">
      <c r="A802" s="114"/>
      <c r="B802" s="115"/>
      <c r="C802" s="114"/>
      <c r="D802" s="114"/>
      <c r="E802" s="210"/>
      <c r="F802" s="30"/>
      <c r="G802" s="30"/>
      <c r="H802" s="30"/>
      <c r="I802" s="30"/>
      <c r="J802" s="30"/>
      <c r="K802" s="30"/>
      <c r="L802" s="30"/>
      <c r="M802" s="30"/>
      <c r="N802" s="30"/>
      <c r="O802" s="30"/>
      <c r="P802" s="30"/>
      <c r="Q802" s="30"/>
      <c r="R802" s="30"/>
      <c r="S802" s="30"/>
      <c r="T802" s="30"/>
      <c r="U802" s="30"/>
      <c r="V802" s="30"/>
      <c r="W802" s="30"/>
      <c r="X802" s="30"/>
      <c r="Y802" s="30"/>
      <c r="Z802" s="30"/>
      <c r="AA802" s="30"/>
      <c r="AB802" s="30"/>
      <c r="AC802" s="30"/>
      <c r="AD802" s="30"/>
      <c r="AE802" s="30"/>
      <c r="AF802" s="30"/>
    </row>
    <row r="803" ht="15.75" customHeight="1">
      <c r="A803" s="114"/>
      <c r="B803" s="115"/>
      <c r="C803" s="114"/>
      <c r="D803" s="114"/>
      <c r="E803" s="210"/>
      <c r="F803" s="30"/>
      <c r="G803" s="30"/>
      <c r="H803" s="30"/>
      <c r="I803" s="30"/>
      <c r="J803" s="30"/>
      <c r="K803" s="30"/>
      <c r="L803" s="30"/>
      <c r="M803" s="30"/>
      <c r="N803" s="30"/>
      <c r="O803" s="30"/>
      <c r="P803" s="30"/>
      <c r="Q803" s="30"/>
      <c r="R803" s="30"/>
      <c r="S803" s="30"/>
      <c r="T803" s="30"/>
      <c r="U803" s="30"/>
      <c r="V803" s="30"/>
      <c r="W803" s="30"/>
      <c r="X803" s="30"/>
      <c r="Y803" s="30"/>
      <c r="Z803" s="30"/>
      <c r="AA803" s="30"/>
      <c r="AB803" s="30"/>
      <c r="AC803" s="30"/>
      <c r="AD803" s="30"/>
      <c r="AE803" s="30"/>
      <c r="AF803" s="30"/>
    </row>
    <row r="804" ht="15.75" customHeight="1">
      <c r="A804" s="114"/>
      <c r="B804" s="115"/>
      <c r="C804" s="114"/>
      <c r="D804" s="114"/>
      <c r="E804" s="210"/>
      <c r="F804" s="30"/>
      <c r="G804" s="30"/>
      <c r="H804" s="30"/>
      <c r="I804" s="30"/>
      <c r="J804" s="30"/>
      <c r="K804" s="30"/>
      <c r="L804" s="30"/>
      <c r="M804" s="30"/>
      <c r="N804" s="30"/>
      <c r="O804" s="30"/>
      <c r="P804" s="30"/>
      <c r="Q804" s="30"/>
      <c r="R804" s="30"/>
      <c r="S804" s="30"/>
      <c r="T804" s="30"/>
      <c r="U804" s="30"/>
      <c r="V804" s="30"/>
      <c r="W804" s="30"/>
      <c r="X804" s="30"/>
      <c r="Y804" s="30"/>
      <c r="Z804" s="30"/>
      <c r="AA804" s="30"/>
      <c r="AB804" s="30"/>
      <c r="AC804" s="30"/>
      <c r="AD804" s="30"/>
      <c r="AE804" s="30"/>
      <c r="AF804" s="30"/>
    </row>
    <row r="805" ht="15.75" customHeight="1">
      <c r="A805" s="114"/>
      <c r="B805" s="115"/>
      <c r="C805" s="114"/>
      <c r="D805" s="114"/>
      <c r="E805" s="210"/>
      <c r="F805" s="30"/>
      <c r="G805" s="30"/>
      <c r="H805" s="30"/>
      <c r="I805" s="30"/>
      <c r="J805" s="30"/>
      <c r="K805" s="30"/>
      <c r="L805" s="30"/>
      <c r="M805" s="30"/>
      <c r="N805" s="30"/>
      <c r="O805" s="30"/>
      <c r="P805" s="30"/>
      <c r="Q805" s="30"/>
      <c r="R805" s="30"/>
      <c r="S805" s="30"/>
      <c r="T805" s="30"/>
      <c r="U805" s="30"/>
      <c r="V805" s="30"/>
      <c r="W805" s="30"/>
      <c r="X805" s="30"/>
      <c r="Y805" s="30"/>
      <c r="Z805" s="30"/>
      <c r="AA805" s="30"/>
      <c r="AB805" s="30"/>
      <c r="AC805" s="30"/>
      <c r="AD805" s="30"/>
      <c r="AE805" s="30"/>
      <c r="AF805" s="30"/>
    </row>
    <row r="806" ht="15.75" customHeight="1">
      <c r="A806" s="114"/>
      <c r="B806" s="115"/>
      <c r="C806" s="114"/>
      <c r="D806" s="114"/>
      <c r="E806" s="210"/>
      <c r="F806" s="30"/>
      <c r="G806" s="30"/>
      <c r="H806" s="30"/>
      <c r="I806" s="30"/>
      <c r="J806" s="30"/>
      <c r="K806" s="30"/>
      <c r="L806" s="30"/>
      <c r="M806" s="30"/>
      <c r="N806" s="30"/>
      <c r="O806" s="30"/>
      <c r="P806" s="30"/>
      <c r="Q806" s="30"/>
      <c r="R806" s="30"/>
      <c r="S806" s="30"/>
      <c r="T806" s="30"/>
      <c r="U806" s="30"/>
      <c r="V806" s="30"/>
      <c r="W806" s="30"/>
      <c r="X806" s="30"/>
      <c r="Y806" s="30"/>
      <c r="Z806" s="30"/>
      <c r="AA806" s="30"/>
      <c r="AB806" s="30"/>
      <c r="AC806" s="30"/>
      <c r="AD806" s="30"/>
      <c r="AE806" s="30"/>
      <c r="AF806" s="30"/>
    </row>
    <row r="807" ht="15.75" customHeight="1">
      <c r="A807" s="114"/>
      <c r="B807" s="115"/>
      <c r="C807" s="114"/>
      <c r="D807" s="114"/>
      <c r="E807" s="210"/>
      <c r="F807" s="30"/>
      <c r="G807" s="30"/>
      <c r="H807" s="30"/>
      <c r="I807" s="30"/>
      <c r="J807" s="30"/>
      <c r="K807" s="30"/>
      <c r="L807" s="30"/>
      <c r="M807" s="30"/>
      <c r="N807" s="30"/>
      <c r="O807" s="30"/>
      <c r="P807" s="30"/>
      <c r="Q807" s="30"/>
      <c r="R807" s="30"/>
      <c r="S807" s="30"/>
      <c r="T807" s="30"/>
      <c r="U807" s="30"/>
      <c r="V807" s="30"/>
      <c r="W807" s="30"/>
      <c r="X807" s="30"/>
      <c r="Y807" s="30"/>
      <c r="Z807" s="30"/>
      <c r="AA807" s="30"/>
      <c r="AB807" s="30"/>
      <c r="AC807" s="30"/>
      <c r="AD807" s="30"/>
      <c r="AE807" s="30"/>
      <c r="AF807" s="30"/>
    </row>
    <row r="808" ht="15.75" customHeight="1">
      <c r="A808" s="114"/>
      <c r="B808" s="115"/>
      <c r="C808" s="114"/>
      <c r="D808" s="114"/>
      <c r="E808" s="210"/>
      <c r="F808" s="30"/>
      <c r="G808" s="30"/>
      <c r="H808" s="30"/>
      <c r="I808" s="30"/>
      <c r="J808" s="30"/>
      <c r="K808" s="30"/>
      <c r="L808" s="30"/>
      <c r="M808" s="30"/>
      <c r="N808" s="30"/>
      <c r="O808" s="30"/>
      <c r="P808" s="30"/>
      <c r="Q808" s="30"/>
      <c r="R808" s="30"/>
      <c r="S808" s="30"/>
      <c r="T808" s="30"/>
      <c r="U808" s="30"/>
      <c r="V808" s="30"/>
      <c r="W808" s="30"/>
      <c r="X808" s="30"/>
      <c r="Y808" s="30"/>
      <c r="Z808" s="30"/>
      <c r="AA808" s="30"/>
      <c r="AB808" s="30"/>
      <c r="AC808" s="30"/>
      <c r="AD808" s="30"/>
      <c r="AE808" s="30"/>
      <c r="AF808" s="30"/>
    </row>
    <row r="809" ht="15.75" customHeight="1">
      <c r="A809" s="114"/>
      <c r="B809" s="115"/>
      <c r="C809" s="114"/>
      <c r="D809" s="114"/>
      <c r="E809" s="210"/>
      <c r="F809" s="30"/>
      <c r="G809" s="30"/>
      <c r="H809" s="30"/>
      <c r="I809" s="30"/>
      <c r="J809" s="30"/>
      <c r="K809" s="30"/>
      <c r="L809" s="30"/>
      <c r="M809" s="30"/>
      <c r="N809" s="30"/>
      <c r="O809" s="30"/>
      <c r="P809" s="30"/>
      <c r="Q809" s="30"/>
      <c r="R809" s="30"/>
      <c r="S809" s="30"/>
      <c r="T809" s="30"/>
      <c r="U809" s="30"/>
      <c r="V809" s="30"/>
      <c r="W809" s="30"/>
      <c r="X809" s="30"/>
      <c r="Y809" s="30"/>
      <c r="Z809" s="30"/>
      <c r="AA809" s="30"/>
      <c r="AB809" s="30"/>
      <c r="AC809" s="30"/>
      <c r="AD809" s="30"/>
      <c r="AE809" s="30"/>
      <c r="AF809" s="30"/>
    </row>
    <row r="810" ht="15.75" customHeight="1">
      <c r="A810" s="114"/>
      <c r="B810" s="115"/>
      <c r="C810" s="114"/>
      <c r="D810" s="114"/>
      <c r="E810" s="210"/>
      <c r="F810" s="30"/>
      <c r="G810" s="30"/>
      <c r="H810" s="30"/>
      <c r="I810" s="30"/>
      <c r="J810" s="30"/>
      <c r="K810" s="30"/>
      <c r="L810" s="30"/>
      <c r="M810" s="30"/>
      <c r="N810" s="30"/>
      <c r="O810" s="30"/>
      <c r="P810" s="30"/>
      <c r="Q810" s="30"/>
      <c r="R810" s="30"/>
      <c r="S810" s="30"/>
      <c r="T810" s="30"/>
      <c r="U810" s="30"/>
      <c r="V810" s="30"/>
      <c r="W810" s="30"/>
      <c r="X810" s="30"/>
      <c r="Y810" s="30"/>
      <c r="Z810" s="30"/>
      <c r="AA810" s="30"/>
      <c r="AB810" s="30"/>
      <c r="AC810" s="30"/>
      <c r="AD810" s="30"/>
      <c r="AE810" s="30"/>
      <c r="AF810" s="30"/>
    </row>
    <row r="811" ht="15.75" customHeight="1">
      <c r="A811" s="114"/>
      <c r="B811" s="115"/>
      <c r="C811" s="114"/>
      <c r="D811" s="114"/>
      <c r="E811" s="210"/>
      <c r="F811" s="30"/>
      <c r="G811" s="30"/>
      <c r="H811" s="30"/>
      <c r="I811" s="30"/>
      <c r="J811" s="30"/>
      <c r="K811" s="30"/>
      <c r="L811" s="30"/>
      <c r="M811" s="30"/>
      <c r="N811" s="30"/>
      <c r="O811" s="30"/>
      <c r="P811" s="30"/>
      <c r="Q811" s="30"/>
      <c r="R811" s="30"/>
      <c r="S811" s="30"/>
      <c r="T811" s="30"/>
      <c r="U811" s="30"/>
      <c r="V811" s="30"/>
      <c r="W811" s="30"/>
      <c r="X811" s="30"/>
      <c r="Y811" s="30"/>
      <c r="Z811" s="30"/>
      <c r="AA811" s="30"/>
      <c r="AB811" s="30"/>
      <c r="AC811" s="30"/>
      <c r="AD811" s="30"/>
      <c r="AE811" s="30"/>
      <c r="AF811" s="30"/>
    </row>
    <row r="812" ht="15.75" customHeight="1">
      <c r="A812" s="114"/>
      <c r="B812" s="115"/>
      <c r="C812" s="114"/>
      <c r="D812" s="114"/>
      <c r="E812" s="210"/>
      <c r="F812" s="30"/>
      <c r="G812" s="30"/>
      <c r="H812" s="30"/>
      <c r="I812" s="30"/>
      <c r="J812" s="30"/>
      <c r="K812" s="30"/>
      <c r="L812" s="30"/>
      <c r="M812" s="30"/>
      <c r="N812" s="30"/>
      <c r="O812" s="30"/>
      <c r="P812" s="30"/>
      <c r="Q812" s="30"/>
      <c r="R812" s="30"/>
      <c r="S812" s="30"/>
      <c r="T812" s="30"/>
      <c r="U812" s="30"/>
      <c r="V812" s="30"/>
      <c r="W812" s="30"/>
      <c r="X812" s="30"/>
      <c r="Y812" s="30"/>
      <c r="Z812" s="30"/>
      <c r="AA812" s="30"/>
      <c r="AB812" s="30"/>
      <c r="AC812" s="30"/>
      <c r="AD812" s="30"/>
      <c r="AE812" s="30"/>
      <c r="AF812" s="30"/>
    </row>
    <row r="813" ht="15.75" customHeight="1">
      <c r="A813" s="114"/>
      <c r="B813" s="115"/>
      <c r="C813" s="114"/>
      <c r="D813" s="114"/>
      <c r="E813" s="210"/>
      <c r="F813" s="30"/>
      <c r="G813" s="30"/>
      <c r="H813" s="30"/>
      <c r="I813" s="30"/>
      <c r="J813" s="30"/>
      <c r="K813" s="30"/>
      <c r="L813" s="30"/>
      <c r="M813" s="30"/>
      <c r="N813" s="30"/>
      <c r="O813" s="30"/>
      <c r="P813" s="30"/>
      <c r="Q813" s="30"/>
      <c r="R813" s="30"/>
      <c r="S813" s="30"/>
      <c r="T813" s="30"/>
      <c r="U813" s="30"/>
      <c r="V813" s="30"/>
      <c r="W813" s="30"/>
      <c r="X813" s="30"/>
      <c r="Y813" s="30"/>
      <c r="Z813" s="30"/>
      <c r="AA813" s="30"/>
      <c r="AB813" s="30"/>
      <c r="AC813" s="30"/>
      <c r="AD813" s="30"/>
      <c r="AE813" s="30"/>
      <c r="AF813" s="30"/>
    </row>
    <row r="814" ht="15.75" customHeight="1">
      <c r="A814" s="114"/>
      <c r="B814" s="115"/>
      <c r="C814" s="114"/>
      <c r="D814" s="114"/>
      <c r="E814" s="210"/>
      <c r="F814" s="30"/>
      <c r="G814" s="30"/>
      <c r="H814" s="30"/>
      <c r="I814" s="30"/>
      <c r="J814" s="30"/>
      <c r="K814" s="30"/>
      <c r="L814" s="30"/>
      <c r="M814" s="30"/>
      <c r="N814" s="30"/>
      <c r="O814" s="30"/>
      <c r="P814" s="30"/>
      <c r="Q814" s="30"/>
      <c r="R814" s="30"/>
      <c r="S814" s="30"/>
      <c r="T814" s="30"/>
      <c r="U814" s="30"/>
      <c r="V814" s="30"/>
      <c r="W814" s="30"/>
      <c r="X814" s="30"/>
      <c r="Y814" s="30"/>
      <c r="Z814" s="30"/>
      <c r="AA814" s="30"/>
      <c r="AB814" s="30"/>
      <c r="AC814" s="30"/>
      <c r="AD814" s="30"/>
      <c r="AE814" s="30"/>
      <c r="AF814" s="30"/>
    </row>
    <row r="815" ht="15.75" customHeight="1">
      <c r="A815" s="114"/>
      <c r="B815" s="115"/>
      <c r="C815" s="114"/>
      <c r="D815" s="114"/>
      <c r="E815" s="210"/>
      <c r="F815" s="30"/>
      <c r="G815" s="30"/>
      <c r="H815" s="30"/>
      <c r="I815" s="30"/>
      <c r="J815" s="30"/>
      <c r="K815" s="30"/>
      <c r="L815" s="30"/>
      <c r="M815" s="30"/>
      <c r="N815" s="30"/>
      <c r="O815" s="30"/>
      <c r="P815" s="30"/>
      <c r="Q815" s="30"/>
      <c r="R815" s="30"/>
      <c r="S815" s="30"/>
      <c r="T815" s="30"/>
      <c r="U815" s="30"/>
      <c r="V815" s="30"/>
      <c r="W815" s="30"/>
      <c r="X815" s="30"/>
      <c r="Y815" s="30"/>
      <c r="Z815" s="30"/>
      <c r="AA815" s="30"/>
      <c r="AB815" s="30"/>
      <c r="AC815" s="30"/>
      <c r="AD815" s="30"/>
      <c r="AE815" s="30"/>
      <c r="AF815" s="30"/>
    </row>
    <row r="816" ht="15.75" customHeight="1">
      <c r="A816" s="114"/>
      <c r="B816" s="115"/>
      <c r="C816" s="114"/>
      <c r="D816" s="114"/>
      <c r="E816" s="210"/>
      <c r="F816" s="30"/>
      <c r="G816" s="30"/>
      <c r="H816" s="30"/>
      <c r="I816" s="30"/>
      <c r="J816" s="30"/>
      <c r="K816" s="30"/>
      <c r="L816" s="30"/>
      <c r="M816" s="30"/>
      <c r="N816" s="30"/>
      <c r="O816" s="30"/>
      <c r="P816" s="30"/>
      <c r="Q816" s="30"/>
      <c r="R816" s="30"/>
      <c r="S816" s="30"/>
      <c r="T816" s="30"/>
      <c r="U816" s="30"/>
      <c r="V816" s="30"/>
      <c r="W816" s="30"/>
      <c r="X816" s="30"/>
      <c r="Y816" s="30"/>
      <c r="Z816" s="30"/>
      <c r="AA816" s="30"/>
      <c r="AB816" s="30"/>
      <c r="AC816" s="30"/>
      <c r="AD816" s="30"/>
      <c r="AE816" s="30"/>
      <c r="AF816" s="30"/>
    </row>
    <row r="817" ht="15.75" customHeight="1">
      <c r="A817" s="114"/>
      <c r="B817" s="115"/>
      <c r="C817" s="114"/>
      <c r="D817" s="114"/>
      <c r="E817" s="210"/>
      <c r="F817" s="30"/>
      <c r="G817" s="30"/>
      <c r="H817" s="30"/>
      <c r="I817" s="30"/>
      <c r="J817" s="30"/>
      <c r="K817" s="30"/>
      <c r="L817" s="30"/>
      <c r="M817" s="30"/>
      <c r="N817" s="30"/>
      <c r="O817" s="30"/>
      <c r="P817" s="30"/>
      <c r="Q817" s="30"/>
      <c r="R817" s="30"/>
      <c r="S817" s="30"/>
      <c r="T817" s="30"/>
      <c r="U817" s="30"/>
      <c r="V817" s="30"/>
      <c r="W817" s="30"/>
      <c r="X817" s="30"/>
      <c r="Y817" s="30"/>
      <c r="Z817" s="30"/>
      <c r="AA817" s="30"/>
      <c r="AB817" s="30"/>
      <c r="AC817" s="30"/>
      <c r="AD817" s="30"/>
      <c r="AE817" s="30"/>
      <c r="AF817" s="30"/>
    </row>
    <row r="818" ht="15.75" customHeight="1">
      <c r="A818" s="114"/>
      <c r="B818" s="115"/>
      <c r="C818" s="114"/>
      <c r="D818" s="114"/>
      <c r="E818" s="210"/>
      <c r="F818" s="30"/>
      <c r="G818" s="30"/>
      <c r="H818" s="30"/>
      <c r="I818" s="30"/>
      <c r="J818" s="30"/>
      <c r="K818" s="30"/>
      <c r="L818" s="30"/>
      <c r="M818" s="30"/>
      <c r="N818" s="30"/>
      <c r="O818" s="30"/>
      <c r="P818" s="30"/>
      <c r="Q818" s="30"/>
      <c r="R818" s="30"/>
      <c r="S818" s="30"/>
      <c r="T818" s="30"/>
      <c r="U818" s="30"/>
      <c r="V818" s="30"/>
      <c r="W818" s="30"/>
      <c r="X818" s="30"/>
      <c r="Y818" s="30"/>
      <c r="Z818" s="30"/>
      <c r="AA818" s="30"/>
      <c r="AB818" s="30"/>
      <c r="AC818" s="30"/>
      <c r="AD818" s="30"/>
      <c r="AE818" s="30"/>
      <c r="AF818" s="30"/>
    </row>
    <row r="819" ht="15.75" customHeight="1">
      <c r="A819" s="114"/>
      <c r="B819" s="115"/>
      <c r="C819" s="114"/>
      <c r="D819" s="114"/>
      <c r="E819" s="210"/>
      <c r="F819" s="30"/>
      <c r="G819" s="30"/>
      <c r="H819" s="30"/>
      <c r="I819" s="30"/>
      <c r="J819" s="30"/>
      <c r="K819" s="30"/>
      <c r="L819" s="30"/>
      <c r="M819" s="30"/>
      <c r="N819" s="30"/>
      <c r="O819" s="30"/>
      <c r="P819" s="30"/>
      <c r="Q819" s="30"/>
      <c r="R819" s="30"/>
      <c r="S819" s="30"/>
      <c r="T819" s="30"/>
      <c r="U819" s="30"/>
      <c r="V819" s="30"/>
      <c r="W819" s="30"/>
      <c r="X819" s="30"/>
      <c r="Y819" s="30"/>
      <c r="Z819" s="30"/>
      <c r="AA819" s="30"/>
      <c r="AB819" s="30"/>
      <c r="AC819" s="30"/>
      <c r="AD819" s="30"/>
      <c r="AE819" s="30"/>
      <c r="AF819" s="30"/>
    </row>
    <row r="820" ht="15.75" customHeight="1">
      <c r="A820" s="114"/>
      <c r="B820" s="115"/>
      <c r="C820" s="114"/>
      <c r="D820" s="114"/>
      <c r="E820" s="210"/>
      <c r="F820" s="30"/>
      <c r="G820" s="30"/>
      <c r="H820" s="30"/>
      <c r="I820" s="30"/>
      <c r="J820" s="30"/>
      <c r="K820" s="30"/>
      <c r="L820" s="30"/>
      <c r="M820" s="30"/>
      <c r="N820" s="30"/>
      <c r="O820" s="30"/>
      <c r="P820" s="30"/>
      <c r="Q820" s="30"/>
      <c r="R820" s="30"/>
      <c r="S820" s="30"/>
      <c r="T820" s="30"/>
      <c r="U820" s="30"/>
      <c r="V820" s="30"/>
      <c r="W820" s="30"/>
      <c r="X820" s="30"/>
      <c r="Y820" s="30"/>
      <c r="Z820" s="30"/>
      <c r="AA820" s="30"/>
      <c r="AB820" s="30"/>
      <c r="AC820" s="30"/>
      <c r="AD820" s="30"/>
      <c r="AE820" s="30"/>
      <c r="AF820" s="30"/>
    </row>
    <row r="821" ht="15.75" customHeight="1">
      <c r="A821" s="114"/>
      <c r="B821" s="115"/>
      <c r="C821" s="114"/>
      <c r="D821" s="114"/>
      <c r="E821" s="210"/>
      <c r="F821" s="30"/>
      <c r="G821" s="30"/>
      <c r="H821" s="30"/>
      <c r="I821" s="30"/>
      <c r="J821" s="30"/>
      <c r="K821" s="30"/>
      <c r="L821" s="30"/>
      <c r="M821" s="30"/>
      <c r="N821" s="30"/>
      <c r="O821" s="30"/>
      <c r="P821" s="30"/>
      <c r="Q821" s="30"/>
      <c r="R821" s="30"/>
      <c r="S821" s="30"/>
      <c r="T821" s="30"/>
      <c r="U821" s="30"/>
      <c r="V821" s="30"/>
      <c r="W821" s="30"/>
      <c r="X821" s="30"/>
      <c r="Y821" s="30"/>
      <c r="Z821" s="30"/>
      <c r="AA821" s="30"/>
      <c r="AB821" s="30"/>
      <c r="AC821" s="30"/>
      <c r="AD821" s="30"/>
      <c r="AE821" s="30"/>
      <c r="AF821" s="30"/>
    </row>
    <row r="822" ht="15.75" customHeight="1">
      <c r="A822" s="114"/>
      <c r="B822" s="115"/>
      <c r="C822" s="114"/>
      <c r="D822" s="114"/>
      <c r="E822" s="210"/>
      <c r="F822" s="30"/>
      <c r="G822" s="30"/>
      <c r="H822" s="30"/>
      <c r="I822" s="30"/>
      <c r="J822" s="30"/>
      <c r="K822" s="30"/>
      <c r="L822" s="30"/>
      <c r="M822" s="30"/>
      <c r="N822" s="30"/>
      <c r="O822" s="30"/>
      <c r="P822" s="30"/>
      <c r="Q822" s="30"/>
      <c r="R822" s="30"/>
      <c r="S822" s="30"/>
      <c r="T822" s="30"/>
      <c r="U822" s="30"/>
      <c r="V822" s="30"/>
      <c r="W822" s="30"/>
      <c r="X822" s="30"/>
      <c r="Y822" s="30"/>
      <c r="Z822" s="30"/>
      <c r="AA822" s="30"/>
      <c r="AB822" s="30"/>
      <c r="AC822" s="30"/>
      <c r="AD822" s="30"/>
      <c r="AE822" s="30"/>
      <c r="AF822" s="30"/>
    </row>
    <row r="823" ht="15.75" customHeight="1">
      <c r="A823" s="114"/>
      <c r="B823" s="115"/>
      <c r="C823" s="114"/>
      <c r="D823" s="114"/>
      <c r="E823" s="210"/>
      <c r="F823" s="30"/>
      <c r="G823" s="30"/>
      <c r="H823" s="30"/>
      <c r="I823" s="30"/>
      <c r="J823" s="30"/>
      <c r="K823" s="30"/>
      <c r="L823" s="30"/>
      <c r="M823" s="30"/>
      <c r="N823" s="30"/>
      <c r="O823" s="30"/>
      <c r="P823" s="30"/>
      <c r="Q823" s="30"/>
      <c r="R823" s="30"/>
      <c r="S823" s="30"/>
      <c r="T823" s="30"/>
      <c r="U823" s="30"/>
      <c r="V823" s="30"/>
      <c r="W823" s="30"/>
      <c r="X823" s="30"/>
      <c r="Y823" s="30"/>
      <c r="Z823" s="30"/>
      <c r="AA823" s="30"/>
      <c r="AB823" s="30"/>
      <c r="AC823" s="30"/>
      <c r="AD823" s="30"/>
      <c r="AE823" s="30"/>
      <c r="AF823" s="30"/>
    </row>
    <row r="824" ht="15.75" customHeight="1">
      <c r="A824" s="114"/>
      <c r="B824" s="115"/>
      <c r="C824" s="114"/>
      <c r="D824" s="114"/>
      <c r="E824" s="210"/>
      <c r="F824" s="30"/>
      <c r="G824" s="30"/>
      <c r="H824" s="30"/>
      <c r="I824" s="30"/>
      <c r="J824" s="30"/>
      <c r="K824" s="30"/>
      <c r="L824" s="30"/>
      <c r="M824" s="30"/>
      <c r="N824" s="30"/>
      <c r="O824" s="30"/>
      <c r="P824" s="30"/>
      <c r="Q824" s="30"/>
      <c r="R824" s="30"/>
      <c r="S824" s="30"/>
      <c r="T824" s="30"/>
      <c r="U824" s="30"/>
      <c r="V824" s="30"/>
      <c r="W824" s="30"/>
      <c r="X824" s="30"/>
      <c r="Y824" s="30"/>
      <c r="Z824" s="30"/>
      <c r="AA824" s="30"/>
      <c r="AB824" s="30"/>
      <c r="AC824" s="30"/>
      <c r="AD824" s="30"/>
      <c r="AE824" s="30"/>
      <c r="AF824" s="30"/>
    </row>
    <row r="825" ht="15.75" customHeight="1">
      <c r="A825" s="114"/>
      <c r="B825" s="115"/>
      <c r="C825" s="114"/>
      <c r="D825" s="114"/>
      <c r="E825" s="210"/>
      <c r="F825" s="30"/>
      <c r="G825" s="30"/>
      <c r="H825" s="30"/>
      <c r="I825" s="30"/>
      <c r="J825" s="30"/>
      <c r="K825" s="30"/>
      <c r="L825" s="30"/>
      <c r="M825" s="30"/>
      <c r="N825" s="30"/>
      <c r="O825" s="30"/>
      <c r="P825" s="30"/>
      <c r="Q825" s="30"/>
      <c r="R825" s="30"/>
      <c r="S825" s="30"/>
      <c r="T825" s="30"/>
      <c r="U825" s="30"/>
      <c r="V825" s="30"/>
      <c r="W825" s="30"/>
      <c r="X825" s="30"/>
      <c r="Y825" s="30"/>
      <c r="Z825" s="30"/>
      <c r="AA825" s="30"/>
      <c r="AB825" s="30"/>
      <c r="AC825" s="30"/>
      <c r="AD825" s="30"/>
      <c r="AE825" s="30"/>
      <c r="AF825" s="30"/>
    </row>
    <row r="826" ht="15.75" customHeight="1">
      <c r="A826" s="114"/>
      <c r="B826" s="115"/>
      <c r="C826" s="114"/>
      <c r="D826" s="114"/>
      <c r="E826" s="210"/>
      <c r="F826" s="30"/>
      <c r="G826" s="30"/>
      <c r="H826" s="30"/>
      <c r="I826" s="30"/>
      <c r="J826" s="30"/>
      <c r="K826" s="30"/>
      <c r="L826" s="30"/>
      <c r="M826" s="30"/>
      <c r="N826" s="30"/>
      <c r="O826" s="30"/>
      <c r="P826" s="30"/>
      <c r="Q826" s="30"/>
      <c r="R826" s="30"/>
      <c r="S826" s="30"/>
      <c r="T826" s="30"/>
      <c r="U826" s="30"/>
      <c r="V826" s="30"/>
      <c r="W826" s="30"/>
      <c r="X826" s="30"/>
      <c r="Y826" s="30"/>
      <c r="Z826" s="30"/>
      <c r="AA826" s="30"/>
      <c r="AB826" s="30"/>
      <c r="AC826" s="30"/>
      <c r="AD826" s="30"/>
      <c r="AE826" s="30"/>
      <c r="AF826" s="30"/>
    </row>
    <row r="827" ht="15.75" customHeight="1">
      <c r="A827" s="114"/>
      <c r="B827" s="115"/>
      <c r="C827" s="114"/>
      <c r="D827" s="114"/>
      <c r="E827" s="210"/>
      <c r="F827" s="30"/>
      <c r="G827" s="30"/>
      <c r="H827" s="30"/>
      <c r="I827" s="30"/>
      <c r="J827" s="30"/>
      <c r="K827" s="30"/>
      <c r="L827" s="30"/>
      <c r="M827" s="30"/>
      <c r="N827" s="30"/>
      <c r="O827" s="30"/>
      <c r="P827" s="30"/>
      <c r="Q827" s="30"/>
      <c r="R827" s="30"/>
      <c r="S827" s="30"/>
      <c r="T827" s="30"/>
      <c r="U827" s="30"/>
      <c r="V827" s="30"/>
      <c r="W827" s="30"/>
      <c r="X827" s="30"/>
      <c r="Y827" s="30"/>
      <c r="Z827" s="30"/>
      <c r="AA827" s="30"/>
      <c r="AB827" s="30"/>
      <c r="AC827" s="30"/>
      <c r="AD827" s="30"/>
      <c r="AE827" s="30"/>
      <c r="AF827" s="30"/>
    </row>
    <row r="828" ht="15.75" customHeight="1">
      <c r="A828" s="114"/>
      <c r="B828" s="115"/>
      <c r="C828" s="114"/>
      <c r="D828" s="114"/>
      <c r="E828" s="210"/>
      <c r="F828" s="30"/>
      <c r="G828" s="30"/>
      <c r="H828" s="30"/>
      <c r="I828" s="30"/>
      <c r="J828" s="30"/>
      <c r="K828" s="30"/>
      <c r="L828" s="30"/>
      <c r="M828" s="30"/>
      <c r="N828" s="30"/>
      <c r="O828" s="30"/>
      <c r="P828" s="30"/>
      <c r="Q828" s="30"/>
      <c r="R828" s="30"/>
      <c r="S828" s="30"/>
      <c r="T828" s="30"/>
      <c r="U828" s="30"/>
      <c r="V828" s="30"/>
      <c r="W828" s="30"/>
      <c r="X828" s="30"/>
      <c r="Y828" s="30"/>
      <c r="Z828" s="30"/>
      <c r="AA828" s="30"/>
      <c r="AB828" s="30"/>
      <c r="AC828" s="30"/>
      <c r="AD828" s="30"/>
      <c r="AE828" s="30"/>
      <c r="AF828" s="30"/>
    </row>
    <row r="829" ht="15.75" customHeight="1">
      <c r="A829" s="114"/>
      <c r="B829" s="115"/>
      <c r="C829" s="114"/>
      <c r="D829" s="114"/>
      <c r="E829" s="210"/>
      <c r="F829" s="30"/>
      <c r="G829" s="30"/>
      <c r="H829" s="30"/>
      <c r="I829" s="30"/>
      <c r="J829" s="30"/>
      <c r="K829" s="30"/>
      <c r="L829" s="30"/>
      <c r="M829" s="30"/>
      <c r="N829" s="30"/>
      <c r="O829" s="30"/>
      <c r="P829" s="30"/>
      <c r="Q829" s="30"/>
      <c r="R829" s="30"/>
      <c r="S829" s="30"/>
      <c r="T829" s="30"/>
      <c r="U829" s="30"/>
      <c r="V829" s="30"/>
      <c r="W829" s="30"/>
      <c r="X829" s="30"/>
      <c r="Y829" s="30"/>
      <c r="Z829" s="30"/>
      <c r="AA829" s="30"/>
      <c r="AB829" s="30"/>
      <c r="AC829" s="30"/>
      <c r="AD829" s="30"/>
      <c r="AE829" s="30"/>
      <c r="AF829" s="30"/>
    </row>
    <row r="830" ht="15.75" customHeight="1">
      <c r="A830" s="114"/>
      <c r="B830" s="115"/>
      <c r="C830" s="114"/>
      <c r="D830" s="114"/>
      <c r="E830" s="210"/>
      <c r="F830" s="30"/>
      <c r="G830" s="30"/>
      <c r="H830" s="30"/>
      <c r="I830" s="30"/>
      <c r="J830" s="30"/>
      <c r="K830" s="30"/>
      <c r="L830" s="30"/>
      <c r="M830" s="30"/>
      <c r="N830" s="30"/>
      <c r="O830" s="30"/>
      <c r="P830" s="30"/>
      <c r="Q830" s="30"/>
      <c r="R830" s="30"/>
      <c r="S830" s="30"/>
      <c r="T830" s="30"/>
      <c r="U830" s="30"/>
      <c r="V830" s="30"/>
      <c r="W830" s="30"/>
      <c r="X830" s="30"/>
      <c r="Y830" s="30"/>
      <c r="Z830" s="30"/>
      <c r="AA830" s="30"/>
      <c r="AB830" s="30"/>
      <c r="AC830" s="30"/>
      <c r="AD830" s="30"/>
      <c r="AE830" s="30"/>
      <c r="AF830" s="30"/>
    </row>
    <row r="831" ht="15.75" customHeight="1">
      <c r="A831" s="114"/>
      <c r="B831" s="115"/>
      <c r="C831" s="114"/>
      <c r="D831" s="114"/>
      <c r="E831" s="210"/>
      <c r="F831" s="30"/>
      <c r="G831" s="30"/>
      <c r="H831" s="30"/>
      <c r="I831" s="30"/>
      <c r="J831" s="30"/>
      <c r="K831" s="30"/>
      <c r="L831" s="30"/>
      <c r="M831" s="30"/>
      <c r="N831" s="30"/>
      <c r="O831" s="30"/>
      <c r="P831" s="30"/>
      <c r="Q831" s="30"/>
      <c r="R831" s="30"/>
      <c r="S831" s="30"/>
      <c r="T831" s="30"/>
      <c r="U831" s="30"/>
      <c r="V831" s="30"/>
      <c r="W831" s="30"/>
      <c r="X831" s="30"/>
      <c r="Y831" s="30"/>
      <c r="Z831" s="30"/>
      <c r="AA831" s="30"/>
      <c r="AB831" s="30"/>
      <c r="AC831" s="30"/>
      <c r="AD831" s="30"/>
      <c r="AE831" s="30"/>
      <c r="AF831" s="30"/>
    </row>
    <row r="832" ht="15.75" customHeight="1">
      <c r="A832" s="114"/>
      <c r="B832" s="115"/>
      <c r="C832" s="114"/>
      <c r="D832" s="114"/>
      <c r="E832" s="210"/>
      <c r="F832" s="30"/>
      <c r="G832" s="30"/>
      <c r="H832" s="30"/>
      <c r="I832" s="30"/>
      <c r="J832" s="30"/>
      <c r="K832" s="30"/>
      <c r="L832" s="30"/>
      <c r="M832" s="30"/>
      <c r="N832" s="30"/>
      <c r="O832" s="30"/>
      <c r="P832" s="30"/>
      <c r="Q832" s="30"/>
      <c r="R832" s="30"/>
      <c r="S832" s="30"/>
      <c r="T832" s="30"/>
      <c r="U832" s="30"/>
      <c r="V832" s="30"/>
      <c r="W832" s="30"/>
      <c r="X832" s="30"/>
      <c r="Y832" s="30"/>
      <c r="Z832" s="30"/>
      <c r="AA832" s="30"/>
      <c r="AB832" s="30"/>
      <c r="AC832" s="30"/>
      <c r="AD832" s="30"/>
      <c r="AE832" s="30"/>
      <c r="AF832" s="30"/>
    </row>
    <row r="833" ht="15.75" customHeight="1">
      <c r="A833" s="114"/>
      <c r="B833" s="115"/>
      <c r="C833" s="114"/>
      <c r="D833" s="114"/>
      <c r="E833" s="210"/>
      <c r="F833" s="30"/>
      <c r="G833" s="30"/>
      <c r="H833" s="30"/>
      <c r="I833" s="30"/>
      <c r="J833" s="30"/>
      <c r="K833" s="30"/>
      <c r="L833" s="30"/>
      <c r="M833" s="30"/>
      <c r="N833" s="30"/>
      <c r="O833" s="30"/>
      <c r="P833" s="30"/>
      <c r="Q833" s="30"/>
      <c r="R833" s="30"/>
      <c r="S833" s="30"/>
      <c r="T833" s="30"/>
      <c r="U833" s="30"/>
      <c r="V833" s="30"/>
      <c r="W833" s="30"/>
      <c r="X833" s="30"/>
      <c r="Y833" s="30"/>
      <c r="Z833" s="30"/>
      <c r="AA833" s="30"/>
      <c r="AB833" s="30"/>
      <c r="AC833" s="30"/>
      <c r="AD833" s="30"/>
      <c r="AE833" s="30"/>
      <c r="AF833" s="30"/>
    </row>
    <row r="834" ht="15.75" customHeight="1">
      <c r="A834" s="114"/>
      <c r="B834" s="115"/>
      <c r="C834" s="114"/>
      <c r="D834" s="114"/>
      <c r="E834" s="210"/>
      <c r="F834" s="30"/>
      <c r="G834" s="30"/>
      <c r="H834" s="30"/>
      <c r="I834" s="30"/>
      <c r="J834" s="30"/>
      <c r="K834" s="30"/>
      <c r="L834" s="30"/>
      <c r="M834" s="30"/>
      <c r="N834" s="30"/>
      <c r="O834" s="30"/>
      <c r="P834" s="30"/>
      <c r="Q834" s="30"/>
      <c r="R834" s="30"/>
      <c r="S834" s="30"/>
      <c r="T834" s="30"/>
      <c r="U834" s="30"/>
      <c r="V834" s="30"/>
      <c r="W834" s="30"/>
      <c r="X834" s="30"/>
      <c r="Y834" s="30"/>
      <c r="Z834" s="30"/>
      <c r="AA834" s="30"/>
      <c r="AB834" s="30"/>
      <c r="AC834" s="30"/>
      <c r="AD834" s="30"/>
      <c r="AE834" s="30"/>
      <c r="AF834" s="30"/>
    </row>
    <row r="835" ht="15.75" customHeight="1">
      <c r="A835" s="114"/>
      <c r="B835" s="115"/>
      <c r="C835" s="114"/>
      <c r="D835" s="114"/>
      <c r="E835" s="210"/>
      <c r="F835" s="30"/>
      <c r="G835" s="30"/>
      <c r="H835" s="30"/>
      <c r="I835" s="30"/>
      <c r="J835" s="30"/>
      <c r="K835" s="30"/>
      <c r="L835" s="30"/>
      <c r="M835" s="30"/>
      <c r="N835" s="30"/>
      <c r="O835" s="30"/>
      <c r="P835" s="30"/>
      <c r="Q835" s="30"/>
      <c r="R835" s="30"/>
      <c r="S835" s="30"/>
      <c r="T835" s="30"/>
      <c r="U835" s="30"/>
      <c r="V835" s="30"/>
      <c r="W835" s="30"/>
      <c r="X835" s="30"/>
      <c r="Y835" s="30"/>
      <c r="Z835" s="30"/>
      <c r="AA835" s="30"/>
      <c r="AB835" s="30"/>
      <c r="AC835" s="30"/>
      <c r="AD835" s="30"/>
      <c r="AE835" s="30"/>
      <c r="AF835" s="30"/>
    </row>
    <row r="836" ht="15.75" customHeight="1">
      <c r="A836" s="114"/>
      <c r="B836" s="115"/>
      <c r="C836" s="114"/>
      <c r="D836" s="114"/>
      <c r="E836" s="210"/>
      <c r="F836" s="30"/>
      <c r="G836" s="30"/>
      <c r="H836" s="30"/>
      <c r="I836" s="30"/>
      <c r="J836" s="30"/>
      <c r="K836" s="30"/>
      <c r="L836" s="30"/>
      <c r="M836" s="30"/>
      <c r="N836" s="30"/>
      <c r="O836" s="30"/>
      <c r="P836" s="30"/>
      <c r="Q836" s="30"/>
      <c r="R836" s="30"/>
      <c r="S836" s="30"/>
      <c r="T836" s="30"/>
      <c r="U836" s="30"/>
      <c r="V836" s="30"/>
      <c r="W836" s="30"/>
      <c r="X836" s="30"/>
      <c r="Y836" s="30"/>
      <c r="Z836" s="30"/>
      <c r="AA836" s="30"/>
      <c r="AB836" s="30"/>
      <c r="AC836" s="30"/>
      <c r="AD836" s="30"/>
      <c r="AE836" s="30"/>
      <c r="AF836" s="30"/>
    </row>
    <row r="837" ht="15.75" customHeight="1">
      <c r="A837" s="114"/>
      <c r="B837" s="115"/>
      <c r="C837" s="114"/>
      <c r="D837" s="114"/>
      <c r="E837" s="210"/>
      <c r="F837" s="30"/>
      <c r="G837" s="30"/>
      <c r="H837" s="30"/>
      <c r="I837" s="30"/>
      <c r="J837" s="30"/>
      <c r="K837" s="30"/>
      <c r="L837" s="30"/>
      <c r="M837" s="30"/>
      <c r="N837" s="30"/>
      <c r="O837" s="30"/>
      <c r="P837" s="30"/>
      <c r="Q837" s="30"/>
      <c r="R837" s="30"/>
      <c r="S837" s="30"/>
      <c r="T837" s="30"/>
      <c r="U837" s="30"/>
      <c r="V837" s="30"/>
      <c r="W837" s="30"/>
      <c r="X837" s="30"/>
      <c r="Y837" s="30"/>
      <c r="Z837" s="30"/>
      <c r="AA837" s="30"/>
      <c r="AB837" s="30"/>
      <c r="AC837" s="30"/>
      <c r="AD837" s="30"/>
      <c r="AE837" s="30"/>
      <c r="AF837" s="30"/>
    </row>
    <row r="838" ht="15.75" customHeight="1">
      <c r="A838" s="114"/>
      <c r="B838" s="115"/>
      <c r="C838" s="114"/>
      <c r="D838" s="114"/>
      <c r="E838" s="210"/>
      <c r="F838" s="30"/>
      <c r="G838" s="30"/>
      <c r="H838" s="30"/>
      <c r="I838" s="30"/>
      <c r="J838" s="30"/>
      <c r="K838" s="30"/>
      <c r="L838" s="30"/>
      <c r="M838" s="30"/>
      <c r="N838" s="30"/>
      <c r="O838" s="30"/>
      <c r="P838" s="30"/>
      <c r="Q838" s="30"/>
      <c r="R838" s="30"/>
      <c r="S838" s="30"/>
      <c r="T838" s="30"/>
      <c r="U838" s="30"/>
      <c r="V838" s="30"/>
      <c r="W838" s="30"/>
      <c r="X838" s="30"/>
      <c r="Y838" s="30"/>
      <c r="Z838" s="30"/>
      <c r="AA838" s="30"/>
      <c r="AB838" s="30"/>
      <c r="AC838" s="30"/>
      <c r="AD838" s="30"/>
      <c r="AE838" s="30"/>
      <c r="AF838" s="30"/>
    </row>
    <row r="839" ht="15.75" customHeight="1">
      <c r="A839" s="114"/>
      <c r="B839" s="115"/>
      <c r="C839" s="114"/>
      <c r="D839" s="114"/>
      <c r="E839" s="210"/>
      <c r="F839" s="30"/>
      <c r="G839" s="30"/>
      <c r="H839" s="30"/>
      <c r="I839" s="30"/>
      <c r="J839" s="30"/>
      <c r="K839" s="30"/>
      <c r="L839" s="30"/>
      <c r="M839" s="30"/>
      <c r="N839" s="30"/>
      <c r="O839" s="30"/>
      <c r="P839" s="30"/>
      <c r="Q839" s="30"/>
      <c r="R839" s="30"/>
      <c r="S839" s="30"/>
      <c r="T839" s="30"/>
      <c r="U839" s="30"/>
      <c r="V839" s="30"/>
      <c r="W839" s="30"/>
      <c r="X839" s="30"/>
      <c r="Y839" s="30"/>
      <c r="Z839" s="30"/>
      <c r="AA839" s="30"/>
      <c r="AB839" s="30"/>
      <c r="AC839" s="30"/>
      <c r="AD839" s="30"/>
      <c r="AE839" s="30"/>
      <c r="AF839" s="30"/>
    </row>
    <row r="840" ht="15.75" customHeight="1">
      <c r="A840" s="114"/>
      <c r="B840" s="115"/>
      <c r="C840" s="114"/>
      <c r="D840" s="114"/>
      <c r="E840" s="210"/>
      <c r="F840" s="30"/>
      <c r="G840" s="30"/>
      <c r="H840" s="30"/>
      <c r="I840" s="30"/>
      <c r="J840" s="30"/>
      <c r="K840" s="30"/>
      <c r="L840" s="30"/>
      <c r="M840" s="30"/>
      <c r="N840" s="30"/>
      <c r="O840" s="30"/>
      <c r="P840" s="30"/>
      <c r="Q840" s="30"/>
      <c r="R840" s="30"/>
      <c r="S840" s="30"/>
      <c r="T840" s="30"/>
      <c r="U840" s="30"/>
      <c r="V840" s="30"/>
      <c r="W840" s="30"/>
      <c r="X840" s="30"/>
      <c r="Y840" s="30"/>
      <c r="Z840" s="30"/>
      <c r="AA840" s="30"/>
      <c r="AB840" s="30"/>
      <c r="AC840" s="30"/>
      <c r="AD840" s="30"/>
      <c r="AE840" s="30"/>
      <c r="AF840" s="30"/>
    </row>
    <row r="841" ht="15.75" customHeight="1">
      <c r="A841" s="114"/>
      <c r="B841" s="115"/>
      <c r="C841" s="114"/>
      <c r="D841" s="114"/>
      <c r="E841" s="210"/>
      <c r="F841" s="30"/>
      <c r="G841" s="30"/>
      <c r="H841" s="30"/>
      <c r="I841" s="30"/>
      <c r="J841" s="30"/>
      <c r="K841" s="30"/>
      <c r="L841" s="30"/>
      <c r="M841" s="30"/>
      <c r="N841" s="30"/>
      <c r="O841" s="30"/>
      <c r="P841" s="30"/>
      <c r="Q841" s="30"/>
      <c r="R841" s="30"/>
      <c r="S841" s="30"/>
      <c r="T841" s="30"/>
      <c r="U841" s="30"/>
      <c r="V841" s="30"/>
      <c r="W841" s="30"/>
      <c r="X841" s="30"/>
      <c r="Y841" s="30"/>
      <c r="Z841" s="30"/>
      <c r="AA841" s="30"/>
      <c r="AB841" s="30"/>
      <c r="AC841" s="30"/>
      <c r="AD841" s="30"/>
      <c r="AE841" s="30"/>
      <c r="AF841" s="30"/>
    </row>
    <row r="842" ht="15.75" customHeight="1">
      <c r="A842" s="114"/>
      <c r="B842" s="115"/>
      <c r="C842" s="114"/>
      <c r="D842" s="114"/>
      <c r="E842" s="210"/>
      <c r="F842" s="30"/>
      <c r="G842" s="30"/>
      <c r="H842" s="30"/>
      <c r="I842" s="30"/>
      <c r="J842" s="30"/>
      <c r="K842" s="30"/>
      <c r="L842" s="30"/>
      <c r="M842" s="30"/>
      <c r="N842" s="30"/>
      <c r="O842" s="30"/>
      <c r="P842" s="30"/>
      <c r="Q842" s="30"/>
      <c r="R842" s="30"/>
      <c r="S842" s="30"/>
      <c r="T842" s="30"/>
      <c r="U842" s="30"/>
      <c r="V842" s="30"/>
      <c r="W842" s="30"/>
      <c r="X842" s="30"/>
      <c r="Y842" s="30"/>
      <c r="Z842" s="30"/>
      <c r="AA842" s="30"/>
      <c r="AB842" s="30"/>
      <c r="AC842" s="30"/>
      <c r="AD842" s="30"/>
      <c r="AE842" s="30"/>
      <c r="AF842" s="30"/>
    </row>
    <row r="843" ht="15.75" customHeight="1">
      <c r="A843" s="114"/>
      <c r="B843" s="115"/>
      <c r="C843" s="114"/>
      <c r="D843" s="114"/>
      <c r="E843" s="210"/>
      <c r="F843" s="30"/>
      <c r="G843" s="30"/>
      <c r="H843" s="30"/>
      <c r="I843" s="30"/>
      <c r="J843" s="30"/>
      <c r="K843" s="30"/>
      <c r="L843" s="30"/>
      <c r="M843" s="30"/>
      <c r="N843" s="30"/>
      <c r="O843" s="30"/>
      <c r="P843" s="30"/>
      <c r="Q843" s="30"/>
      <c r="R843" s="30"/>
      <c r="S843" s="30"/>
      <c r="T843" s="30"/>
      <c r="U843" s="30"/>
      <c r="V843" s="30"/>
      <c r="W843" s="30"/>
      <c r="X843" s="30"/>
      <c r="Y843" s="30"/>
      <c r="Z843" s="30"/>
      <c r="AA843" s="30"/>
      <c r="AB843" s="30"/>
      <c r="AC843" s="30"/>
      <c r="AD843" s="30"/>
      <c r="AE843" s="30"/>
      <c r="AF843" s="30"/>
    </row>
    <row r="844" ht="15.75" customHeight="1">
      <c r="A844" s="114"/>
      <c r="B844" s="115"/>
      <c r="C844" s="114"/>
      <c r="D844" s="114"/>
      <c r="E844" s="210"/>
      <c r="F844" s="30"/>
      <c r="G844" s="30"/>
      <c r="H844" s="30"/>
      <c r="I844" s="30"/>
      <c r="J844" s="30"/>
      <c r="K844" s="30"/>
      <c r="L844" s="30"/>
      <c r="M844" s="30"/>
      <c r="N844" s="30"/>
      <c r="O844" s="30"/>
      <c r="P844" s="30"/>
      <c r="Q844" s="30"/>
      <c r="R844" s="30"/>
      <c r="S844" s="30"/>
      <c r="T844" s="30"/>
      <c r="U844" s="30"/>
      <c r="V844" s="30"/>
      <c r="W844" s="30"/>
      <c r="X844" s="30"/>
      <c r="Y844" s="30"/>
      <c r="Z844" s="30"/>
      <c r="AA844" s="30"/>
      <c r="AB844" s="30"/>
      <c r="AC844" s="30"/>
      <c r="AD844" s="30"/>
      <c r="AE844" s="30"/>
      <c r="AF844" s="30"/>
    </row>
    <row r="845" ht="15.75" customHeight="1">
      <c r="A845" s="114"/>
      <c r="B845" s="115"/>
      <c r="C845" s="114"/>
      <c r="D845" s="114"/>
      <c r="E845" s="210"/>
      <c r="F845" s="30"/>
      <c r="G845" s="30"/>
      <c r="H845" s="30"/>
      <c r="I845" s="30"/>
      <c r="J845" s="30"/>
      <c r="K845" s="30"/>
      <c r="L845" s="30"/>
      <c r="M845" s="30"/>
      <c r="N845" s="30"/>
      <c r="O845" s="30"/>
      <c r="P845" s="30"/>
      <c r="Q845" s="30"/>
      <c r="R845" s="30"/>
      <c r="S845" s="30"/>
      <c r="T845" s="30"/>
      <c r="U845" s="30"/>
      <c r="V845" s="30"/>
      <c r="W845" s="30"/>
      <c r="X845" s="30"/>
      <c r="Y845" s="30"/>
      <c r="Z845" s="30"/>
      <c r="AA845" s="30"/>
      <c r="AB845" s="30"/>
      <c r="AC845" s="30"/>
      <c r="AD845" s="30"/>
      <c r="AE845" s="30"/>
      <c r="AF845" s="30"/>
    </row>
    <row r="846" ht="15.75" customHeight="1">
      <c r="A846" s="114"/>
      <c r="B846" s="115"/>
      <c r="C846" s="114"/>
      <c r="D846" s="114"/>
      <c r="E846" s="210"/>
      <c r="F846" s="30"/>
      <c r="G846" s="30"/>
      <c r="H846" s="30"/>
      <c r="I846" s="30"/>
      <c r="J846" s="30"/>
      <c r="K846" s="30"/>
      <c r="L846" s="30"/>
      <c r="M846" s="30"/>
      <c r="N846" s="30"/>
      <c r="O846" s="30"/>
      <c r="P846" s="30"/>
      <c r="Q846" s="30"/>
      <c r="R846" s="30"/>
      <c r="S846" s="30"/>
      <c r="T846" s="30"/>
      <c r="U846" s="30"/>
      <c r="V846" s="30"/>
      <c r="W846" s="30"/>
      <c r="X846" s="30"/>
      <c r="Y846" s="30"/>
      <c r="Z846" s="30"/>
      <c r="AA846" s="30"/>
      <c r="AB846" s="30"/>
      <c r="AC846" s="30"/>
      <c r="AD846" s="30"/>
      <c r="AE846" s="30"/>
      <c r="AF846" s="30"/>
    </row>
    <row r="847" ht="15.75" customHeight="1">
      <c r="A847" s="114"/>
      <c r="B847" s="115"/>
      <c r="C847" s="114"/>
      <c r="D847" s="114"/>
      <c r="E847" s="210"/>
      <c r="F847" s="30"/>
      <c r="G847" s="30"/>
      <c r="H847" s="30"/>
      <c r="I847" s="30"/>
      <c r="J847" s="30"/>
      <c r="K847" s="30"/>
      <c r="L847" s="30"/>
      <c r="M847" s="30"/>
      <c r="N847" s="30"/>
      <c r="O847" s="30"/>
      <c r="P847" s="30"/>
      <c r="Q847" s="30"/>
      <c r="R847" s="30"/>
      <c r="S847" s="30"/>
      <c r="T847" s="30"/>
      <c r="U847" s="30"/>
      <c r="V847" s="30"/>
      <c r="W847" s="30"/>
      <c r="X847" s="30"/>
      <c r="Y847" s="30"/>
      <c r="Z847" s="30"/>
      <c r="AA847" s="30"/>
      <c r="AB847" s="30"/>
      <c r="AC847" s="30"/>
      <c r="AD847" s="30"/>
      <c r="AE847" s="30"/>
      <c r="AF847" s="30"/>
    </row>
    <row r="848" ht="15.75" customHeight="1">
      <c r="A848" s="114"/>
      <c r="B848" s="115"/>
      <c r="C848" s="114"/>
      <c r="D848" s="114"/>
      <c r="E848" s="210"/>
      <c r="F848" s="30"/>
      <c r="G848" s="30"/>
      <c r="H848" s="30"/>
      <c r="I848" s="30"/>
      <c r="J848" s="30"/>
      <c r="K848" s="30"/>
      <c r="L848" s="30"/>
      <c r="M848" s="30"/>
      <c r="N848" s="30"/>
      <c r="O848" s="30"/>
      <c r="P848" s="30"/>
      <c r="Q848" s="30"/>
      <c r="R848" s="30"/>
      <c r="S848" s="30"/>
      <c r="T848" s="30"/>
      <c r="U848" s="30"/>
      <c r="V848" s="30"/>
      <c r="W848" s="30"/>
      <c r="X848" s="30"/>
      <c r="Y848" s="30"/>
      <c r="Z848" s="30"/>
      <c r="AA848" s="30"/>
      <c r="AB848" s="30"/>
      <c r="AC848" s="30"/>
      <c r="AD848" s="30"/>
      <c r="AE848" s="30"/>
      <c r="AF848" s="30"/>
    </row>
    <row r="849" ht="15.75" customHeight="1">
      <c r="A849" s="114"/>
      <c r="B849" s="115"/>
      <c r="C849" s="114"/>
      <c r="D849" s="114"/>
      <c r="E849" s="210"/>
      <c r="F849" s="30"/>
      <c r="G849" s="30"/>
      <c r="H849" s="30"/>
      <c r="I849" s="30"/>
      <c r="J849" s="30"/>
      <c r="K849" s="30"/>
      <c r="L849" s="30"/>
      <c r="M849" s="30"/>
      <c r="N849" s="30"/>
      <c r="O849" s="30"/>
      <c r="P849" s="30"/>
      <c r="Q849" s="30"/>
      <c r="R849" s="30"/>
      <c r="S849" s="30"/>
      <c r="T849" s="30"/>
      <c r="U849" s="30"/>
      <c r="V849" s="30"/>
      <c r="W849" s="30"/>
      <c r="X849" s="30"/>
      <c r="Y849" s="30"/>
      <c r="Z849" s="30"/>
      <c r="AA849" s="30"/>
      <c r="AB849" s="30"/>
      <c r="AC849" s="30"/>
      <c r="AD849" s="30"/>
      <c r="AE849" s="30"/>
      <c r="AF849" s="30"/>
    </row>
    <row r="850" ht="15.75" customHeight="1">
      <c r="A850" s="114"/>
      <c r="B850" s="115"/>
      <c r="C850" s="114"/>
      <c r="D850" s="114"/>
      <c r="E850" s="210"/>
      <c r="F850" s="30"/>
      <c r="G850" s="30"/>
      <c r="H850" s="30"/>
      <c r="I850" s="30"/>
      <c r="J850" s="30"/>
      <c r="K850" s="30"/>
      <c r="L850" s="30"/>
      <c r="M850" s="30"/>
      <c r="N850" s="30"/>
      <c r="O850" s="30"/>
      <c r="P850" s="30"/>
      <c r="Q850" s="30"/>
      <c r="R850" s="30"/>
      <c r="S850" s="30"/>
      <c r="T850" s="30"/>
      <c r="U850" s="30"/>
      <c r="V850" s="30"/>
      <c r="W850" s="30"/>
      <c r="X850" s="30"/>
      <c r="Y850" s="30"/>
      <c r="Z850" s="30"/>
      <c r="AA850" s="30"/>
      <c r="AB850" s="30"/>
      <c r="AC850" s="30"/>
      <c r="AD850" s="30"/>
      <c r="AE850" s="30"/>
      <c r="AF850" s="30"/>
    </row>
    <row r="851" ht="15.75" customHeight="1">
      <c r="A851" s="114"/>
      <c r="B851" s="115"/>
      <c r="C851" s="114"/>
      <c r="D851" s="114"/>
      <c r="E851" s="210"/>
      <c r="F851" s="30"/>
      <c r="G851" s="30"/>
      <c r="H851" s="30"/>
      <c r="I851" s="30"/>
      <c r="J851" s="30"/>
      <c r="K851" s="30"/>
      <c r="L851" s="30"/>
      <c r="M851" s="30"/>
      <c r="N851" s="30"/>
      <c r="O851" s="30"/>
      <c r="P851" s="30"/>
      <c r="Q851" s="30"/>
      <c r="R851" s="30"/>
      <c r="S851" s="30"/>
      <c r="T851" s="30"/>
      <c r="U851" s="30"/>
      <c r="V851" s="30"/>
      <c r="W851" s="30"/>
      <c r="X851" s="30"/>
      <c r="Y851" s="30"/>
      <c r="Z851" s="30"/>
      <c r="AA851" s="30"/>
      <c r="AB851" s="30"/>
      <c r="AC851" s="30"/>
      <c r="AD851" s="30"/>
      <c r="AE851" s="30"/>
      <c r="AF851" s="30"/>
    </row>
    <row r="852" ht="15.75" customHeight="1">
      <c r="A852" s="114"/>
      <c r="B852" s="115"/>
      <c r="C852" s="114"/>
      <c r="D852" s="114"/>
      <c r="E852" s="210"/>
      <c r="F852" s="30"/>
      <c r="G852" s="30"/>
      <c r="H852" s="30"/>
      <c r="I852" s="30"/>
      <c r="J852" s="30"/>
      <c r="K852" s="30"/>
      <c r="L852" s="30"/>
      <c r="M852" s="30"/>
      <c r="N852" s="30"/>
      <c r="O852" s="30"/>
      <c r="P852" s="30"/>
      <c r="Q852" s="30"/>
      <c r="R852" s="30"/>
      <c r="S852" s="30"/>
      <c r="T852" s="30"/>
      <c r="U852" s="30"/>
      <c r="V852" s="30"/>
      <c r="W852" s="30"/>
      <c r="X852" s="30"/>
      <c r="Y852" s="30"/>
      <c r="Z852" s="30"/>
      <c r="AA852" s="30"/>
      <c r="AB852" s="30"/>
      <c r="AC852" s="30"/>
      <c r="AD852" s="30"/>
      <c r="AE852" s="30"/>
      <c r="AF852" s="30"/>
    </row>
    <row r="853" ht="15.75" customHeight="1">
      <c r="A853" s="114"/>
      <c r="B853" s="115"/>
      <c r="C853" s="114"/>
      <c r="D853" s="114"/>
      <c r="E853" s="210"/>
      <c r="F853" s="30"/>
      <c r="G853" s="30"/>
      <c r="H853" s="30"/>
      <c r="I853" s="30"/>
      <c r="J853" s="30"/>
      <c r="K853" s="30"/>
      <c r="L853" s="30"/>
      <c r="M853" s="30"/>
      <c r="N853" s="30"/>
      <c r="O853" s="30"/>
      <c r="P853" s="30"/>
      <c r="Q853" s="30"/>
      <c r="R853" s="30"/>
      <c r="S853" s="30"/>
      <c r="T853" s="30"/>
      <c r="U853" s="30"/>
      <c r="V853" s="30"/>
      <c r="W853" s="30"/>
      <c r="X853" s="30"/>
      <c r="Y853" s="30"/>
      <c r="Z853" s="30"/>
      <c r="AA853" s="30"/>
      <c r="AB853" s="30"/>
      <c r="AC853" s="30"/>
      <c r="AD853" s="30"/>
      <c r="AE853" s="30"/>
      <c r="AF853" s="30"/>
    </row>
    <row r="854" ht="15.75" customHeight="1">
      <c r="A854" s="114"/>
      <c r="B854" s="115"/>
      <c r="C854" s="114"/>
      <c r="D854" s="114"/>
      <c r="E854" s="210"/>
      <c r="F854" s="30"/>
      <c r="G854" s="30"/>
      <c r="H854" s="30"/>
      <c r="I854" s="30"/>
      <c r="J854" s="30"/>
      <c r="K854" s="30"/>
      <c r="L854" s="30"/>
      <c r="M854" s="30"/>
      <c r="N854" s="30"/>
      <c r="O854" s="30"/>
      <c r="P854" s="30"/>
      <c r="Q854" s="30"/>
      <c r="R854" s="30"/>
      <c r="S854" s="30"/>
      <c r="T854" s="30"/>
      <c r="U854" s="30"/>
      <c r="V854" s="30"/>
      <c r="W854" s="30"/>
      <c r="X854" s="30"/>
      <c r="Y854" s="30"/>
      <c r="Z854" s="30"/>
      <c r="AA854" s="30"/>
      <c r="AB854" s="30"/>
      <c r="AC854" s="30"/>
      <c r="AD854" s="30"/>
      <c r="AE854" s="30"/>
      <c r="AF854" s="30"/>
    </row>
    <row r="855" ht="15.75" customHeight="1">
      <c r="A855" s="114"/>
      <c r="B855" s="115"/>
      <c r="C855" s="114"/>
      <c r="D855" s="114"/>
      <c r="E855" s="210"/>
      <c r="F855" s="30"/>
      <c r="G855" s="30"/>
      <c r="H855" s="30"/>
      <c r="I855" s="30"/>
      <c r="J855" s="30"/>
      <c r="K855" s="30"/>
      <c r="L855" s="30"/>
      <c r="M855" s="30"/>
      <c r="N855" s="30"/>
      <c r="O855" s="30"/>
      <c r="P855" s="30"/>
      <c r="Q855" s="30"/>
      <c r="R855" s="30"/>
      <c r="S855" s="30"/>
      <c r="T855" s="30"/>
      <c r="U855" s="30"/>
      <c r="V855" s="30"/>
      <c r="W855" s="30"/>
      <c r="X855" s="30"/>
      <c r="Y855" s="30"/>
      <c r="Z855" s="30"/>
      <c r="AA855" s="30"/>
      <c r="AB855" s="30"/>
      <c r="AC855" s="30"/>
      <c r="AD855" s="30"/>
      <c r="AE855" s="30"/>
      <c r="AF855" s="30"/>
    </row>
    <row r="856" ht="15.75" customHeight="1">
      <c r="A856" s="114"/>
      <c r="B856" s="115"/>
      <c r="C856" s="114"/>
      <c r="D856" s="114"/>
      <c r="E856" s="210"/>
      <c r="F856" s="30"/>
      <c r="G856" s="30"/>
      <c r="H856" s="30"/>
      <c r="I856" s="30"/>
      <c r="J856" s="30"/>
      <c r="K856" s="30"/>
      <c r="L856" s="30"/>
      <c r="M856" s="30"/>
      <c r="N856" s="30"/>
      <c r="O856" s="30"/>
      <c r="P856" s="30"/>
      <c r="Q856" s="30"/>
      <c r="R856" s="30"/>
      <c r="S856" s="30"/>
      <c r="T856" s="30"/>
      <c r="U856" s="30"/>
      <c r="V856" s="30"/>
      <c r="W856" s="30"/>
      <c r="X856" s="30"/>
      <c r="Y856" s="30"/>
      <c r="Z856" s="30"/>
      <c r="AA856" s="30"/>
      <c r="AB856" s="30"/>
      <c r="AC856" s="30"/>
      <c r="AD856" s="30"/>
      <c r="AE856" s="30"/>
      <c r="AF856" s="30"/>
    </row>
    <row r="857" ht="15.75" customHeight="1">
      <c r="A857" s="114"/>
      <c r="B857" s="115"/>
      <c r="C857" s="114"/>
      <c r="D857" s="114"/>
      <c r="E857" s="210"/>
      <c r="F857" s="30"/>
      <c r="G857" s="30"/>
      <c r="H857" s="30"/>
      <c r="I857" s="30"/>
      <c r="J857" s="30"/>
      <c r="K857" s="30"/>
      <c r="L857" s="30"/>
      <c r="M857" s="30"/>
      <c r="N857" s="30"/>
      <c r="O857" s="30"/>
      <c r="P857" s="30"/>
      <c r="Q857" s="30"/>
      <c r="R857" s="30"/>
      <c r="S857" s="30"/>
      <c r="T857" s="30"/>
      <c r="U857" s="30"/>
      <c r="V857" s="30"/>
      <c r="W857" s="30"/>
      <c r="X857" s="30"/>
      <c r="Y857" s="30"/>
      <c r="Z857" s="30"/>
      <c r="AA857" s="30"/>
      <c r="AB857" s="30"/>
      <c r="AC857" s="30"/>
      <c r="AD857" s="30"/>
      <c r="AE857" s="30"/>
      <c r="AF857" s="30"/>
    </row>
    <row r="858" ht="15.75" customHeight="1">
      <c r="A858" s="114"/>
      <c r="B858" s="115"/>
      <c r="C858" s="114"/>
      <c r="D858" s="114"/>
      <c r="E858" s="210"/>
      <c r="F858" s="30"/>
      <c r="G858" s="30"/>
      <c r="H858" s="30"/>
      <c r="I858" s="30"/>
      <c r="J858" s="30"/>
      <c r="K858" s="30"/>
      <c r="L858" s="30"/>
      <c r="M858" s="30"/>
      <c r="N858" s="30"/>
      <c r="O858" s="30"/>
      <c r="P858" s="30"/>
      <c r="Q858" s="30"/>
      <c r="R858" s="30"/>
      <c r="S858" s="30"/>
      <c r="T858" s="30"/>
      <c r="U858" s="30"/>
      <c r="V858" s="30"/>
      <c r="W858" s="30"/>
      <c r="X858" s="30"/>
      <c r="Y858" s="30"/>
      <c r="Z858" s="30"/>
      <c r="AA858" s="30"/>
      <c r="AB858" s="30"/>
      <c r="AC858" s="30"/>
      <c r="AD858" s="30"/>
      <c r="AE858" s="30"/>
      <c r="AF858" s="30"/>
    </row>
    <row r="859" ht="15.75" customHeight="1">
      <c r="A859" s="114"/>
      <c r="B859" s="115"/>
      <c r="C859" s="114"/>
      <c r="D859" s="114"/>
      <c r="E859" s="210"/>
      <c r="F859" s="30"/>
      <c r="G859" s="30"/>
      <c r="H859" s="30"/>
      <c r="I859" s="30"/>
      <c r="J859" s="30"/>
      <c r="K859" s="30"/>
      <c r="L859" s="30"/>
      <c r="M859" s="30"/>
      <c r="N859" s="30"/>
      <c r="O859" s="30"/>
      <c r="P859" s="30"/>
      <c r="Q859" s="30"/>
      <c r="R859" s="30"/>
      <c r="S859" s="30"/>
      <c r="T859" s="30"/>
      <c r="U859" s="30"/>
      <c r="V859" s="30"/>
      <c r="W859" s="30"/>
      <c r="X859" s="30"/>
      <c r="Y859" s="30"/>
      <c r="Z859" s="30"/>
      <c r="AA859" s="30"/>
      <c r="AB859" s="30"/>
      <c r="AC859" s="30"/>
      <c r="AD859" s="30"/>
      <c r="AE859" s="30"/>
      <c r="AF859" s="30"/>
    </row>
    <row r="860" ht="15.75" customHeight="1">
      <c r="A860" s="114"/>
      <c r="B860" s="115"/>
      <c r="C860" s="114"/>
      <c r="D860" s="114"/>
      <c r="E860" s="210"/>
      <c r="F860" s="30"/>
      <c r="G860" s="30"/>
      <c r="H860" s="30"/>
      <c r="I860" s="30"/>
      <c r="J860" s="30"/>
      <c r="K860" s="30"/>
      <c r="L860" s="30"/>
      <c r="M860" s="30"/>
      <c r="N860" s="30"/>
      <c r="O860" s="30"/>
      <c r="P860" s="30"/>
      <c r="Q860" s="30"/>
      <c r="R860" s="30"/>
      <c r="S860" s="30"/>
      <c r="T860" s="30"/>
      <c r="U860" s="30"/>
      <c r="V860" s="30"/>
      <c r="W860" s="30"/>
      <c r="X860" s="30"/>
      <c r="Y860" s="30"/>
      <c r="Z860" s="30"/>
      <c r="AA860" s="30"/>
      <c r="AB860" s="30"/>
      <c r="AC860" s="30"/>
      <c r="AD860" s="30"/>
      <c r="AE860" s="30"/>
      <c r="AF860" s="30"/>
    </row>
    <row r="861" ht="15.75" customHeight="1">
      <c r="A861" s="114"/>
      <c r="B861" s="115"/>
      <c r="C861" s="114"/>
      <c r="D861" s="114"/>
      <c r="E861" s="210"/>
      <c r="F861" s="30"/>
      <c r="G861" s="30"/>
      <c r="H861" s="30"/>
      <c r="I861" s="30"/>
      <c r="J861" s="30"/>
      <c r="K861" s="30"/>
      <c r="L861" s="30"/>
      <c r="M861" s="30"/>
      <c r="N861" s="30"/>
      <c r="O861" s="30"/>
      <c r="P861" s="30"/>
      <c r="Q861" s="30"/>
      <c r="R861" s="30"/>
      <c r="S861" s="30"/>
      <c r="T861" s="30"/>
      <c r="U861" s="30"/>
      <c r="V861" s="30"/>
      <c r="W861" s="30"/>
      <c r="X861" s="30"/>
      <c r="Y861" s="30"/>
      <c r="Z861" s="30"/>
      <c r="AA861" s="30"/>
      <c r="AB861" s="30"/>
      <c r="AC861" s="30"/>
      <c r="AD861" s="30"/>
      <c r="AE861" s="30"/>
      <c r="AF861" s="30"/>
    </row>
    <row r="862" ht="15.75" customHeight="1">
      <c r="A862" s="114"/>
      <c r="B862" s="115"/>
      <c r="C862" s="114"/>
      <c r="D862" s="114"/>
      <c r="E862" s="210"/>
      <c r="F862" s="30"/>
      <c r="G862" s="30"/>
      <c r="H862" s="30"/>
      <c r="I862" s="30"/>
      <c r="J862" s="30"/>
      <c r="K862" s="30"/>
      <c r="L862" s="30"/>
      <c r="M862" s="30"/>
      <c r="N862" s="30"/>
      <c r="O862" s="30"/>
      <c r="P862" s="30"/>
      <c r="Q862" s="30"/>
      <c r="R862" s="30"/>
      <c r="S862" s="30"/>
      <c r="T862" s="30"/>
      <c r="U862" s="30"/>
      <c r="V862" s="30"/>
      <c r="W862" s="30"/>
      <c r="X862" s="30"/>
      <c r="Y862" s="30"/>
      <c r="Z862" s="30"/>
      <c r="AA862" s="30"/>
      <c r="AB862" s="30"/>
      <c r="AC862" s="30"/>
      <c r="AD862" s="30"/>
      <c r="AE862" s="30"/>
      <c r="AF862" s="30"/>
    </row>
    <row r="863" ht="15.75" customHeight="1">
      <c r="A863" s="114"/>
      <c r="B863" s="115"/>
      <c r="C863" s="114"/>
      <c r="D863" s="114"/>
      <c r="E863" s="210"/>
      <c r="F863" s="30"/>
      <c r="G863" s="30"/>
      <c r="H863" s="30"/>
      <c r="I863" s="30"/>
      <c r="J863" s="30"/>
      <c r="K863" s="30"/>
      <c r="L863" s="30"/>
      <c r="M863" s="30"/>
      <c r="N863" s="30"/>
      <c r="O863" s="30"/>
      <c r="P863" s="30"/>
      <c r="Q863" s="30"/>
      <c r="R863" s="30"/>
      <c r="S863" s="30"/>
      <c r="T863" s="30"/>
      <c r="U863" s="30"/>
      <c r="V863" s="30"/>
      <c r="W863" s="30"/>
      <c r="X863" s="30"/>
      <c r="Y863" s="30"/>
      <c r="Z863" s="30"/>
      <c r="AA863" s="30"/>
      <c r="AB863" s="30"/>
      <c r="AC863" s="30"/>
      <c r="AD863" s="30"/>
      <c r="AE863" s="30"/>
      <c r="AF863" s="30"/>
    </row>
    <row r="864" ht="15.75" customHeight="1">
      <c r="A864" s="114"/>
      <c r="B864" s="115"/>
      <c r="C864" s="114"/>
      <c r="D864" s="114"/>
      <c r="E864" s="210"/>
      <c r="F864" s="30"/>
      <c r="G864" s="30"/>
      <c r="H864" s="30"/>
      <c r="I864" s="30"/>
      <c r="J864" s="30"/>
      <c r="K864" s="30"/>
      <c r="L864" s="30"/>
      <c r="M864" s="30"/>
      <c r="N864" s="30"/>
      <c r="O864" s="30"/>
      <c r="P864" s="30"/>
      <c r="Q864" s="30"/>
      <c r="R864" s="30"/>
      <c r="S864" s="30"/>
      <c r="T864" s="30"/>
      <c r="U864" s="30"/>
      <c r="V864" s="30"/>
      <c r="W864" s="30"/>
      <c r="X864" s="30"/>
      <c r="Y864" s="30"/>
      <c r="Z864" s="30"/>
      <c r="AA864" s="30"/>
      <c r="AB864" s="30"/>
      <c r="AC864" s="30"/>
      <c r="AD864" s="30"/>
      <c r="AE864" s="30"/>
      <c r="AF864" s="30"/>
    </row>
    <row r="865" ht="15.75" customHeight="1">
      <c r="A865" s="114"/>
      <c r="B865" s="115"/>
      <c r="C865" s="114"/>
      <c r="D865" s="114"/>
      <c r="E865" s="210"/>
      <c r="F865" s="30"/>
      <c r="G865" s="30"/>
      <c r="H865" s="30"/>
      <c r="I865" s="30"/>
      <c r="J865" s="30"/>
      <c r="K865" s="30"/>
      <c r="L865" s="30"/>
      <c r="M865" s="30"/>
      <c r="N865" s="30"/>
      <c r="O865" s="30"/>
      <c r="P865" s="30"/>
      <c r="Q865" s="30"/>
      <c r="R865" s="30"/>
      <c r="S865" s="30"/>
      <c r="T865" s="30"/>
      <c r="U865" s="30"/>
      <c r="V865" s="30"/>
      <c r="W865" s="30"/>
      <c r="X865" s="30"/>
      <c r="Y865" s="30"/>
      <c r="Z865" s="30"/>
      <c r="AA865" s="30"/>
      <c r="AB865" s="30"/>
      <c r="AC865" s="30"/>
      <c r="AD865" s="30"/>
      <c r="AE865" s="30"/>
      <c r="AF865" s="30"/>
    </row>
    <row r="866" ht="15.75" customHeight="1">
      <c r="A866" s="114"/>
      <c r="B866" s="115"/>
      <c r="C866" s="114"/>
      <c r="D866" s="114"/>
      <c r="E866" s="210"/>
      <c r="F866" s="30"/>
      <c r="G866" s="30"/>
      <c r="H866" s="30"/>
      <c r="I866" s="30"/>
      <c r="J866" s="30"/>
      <c r="K866" s="30"/>
      <c r="L866" s="30"/>
      <c r="M866" s="30"/>
      <c r="N866" s="30"/>
      <c r="O866" s="30"/>
      <c r="P866" s="30"/>
      <c r="Q866" s="30"/>
      <c r="R866" s="30"/>
      <c r="S866" s="30"/>
      <c r="T866" s="30"/>
      <c r="U866" s="30"/>
      <c r="V866" s="30"/>
      <c r="W866" s="30"/>
      <c r="X866" s="30"/>
      <c r="Y866" s="30"/>
      <c r="Z866" s="30"/>
      <c r="AA866" s="30"/>
      <c r="AB866" s="30"/>
      <c r="AC866" s="30"/>
      <c r="AD866" s="30"/>
      <c r="AE866" s="30"/>
      <c r="AF866" s="30"/>
    </row>
    <row r="867" ht="15.75" customHeight="1">
      <c r="A867" s="114"/>
      <c r="B867" s="115"/>
      <c r="C867" s="114"/>
      <c r="D867" s="114"/>
      <c r="E867" s="210"/>
      <c r="F867" s="30"/>
      <c r="G867" s="30"/>
      <c r="H867" s="30"/>
      <c r="I867" s="30"/>
      <c r="J867" s="30"/>
      <c r="K867" s="30"/>
      <c r="L867" s="30"/>
      <c r="M867" s="30"/>
      <c r="N867" s="30"/>
      <c r="O867" s="30"/>
      <c r="P867" s="30"/>
      <c r="Q867" s="30"/>
      <c r="R867" s="30"/>
      <c r="S867" s="30"/>
      <c r="T867" s="30"/>
      <c r="U867" s="30"/>
      <c r="V867" s="30"/>
      <c r="W867" s="30"/>
      <c r="X867" s="30"/>
      <c r="Y867" s="30"/>
      <c r="Z867" s="30"/>
      <c r="AA867" s="30"/>
      <c r="AB867" s="30"/>
      <c r="AC867" s="30"/>
      <c r="AD867" s="30"/>
      <c r="AE867" s="30"/>
      <c r="AF867" s="30"/>
    </row>
    <row r="868" ht="15.75" customHeight="1">
      <c r="A868" s="114"/>
      <c r="B868" s="115"/>
      <c r="C868" s="114"/>
      <c r="D868" s="114"/>
      <c r="E868" s="210"/>
      <c r="F868" s="30"/>
      <c r="G868" s="30"/>
      <c r="H868" s="30"/>
      <c r="I868" s="30"/>
      <c r="J868" s="30"/>
      <c r="K868" s="30"/>
      <c r="L868" s="30"/>
      <c r="M868" s="30"/>
      <c r="N868" s="30"/>
      <c r="O868" s="30"/>
      <c r="P868" s="30"/>
      <c r="Q868" s="30"/>
      <c r="R868" s="30"/>
      <c r="S868" s="30"/>
      <c r="T868" s="30"/>
      <c r="U868" s="30"/>
      <c r="V868" s="30"/>
      <c r="W868" s="30"/>
      <c r="X868" s="30"/>
      <c r="Y868" s="30"/>
      <c r="Z868" s="30"/>
      <c r="AA868" s="30"/>
      <c r="AB868" s="30"/>
      <c r="AC868" s="30"/>
      <c r="AD868" s="30"/>
      <c r="AE868" s="30"/>
      <c r="AF868" s="30"/>
    </row>
    <row r="869" ht="15.75" customHeight="1">
      <c r="A869" s="114"/>
      <c r="B869" s="115"/>
      <c r="C869" s="114"/>
      <c r="D869" s="114"/>
      <c r="E869" s="210"/>
      <c r="F869" s="30"/>
      <c r="G869" s="30"/>
      <c r="H869" s="30"/>
      <c r="I869" s="30"/>
      <c r="J869" s="30"/>
      <c r="K869" s="30"/>
      <c r="L869" s="30"/>
      <c r="M869" s="30"/>
      <c r="N869" s="30"/>
      <c r="O869" s="30"/>
      <c r="P869" s="30"/>
      <c r="Q869" s="30"/>
      <c r="R869" s="30"/>
      <c r="S869" s="30"/>
      <c r="T869" s="30"/>
      <c r="U869" s="30"/>
      <c r="V869" s="30"/>
      <c r="W869" s="30"/>
      <c r="X869" s="30"/>
      <c r="Y869" s="30"/>
      <c r="Z869" s="30"/>
      <c r="AA869" s="30"/>
      <c r="AB869" s="30"/>
      <c r="AC869" s="30"/>
      <c r="AD869" s="30"/>
      <c r="AE869" s="30"/>
      <c r="AF869" s="30"/>
    </row>
    <row r="870" ht="15.75" customHeight="1">
      <c r="A870" s="114"/>
      <c r="B870" s="115"/>
      <c r="C870" s="114"/>
      <c r="D870" s="114"/>
      <c r="E870" s="210"/>
      <c r="F870" s="30"/>
      <c r="G870" s="30"/>
      <c r="H870" s="30"/>
      <c r="I870" s="30"/>
      <c r="J870" s="30"/>
      <c r="K870" s="30"/>
      <c r="L870" s="30"/>
      <c r="M870" s="30"/>
      <c r="N870" s="30"/>
      <c r="O870" s="30"/>
      <c r="P870" s="30"/>
      <c r="Q870" s="30"/>
      <c r="R870" s="30"/>
      <c r="S870" s="30"/>
      <c r="T870" s="30"/>
      <c r="U870" s="30"/>
      <c r="V870" s="30"/>
      <c r="W870" s="30"/>
      <c r="X870" s="30"/>
      <c r="Y870" s="30"/>
      <c r="Z870" s="30"/>
      <c r="AA870" s="30"/>
      <c r="AB870" s="30"/>
      <c r="AC870" s="30"/>
      <c r="AD870" s="30"/>
      <c r="AE870" s="30"/>
      <c r="AF870" s="30"/>
    </row>
    <row r="871" ht="15.75" customHeight="1">
      <c r="A871" s="114"/>
      <c r="B871" s="115"/>
      <c r="C871" s="114"/>
      <c r="D871" s="114"/>
      <c r="E871" s="210"/>
      <c r="F871" s="30"/>
      <c r="G871" s="30"/>
      <c r="H871" s="30"/>
      <c r="I871" s="30"/>
      <c r="J871" s="30"/>
      <c r="K871" s="30"/>
      <c r="L871" s="30"/>
      <c r="M871" s="30"/>
      <c r="N871" s="30"/>
      <c r="O871" s="30"/>
      <c r="P871" s="30"/>
      <c r="Q871" s="30"/>
      <c r="R871" s="30"/>
      <c r="S871" s="30"/>
      <c r="T871" s="30"/>
      <c r="U871" s="30"/>
      <c r="V871" s="30"/>
      <c r="W871" s="30"/>
      <c r="X871" s="30"/>
      <c r="Y871" s="30"/>
      <c r="Z871" s="30"/>
      <c r="AA871" s="30"/>
      <c r="AB871" s="30"/>
      <c r="AC871" s="30"/>
      <c r="AD871" s="30"/>
      <c r="AE871" s="30"/>
      <c r="AF871" s="30"/>
    </row>
    <row r="872" ht="15.75" customHeight="1">
      <c r="A872" s="114"/>
      <c r="B872" s="115"/>
      <c r="C872" s="114"/>
      <c r="D872" s="114"/>
      <c r="E872" s="210"/>
      <c r="F872" s="30"/>
      <c r="G872" s="30"/>
      <c r="H872" s="30"/>
      <c r="I872" s="30"/>
      <c r="J872" s="30"/>
      <c r="K872" s="30"/>
      <c r="L872" s="30"/>
      <c r="M872" s="30"/>
      <c r="N872" s="30"/>
      <c r="O872" s="30"/>
      <c r="P872" s="30"/>
      <c r="Q872" s="30"/>
      <c r="R872" s="30"/>
      <c r="S872" s="30"/>
      <c r="T872" s="30"/>
      <c r="U872" s="30"/>
      <c r="V872" s="30"/>
      <c r="W872" s="30"/>
      <c r="X872" s="30"/>
      <c r="Y872" s="30"/>
      <c r="Z872" s="30"/>
      <c r="AA872" s="30"/>
      <c r="AB872" s="30"/>
      <c r="AC872" s="30"/>
      <c r="AD872" s="30"/>
      <c r="AE872" s="30"/>
      <c r="AF872" s="30"/>
    </row>
    <row r="873" ht="15.75" customHeight="1">
      <c r="A873" s="114"/>
      <c r="B873" s="115"/>
      <c r="C873" s="114"/>
      <c r="D873" s="114"/>
      <c r="E873" s="210"/>
      <c r="F873" s="30"/>
      <c r="G873" s="30"/>
      <c r="H873" s="30"/>
      <c r="I873" s="30"/>
      <c r="J873" s="30"/>
      <c r="K873" s="30"/>
      <c r="L873" s="30"/>
      <c r="M873" s="30"/>
      <c r="N873" s="30"/>
      <c r="O873" s="30"/>
      <c r="P873" s="30"/>
      <c r="Q873" s="30"/>
      <c r="R873" s="30"/>
      <c r="S873" s="30"/>
      <c r="T873" s="30"/>
      <c r="U873" s="30"/>
      <c r="V873" s="30"/>
      <c r="W873" s="30"/>
      <c r="X873" s="30"/>
      <c r="Y873" s="30"/>
      <c r="Z873" s="30"/>
      <c r="AA873" s="30"/>
      <c r="AB873" s="30"/>
      <c r="AC873" s="30"/>
      <c r="AD873" s="30"/>
      <c r="AE873" s="30"/>
      <c r="AF873" s="30"/>
    </row>
    <row r="874" ht="15.75" customHeight="1">
      <c r="A874" s="114"/>
      <c r="B874" s="115"/>
      <c r="C874" s="114"/>
      <c r="D874" s="114"/>
      <c r="E874" s="210"/>
      <c r="F874" s="30"/>
      <c r="G874" s="30"/>
      <c r="H874" s="30"/>
      <c r="I874" s="30"/>
      <c r="J874" s="30"/>
      <c r="K874" s="30"/>
      <c r="L874" s="30"/>
      <c r="M874" s="30"/>
      <c r="N874" s="30"/>
      <c r="O874" s="30"/>
      <c r="P874" s="30"/>
      <c r="Q874" s="30"/>
      <c r="R874" s="30"/>
      <c r="S874" s="30"/>
      <c r="T874" s="30"/>
      <c r="U874" s="30"/>
      <c r="V874" s="30"/>
      <c r="W874" s="30"/>
      <c r="X874" s="30"/>
      <c r="Y874" s="30"/>
      <c r="Z874" s="30"/>
      <c r="AA874" s="30"/>
      <c r="AB874" s="30"/>
      <c r="AC874" s="30"/>
      <c r="AD874" s="30"/>
      <c r="AE874" s="30"/>
      <c r="AF874" s="30"/>
    </row>
    <row r="875" ht="15.75" customHeight="1">
      <c r="A875" s="114"/>
      <c r="B875" s="115"/>
      <c r="C875" s="114"/>
      <c r="D875" s="114"/>
      <c r="E875" s="210"/>
      <c r="F875" s="30"/>
      <c r="G875" s="30"/>
      <c r="H875" s="30"/>
      <c r="I875" s="30"/>
      <c r="J875" s="30"/>
      <c r="K875" s="30"/>
      <c r="L875" s="30"/>
      <c r="M875" s="30"/>
      <c r="N875" s="30"/>
      <c r="O875" s="30"/>
      <c r="P875" s="30"/>
      <c r="Q875" s="30"/>
      <c r="R875" s="30"/>
      <c r="S875" s="30"/>
      <c r="T875" s="30"/>
      <c r="U875" s="30"/>
      <c r="V875" s="30"/>
      <c r="W875" s="30"/>
      <c r="X875" s="30"/>
      <c r="Y875" s="30"/>
      <c r="Z875" s="30"/>
      <c r="AA875" s="30"/>
      <c r="AB875" s="30"/>
      <c r="AC875" s="30"/>
      <c r="AD875" s="30"/>
      <c r="AE875" s="30"/>
      <c r="AF875" s="30"/>
    </row>
    <row r="876" ht="15.75" customHeight="1">
      <c r="A876" s="114"/>
      <c r="B876" s="115"/>
      <c r="C876" s="114"/>
      <c r="D876" s="114"/>
      <c r="E876" s="210"/>
      <c r="F876" s="30"/>
      <c r="G876" s="30"/>
      <c r="H876" s="30"/>
      <c r="I876" s="30"/>
      <c r="J876" s="30"/>
      <c r="K876" s="30"/>
      <c r="L876" s="30"/>
      <c r="M876" s="30"/>
      <c r="N876" s="30"/>
      <c r="O876" s="30"/>
      <c r="P876" s="30"/>
      <c r="Q876" s="30"/>
      <c r="R876" s="30"/>
      <c r="S876" s="30"/>
      <c r="T876" s="30"/>
      <c r="U876" s="30"/>
      <c r="V876" s="30"/>
      <c r="W876" s="30"/>
      <c r="X876" s="30"/>
      <c r="Y876" s="30"/>
      <c r="Z876" s="30"/>
      <c r="AA876" s="30"/>
      <c r="AB876" s="30"/>
      <c r="AC876" s="30"/>
      <c r="AD876" s="30"/>
      <c r="AE876" s="30"/>
      <c r="AF876" s="30"/>
    </row>
    <row r="877" ht="15.75" customHeight="1">
      <c r="A877" s="114"/>
      <c r="B877" s="115"/>
      <c r="C877" s="114"/>
      <c r="D877" s="114"/>
      <c r="E877" s="210"/>
      <c r="F877" s="30"/>
      <c r="G877" s="30"/>
      <c r="H877" s="30"/>
      <c r="I877" s="30"/>
      <c r="J877" s="30"/>
      <c r="K877" s="30"/>
      <c r="L877" s="30"/>
      <c r="M877" s="30"/>
      <c r="N877" s="30"/>
      <c r="O877" s="30"/>
      <c r="P877" s="30"/>
      <c r="Q877" s="30"/>
      <c r="R877" s="30"/>
      <c r="S877" s="30"/>
      <c r="T877" s="30"/>
      <c r="U877" s="30"/>
      <c r="V877" s="30"/>
      <c r="W877" s="30"/>
      <c r="X877" s="30"/>
      <c r="Y877" s="30"/>
      <c r="Z877" s="30"/>
      <c r="AA877" s="30"/>
      <c r="AB877" s="30"/>
      <c r="AC877" s="30"/>
      <c r="AD877" s="30"/>
      <c r="AE877" s="30"/>
      <c r="AF877" s="30"/>
    </row>
    <row r="878" ht="15.75" customHeight="1">
      <c r="A878" s="114"/>
      <c r="B878" s="115"/>
      <c r="C878" s="114"/>
      <c r="D878" s="114"/>
      <c r="E878" s="210"/>
      <c r="F878" s="30"/>
      <c r="G878" s="30"/>
      <c r="H878" s="30"/>
      <c r="I878" s="30"/>
      <c r="J878" s="30"/>
      <c r="K878" s="30"/>
      <c r="L878" s="30"/>
      <c r="M878" s="30"/>
      <c r="N878" s="30"/>
      <c r="O878" s="30"/>
      <c r="P878" s="30"/>
      <c r="Q878" s="30"/>
      <c r="R878" s="30"/>
      <c r="S878" s="30"/>
      <c r="T878" s="30"/>
      <c r="U878" s="30"/>
      <c r="V878" s="30"/>
      <c r="W878" s="30"/>
      <c r="X878" s="30"/>
      <c r="Y878" s="30"/>
      <c r="Z878" s="30"/>
      <c r="AA878" s="30"/>
      <c r="AB878" s="30"/>
      <c r="AC878" s="30"/>
      <c r="AD878" s="30"/>
      <c r="AE878" s="30"/>
      <c r="AF878" s="30"/>
    </row>
    <row r="879" ht="15.75" customHeight="1">
      <c r="A879" s="114"/>
      <c r="B879" s="115"/>
      <c r="C879" s="114"/>
      <c r="D879" s="114"/>
      <c r="E879" s="210"/>
      <c r="F879" s="30"/>
      <c r="G879" s="30"/>
      <c r="H879" s="30"/>
      <c r="I879" s="30"/>
      <c r="J879" s="30"/>
      <c r="K879" s="30"/>
      <c r="L879" s="30"/>
      <c r="M879" s="30"/>
      <c r="N879" s="30"/>
      <c r="O879" s="30"/>
      <c r="P879" s="30"/>
      <c r="Q879" s="30"/>
      <c r="R879" s="30"/>
      <c r="S879" s="30"/>
      <c r="T879" s="30"/>
      <c r="U879" s="30"/>
      <c r="V879" s="30"/>
      <c r="W879" s="30"/>
      <c r="X879" s="30"/>
      <c r="Y879" s="30"/>
      <c r="Z879" s="30"/>
      <c r="AA879" s="30"/>
      <c r="AB879" s="30"/>
      <c r="AC879" s="30"/>
      <c r="AD879" s="30"/>
      <c r="AE879" s="30"/>
      <c r="AF879" s="30"/>
    </row>
    <row r="880" ht="15.75" customHeight="1">
      <c r="A880" s="114"/>
      <c r="B880" s="115"/>
      <c r="C880" s="114"/>
      <c r="D880" s="114"/>
      <c r="E880" s="210"/>
      <c r="F880" s="30"/>
      <c r="G880" s="30"/>
      <c r="H880" s="30"/>
      <c r="I880" s="30"/>
      <c r="J880" s="30"/>
      <c r="K880" s="30"/>
      <c r="L880" s="30"/>
      <c r="M880" s="30"/>
      <c r="N880" s="30"/>
      <c r="O880" s="30"/>
      <c r="P880" s="30"/>
      <c r="Q880" s="30"/>
      <c r="R880" s="30"/>
      <c r="S880" s="30"/>
      <c r="T880" s="30"/>
      <c r="U880" s="30"/>
      <c r="V880" s="30"/>
      <c r="W880" s="30"/>
      <c r="X880" s="30"/>
      <c r="Y880" s="30"/>
      <c r="Z880" s="30"/>
      <c r="AA880" s="30"/>
      <c r="AB880" s="30"/>
      <c r="AC880" s="30"/>
      <c r="AD880" s="30"/>
      <c r="AE880" s="30"/>
      <c r="AF880" s="30"/>
    </row>
    <row r="881" ht="15.75" customHeight="1">
      <c r="A881" s="114"/>
      <c r="B881" s="115"/>
      <c r="C881" s="114"/>
      <c r="D881" s="114"/>
      <c r="E881" s="210"/>
      <c r="F881" s="30"/>
      <c r="G881" s="30"/>
      <c r="H881" s="30"/>
      <c r="I881" s="30"/>
      <c r="J881" s="30"/>
      <c r="K881" s="30"/>
      <c r="L881" s="30"/>
      <c r="M881" s="30"/>
      <c r="N881" s="30"/>
      <c r="O881" s="30"/>
      <c r="P881" s="30"/>
      <c r="Q881" s="30"/>
      <c r="R881" s="30"/>
      <c r="S881" s="30"/>
      <c r="T881" s="30"/>
      <c r="U881" s="30"/>
      <c r="V881" s="30"/>
      <c r="W881" s="30"/>
      <c r="X881" s="30"/>
      <c r="Y881" s="30"/>
      <c r="Z881" s="30"/>
      <c r="AA881" s="30"/>
      <c r="AB881" s="30"/>
      <c r="AC881" s="30"/>
      <c r="AD881" s="30"/>
      <c r="AE881" s="30"/>
      <c r="AF881" s="30"/>
    </row>
    <row r="882" ht="15.75" customHeight="1">
      <c r="A882" s="114"/>
      <c r="B882" s="115"/>
      <c r="C882" s="114"/>
      <c r="D882" s="114"/>
      <c r="E882" s="210"/>
      <c r="F882" s="30"/>
      <c r="G882" s="30"/>
      <c r="H882" s="30"/>
      <c r="I882" s="30"/>
      <c r="J882" s="30"/>
      <c r="K882" s="30"/>
      <c r="L882" s="30"/>
      <c r="M882" s="30"/>
      <c r="N882" s="30"/>
      <c r="O882" s="30"/>
      <c r="P882" s="30"/>
      <c r="Q882" s="30"/>
      <c r="R882" s="30"/>
      <c r="S882" s="30"/>
      <c r="T882" s="30"/>
      <c r="U882" s="30"/>
      <c r="V882" s="30"/>
      <c r="W882" s="30"/>
      <c r="X882" s="30"/>
      <c r="Y882" s="30"/>
      <c r="Z882" s="30"/>
      <c r="AA882" s="30"/>
      <c r="AB882" s="30"/>
      <c r="AC882" s="30"/>
      <c r="AD882" s="30"/>
      <c r="AE882" s="30"/>
      <c r="AF882" s="30"/>
    </row>
    <row r="883" ht="15.75" customHeight="1">
      <c r="A883" s="114"/>
      <c r="B883" s="115"/>
      <c r="C883" s="114"/>
      <c r="D883" s="114"/>
      <c r="E883" s="210"/>
      <c r="F883" s="30"/>
      <c r="G883" s="30"/>
      <c r="H883" s="30"/>
      <c r="I883" s="30"/>
      <c r="J883" s="30"/>
      <c r="K883" s="30"/>
      <c r="L883" s="30"/>
      <c r="M883" s="30"/>
      <c r="N883" s="30"/>
      <c r="O883" s="30"/>
      <c r="P883" s="30"/>
      <c r="Q883" s="30"/>
      <c r="R883" s="30"/>
      <c r="S883" s="30"/>
      <c r="T883" s="30"/>
      <c r="U883" s="30"/>
      <c r="V883" s="30"/>
      <c r="W883" s="30"/>
      <c r="X883" s="30"/>
      <c r="Y883" s="30"/>
      <c r="Z883" s="30"/>
      <c r="AA883" s="30"/>
      <c r="AB883" s="30"/>
      <c r="AC883" s="30"/>
      <c r="AD883" s="30"/>
      <c r="AE883" s="30"/>
      <c r="AF883" s="30"/>
    </row>
    <row r="884" ht="15.75" customHeight="1">
      <c r="A884" s="114"/>
      <c r="B884" s="115"/>
      <c r="C884" s="114"/>
      <c r="D884" s="114"/>
      <c r="E884" s="210"/>
      <c r="F884" s="30"/>
      <c r="G884" s="30"/>
      <c r="H884" s="30"/>
      <c r="I884" s="30"/>
      <c r="J884" s="30"/>
      <c r="K884" s="30"/>
      <c r="L884" s="30"/>
      <c r="M884" s="30"/>
      <c r="N884" s="30"/>
      <c r="O884" s="30"/>
      <c r="P884" s="30"/>
      <c r="Q884" s="30"/>
      <c r="R884" s="30"/>
      <c r="S884" s="30"/>
      <c r="T884" s="30"/>
      <c r="U884" s="30"/>
      <c r="V884" s="30"/>
      <c r="W884" s="30"/>
      <c r="X884" s="30"/>
      <c r="Y884" s="30"/>
      <c r="Z884" s="30"/>
      <c r="AA884" s="30"/>
      <c r="AB884" s="30"/>
      <c r="AC884" s="30"/>
      <c r="AD884" s="30"/>
      <c r="AE884" s="30"/>
      <c r="AF884" s="30"/>
    </row>
    <row r="885" ht="15.75" customHeight="1">
      <c r="A885" s="114"/>
      <c r="B885" s="115"/>
      <c r="C885" s="114"/>
      <c r="D885" s="114"/>
      <c r="E885" s="210"/>
      <c r="F885" s="30"/>
      <c r="G885" s="30"/>
      <c r="H885" s="30"/>
      <c r="I885" s="30"/>
      <c r="J885" s="30"/>
      <c r="K885" s="30"/>
      <c r="L885" s="30"/>
      <c r="M885" s="30"/>
      <c r="N885" s="30"/>
      <c r="O885" s="30"/>
      <c r="P885" s="30"/>
      <c r="Q885" s="30"/>
      <c r="R885" s="30"/>
      <c r="S885" s="30"/>
      <c r="T885" s="30"/>
      <c r="U885" s="30"/>
      <c r="V885" s="30"/>
      <c r="W885" s="30"/>
      <c r="X885" s="30"/>
      <c r="Y885" s="30"/>
      <c r="Z885" s="30"/>
      <c r="AA885" s="30"/>
      <c r="AB885" s="30"/>
      <c r="AC885" s="30"/>
      <c r="AD885" s="30"/>
      <c r="AE885" s="30"/>
      <c r="AF885" s="30"/>
    </row>
    <row r="886" ht="15.75" customHeight="1">
      <c r="A886" s="114"/>
      <c r="B886" s="115"/>
      <c r="C886" s="114"/>
      <c r="D886" s="114"/>
      <c r="E886" s="210"/>
      <c r="F886" s="30"/>
      <c r="G886" s="30"/>
      <c r="H886" s="30"/>
      <c r="I886" s="30"/>
      <c r="J886" s="30"/>
      <c r="K886" s="30"/>
      <c r="L886" s="30"/>
      <c r="M886" s="30"/>
      <c r="N886" s="30"/>
      <c r="O886" s="30"/>
      <c r="P886" s="30"/>
      <c r="Q886" s="30"/>
      <c r="R886" s="30"/>
      <c r="S886" s="30"/>
      <c r="T886" s="30"/>
      <c r="U886" s="30"/>
      <c r="V886" s="30"/>
      <c r="W886" s="30"/>
      <c r="X886" s="30"/>
      <c r="Y886" s="30"/>
      <c r="Z886" s="30"/>
      <c r="AA886" s="30"/>
      <c r="AB886" s="30"/>
      <c r="AC886" s="30"/>
      <c r="AD886" s="30"/>
      <c r="AE886" s="30"/>
      <c r="AF886" s="30"/>
    </row>
    <row r="887" ht="15.75" customHeight="1">
      <c r="A887" s="114"/>
      <c r="B887" s="115"/>
      <c r="C887" s="114"/>
      <c r="D887" s="114"/>
      <c r="E887" s="210"/>
      <c r="F887" s="30"/>
      <c r="G887" s="30"/>
      <c r="H887" s="30"/>
      <c r="I887" s="30"/>
      <c r="J887" s="30"/>
      <c r="K887" s="30"/>
      <c r="L887" s="30"/>
      <c r="M887" s="30"/>
      <c r="N887" s="30"/>
      <c r="O887" s="30"/>
      <c r="P887" s="30"/>
      <c r="Q887" s="30"/>
      <c r="R887" s="30"/>
      <c r="S887" s="30"/>
      <c r="T887" s="30"/>
      <c r="U887" s="30"/>
      <c r="V887" s="30"/>
      <c r="W887" s="30"/>
      <c r="X887" s="30"/>
      <c r="Y887" s="30"/>
      <c r="Z887" s="30"/>
      <c r="AA887" s="30"/>
      <c r="AB887" s="30"/>
      <c r="AC887" s="30"/>
      <c r="AD887" s="30"/>
      <c r="AE887" s="30"/>
      <c r="AF887" s="30"/>
    </row>
    <row r="888" ht="15.75" customHeight="1">
      <c r="A888" s="114"/>
      <c r="B888" s="115"/>
      <c r="C888" s="114"/>
      <c r="D888" s="114"/>
      <c r="E888" s="210"/>
      <c r="F888" s="30"/>
      <c r="G888" s="30"/>
      <c r="H888" s="30"/>
      <c r="I888" s="30"/>
      <c r="J888" s="30"/>
      <c r="K888" s="30"/>
      <c r="L888" s="30"/>
      <c r="M888" s="30"/>
      <c r="N888" s="30"/>
      <c r="O888" s="30"/>
      <c r="P888" s="30"/>
      <c r="Q888" s="30"/>
      <c r="R888" s="30"/>
      <c r="S888" s="30"/>
      <c r="T888" s="30"/>
      <c r="U888" s="30"/>
      <c r="V888" s="30"/>
      <c r="W888" s="30"/>
      <c r="X888" s="30"/>
      <c r="Y888" s="30"/>
      <c r="Z888" s="30"/>
      <c r="AA888" s="30"/>
      <c r="AB888" s="30"/>
      <c r="AC888" s="30"/>
      <c r="AD888" s="30"/>
      <c r="AE888" s="30"/>
      <c r="AF888" s="30"/>
    </row>
    <row r="889" ht="15.75" customHeight="1">
      <c r="A889" s="114"/>
      <c r="B889" s="115"/>
      <c r="C889" s="114"/>
      <c r="D889" s="114"/>
      <c r="E889" s="210"/>
      <c r="F889" s="30"/>
      <c r="G889" s="30"/>
      <c r="H889" s="30"/>
      <c r="I889" s="30"/>
      <c r="J889" s="30"/>
      <c r="K889" s="30"/>
      <c r="L889" s="30"/>
      <c r="M889" s="30"/>
      <c r="N889" s="30"/>
      <c r="O889" s="30"/>
      <c r="P889" s="30"/>
      <c r="Q889" s="30"/>
      <c r="R889" s="30"/>
      <c r="S889" s="30"/>
      <c r="T889" s="30"/>
      <c r="U889" s="30"/>
      <c r="V889" s="30"/>
      <c r="W889" s="30"/>
      <c r="X889" s="30"/>
      <c r="Y889" s="30"/>
      <c r="Z889" s="30"/>
      <c r="AA889" s="30"/>
      <c r="AB889" s="30"/>
      <c r="AC889" s="30"/>
      <c r="AD889" s="30"/>
      <c r="AE889" s="30"/>
      <c r="AF889" s="30"/>
    </row>
    <row r="890" ht="15.75" customHeight="1">
      <c r="A890" s="114"/>
      <c r="B890" s="115"/>
      <c r="C890" s="114"/>
      <c r="D890" s="114"/>
      <c r="E890" s="210"/>
      <c r="F890" s="30"/>
      <c r="G890" s="30"/>
      <c r="H890" s="30"/>
      <c r="I890" s="30"/>
      <c r="J890" s="30"/>
      <c r="K890" s="30"/>
      <c r="L890" s="30"/>
      <c r="M890" s="30"/>
      <c r="N890" s="30"/>
      <c r="O890" s="30"/>
      <c r="P890" s="30"/>
      <c r="Q890" s="30"/>
      <c r="R890" s="30"/>
      <c r="S890" s="30"/>
      <c r="T890" s="30"/>
      <c r="U890" s="30"/>
      <c r="V890" s="30"/>
      <c r="W890" s="30"/>
      <c r="X890" s="30"/>
      <c r="Y890" s="30"/>
      <c r="Z890" s="30"/>
      <c r="AA890" s="30"/>
      <c r="AB890" s="30"/>
      <c r="AC890" s="30"/>
      <c r="AD890" s="30"/>
      <c r="AE890" s="30"/>
      <c r="AF890" s="30"/>
    </row>
    <row r="891" ht="15.75" customHeight="1">
      <c r="A891" s="114"/>
      <c r="B891" s="115"/>
      <c r="C891" s="114"/>
      <c r="D891" s="114"/>
      <c r="E891" s="210"/>
      <c r="F891" s="30"/>
      <c r="G891" s="30"/>
      <c r="H891" s="30"/>
      <c r="I891" s="30"/>
      <c r="J891" s="30"/>
      <c r="K891" s="30"/>
      <c r="L891" s="30"/>
      <c r="M891" s="30"/>
      <c r="N891" s="30"/>
      <c r="O891" s="30"/>
      <c r="P891" s="30"/>
      <c r="Q891" s="30"/>
      <c r="R891" s="30"/>
      <c r="S891" s="30"/>
      <c r="T891" s="30"/>
      <c r="U891" s="30"/>
      <c r="V891" s="30"/>
      <c r="W891" s="30"/>
      <c r="X891" s="30"/>
      <c r="Y891" s="30"/>
      <c r="Z891" s="30"/>
      <c r="AA891" s="30"/>
      <c r="AB891" s="30"/>
      <c r="AC891" s="30"/>
      <c r="AD891" s="30"/>
      <c r="AE891" s="30"/>
      <c r="AF891" s="30"/>
    </row>
    <row r="892" ht="15.75" customHeight="1">
      <c r="A892" s="114"/>
      <c r="B892" s="115"/>
      <c r="C892" s="114"/>
      <c r="D892" s="114"/>
      <c r="E892" s="210"/>
      <c r="F892" s="30"/>
      <c r="G892" s="30"/>
      <c r="H892" s="30"/>
      <c r="I892" s="30"/>
      <c r="J892" s="30"/>
      <c r="K892" s="30"/>
      <c r="L892" s="30"/>
      <c r="M892" s="30"/>
      <c r="N892" s="30"/>
      <c r="O892" s="30"/>
      <c r="P892" s="30"/>
      <c r="Q892" s="30"/>
      <c r="R892" s="30"/>
      <c r="S892" s="30"/>
      <c r="T892" s="30"/>
      <c r="U892" s="30"/>
      <c r="V892" s="30"/>
      <c r="W892" s="30"/>
      <c r="X892" s="30"/>
      <c r="Y892" s="30"/>
      <c r="Z892" s="30"/>
      <c r="AA892" s="30"/>
      <c r="AB892" s="30"/>
      <c r="AC892" s="30"/>
      <c r="AD892" s="30"/>
      <c r="AE892" s="30"/>
      <c r="AF892" s="30"/>
    </row>
    <row r="893" ht="15.75" customHeight="1">
      <c r="A893" s="114"/>
      <c r="B893" s="115"/>
      <c r="C893" s="114"/>
      <c r="D893" s="114"/>
      <c r="E893" s="210"/>
      <c r="F893" s="30"/>
      <c r="G893" s="30"/>
      <c r="H893" s="30"/>
      <c r="I893" s="30"/>
      <c r="J893" s="30"/>
      <c r="K893" s="30"/>
      <c r="L893" s="30"/>
      <c r="M893" s="30"/>
      <c r="N893" s="30"/>
      <c r="O893" s="30"/>
      <c r="P893" s="30"/>
      <c r="Q893" s="30"/>
      <c r="R893" s="30"/>
      <c r="S893" s="30"/>
      <c r="T893" s="30"/>
      <c r="U893" s="30"/>
      <c r="V893" s="30"/>
      <c r="W893" s="30"/>
      <c r="X893" s="30"/>
      <c r="Y893" s="30"/>
      <c r="Z893" s="30"/>
      <c r="AA893" s="30"/>
      <c r="AB893" s="30"/>
      <c r="AC893" s="30"/>
      <c r="AD893" s="30"/>
      <c r="AE893" s="30"/>
      <c r="AF893" s="30"/>
    </row>
    <row r="894" ht="15.75" customHeight="1">
      <c r="A894" s="114"/>
      <c r="B894" s="115"/>
      <c r="C894" s="114"/>
      <c r="D894" s="114"/>
      <c r="E894" s="210"/>
      <c r="F894" s="30"/>
      <c r="G894" s="30"/>
      <c r="H894" s="30"/>
      <c r="I894" s="30"/>
      <c r="J894" s="30"/>
      <c r="K894" s="30"/>
      <c r="L894" s="30"/>
      <c r="M894" s="30"/>
      <c r="N894" s="30"/>
      <c r="O894" s="30"/>
      <c r="P894" s="30"/>
      <c r="Q894" s="30"/>
      <c r="R894" s="30"/>
      <c r="S894" s="30"/>
      <c r="T894" s="30"/>
      <c r="U894" s="30"/>
      <c r="V894" s="30"/>
      <c r="W894" s="30"/>
      <c r="X894" s="30"/>
      <c r="Y894" s="30"/>
      <c r="Z894" s="30"/>
      <c r="AA894" s="30"/>
      <c r="AB894" s="30"/>
      <c r="AC894" s="30"/>
      <c r="AD894" s="30"/>
      <c r="AE894" s="30"/>
      <c r="AF894" s="30"/>
    </row>
    <row r="895" ht="15.75" customHeight="1">
      <c r="A895" s="114"/>
      <c r="B895" s="115"/>
      <c r="C895" s="114"/>
      <c r="D895" s="114"/>
      <c r="E895" s="210"/>
      <c r="F895" s="30"/>
      <c r="G895" s="30"/>
      <c r="H895" s="30"/>
      <c r="I895" s="30"/>
      <c r="J895" s="30"/>
      <c r="K895" s="30"/>
      <c r="L895" s="30"/>
      <c r="M895" s="30"/>
      <c r="N895" s="30"/>
      <c r="O895" s="30"/>
      <c r="P895" s="30"/>
      <c r="Q895" s="30"/>
      <c r="R895" s="30"/>
      <c r="S895" s="30"/>
      <c r="T895" s="30"/>
      <c r="U895" s="30"/>
      <c r="V895" s="30"/>
      <c r="W895" s="30"/>
      <c r="X895" s="30"/>
      <c r="Y895" s="30"/>
      <c r="Z895" s="30"/>
      <c r="AA895" s="30"/>
      <c r="AB895" s="30"/>
      <c r="AC895" s="30"/>
      <c r="AD895" s="30"/>
      <c r="AE895" s="30"/>
      <c r="AF895" s="30"/>
    </row>
    <row r="896" ht="15.75" customHeight="1">
      <c r="A896" s="114"/>
      <c r="B896" s="115"/>
      <c r="C896" s="114"/>
      <c r="D896" s="114"/>
      <c r="E896" s="210"/>
      <c r="F896" s="30"/>
      <c r="G896" s="30"/>
      <c r="H896" s="30"/>
      <c r="I896" s="30"/>
      <c r="J896" s="30"/>
      <c r="K896" s="30"/>
      <c r="L896" s="30"/>
      <c r="M896" s="30"/>
      <c r="N896" s="30"/>
      <c r="O896" s="30"/>
      <c r="P896" s="30"/>
      <c r="Q896" s="30"/>
      <c r="R896" s="30"/>
      <c r="S896" s="30"/>
      <c r="T896" s="30"/>
      <c r="U896" s="30"/>
      <c r="V896" s="30"/>
      <c r="W896" s="30"/>
      <c r="X896" s="30"/>
      <c r="Y896" s="30"/>
      <c r="Z896" s="30"/>
      <c r="AA896" s="30"/>
      <c r="AB896" s="30"/>
      <c r="AC896" s="30"/>
      <c r="AD896" s="30"/>
      <c r="AE896" s="30"/>
      <c r="AF896" s="30"/>
    </row>
    <row r="897" ht="15.75" customHeight="1">
      <c r="A897" s="114"/>
      <c r="B897" s="115"/>
      <c r="C897" s="114"/>
      <c r="D897" s="114"/>
      <c r="E897" s="210"/>
      <c r="F897" s="30"/>
      <c r="G897" s="30"/>
      <c r="H897" s="30"/>
      <c r="I897" s="30"/>
      <c r="J897" s="30"/>
      <c r="K897" s="30"/>
      <c r="L897" s="30"/>
      <c r="M897" s="30"/>
      <c r="N897" s="30"/>
      <c r="O897" s="30"/>
      <c r="P897" s="30"/>
      <c r="Q897" s="30"/>
      <c r="R897" s="30"/>
      <c r="S897" s="30"/>
      <c r="T897" s="30"/>
      <c r="U897" s="30"/>
      <c r="V897" s="30"/>
      <c r="W897" s="30"/>
      <c r="X897" s="30"/>
      <c r="Y897" s="30"/>
      <c r="Z897" s="30"/>
      <c r="AA897" s="30"/>
      <c r="AB897" s="30"/>
      <c r="AC897" s="30"/>
      <c r="AD897" s="30"/>
      <c r="AE897" s="30"/>
      <c r="AF897" s="30"/>
    </row>
    <row r="898" ht="15.75" customHeight="1">
      <c r="A898" s="114"/>
      <c r="B898" s="115"/>
      <c r="C898" s="114"/>
      <c r="D898" s="114"/>
      <c r="E898" s="210"/>
      <c r="F898" s="30"/>
      <c r="G898" s="30"/>
      <c r="H898" s="30"/>
      <c r="I898" s="30"/>
      <c r="J898" s="30"/>
      <c r="K898" s="30"/>
      <c r="L898" s="30"/>
      <c r="M898" s="30"/>
      <c r="N898" s="30"/>
      <c r="O898" s="30"/>
      <c r="P898" s="30"/>
      <c r="Q898" s="30"/>
      <c r="R898" s="30"/>
      <c r="S898" s="30"/>
      <c r="T898" s="30"/>
      <c r="U898" s="30"/>
      <c r="V898" s="30"/>
      <c r="W898" s="30"/>
      <c r="X898" s="30"/>
      <c r="Y898" s="30"/>
      <c r="Z898" s="30"/>
      <c r="AA898" s="30"/>
      <c r="AB898" s="30"/>
      <c r="AC898" s="30"/>
      <c r="AD898" s="30"/>
      <c r="AE898" s="30"/>
      <c r="AF898" s="30"/>
    </row>
    <row r="899" ht="15.75" customHeight="1">
      <c r="A899" s="114"/>
      <c r="B899" s="115"/>
      <c r="C899" s="114"/>
      <c r="D899" s="114"/>
      <c r="E899" s="210"/>
      <c r="F899" s="30"/>
      <c r="G899" s="30"/>
      <c r="H899" s="30"/>
      <c r="I899" s="30"/>
      <c r="J899" s="30"/>
      <c r="K899" s="30"/>
      <c r="L899" s="30"/>
      <c r="M899" s="30"/>
      <c r="N899" s="30"/>
      <c r="O899" s="30"/>
      <c r="P899" s="30"/>
      <c r="Q899" s="30"/>
      <c r="R899" s="30"/>
      <c r="S899" s="30"/>
      <c r="T899" s="30"/>
      <c r="U899" s="30"/>
      <c r="V899" s="30"/>
      <c r="W899" s="30"/>
      <c r="X899" s="30"/>
      <c r="Y899" s="30"/>
      <c r="Z899" s="30"/>
      <c r="AA899" s="30"/>
      <c r="AB899" s="30"/>
      <c r="AC899" s="30"/>
      <c r="AD899" s="30"/>
      <c r="AE899" s="30"/>
      <c r="AF899" s="30"/>
    </row>
    <row r="900" ht="15.75" customHeight="1">
      <c r="A900" s="114"/>
      <c r="B900" s="115"/>
      <c r="C900" s="114"/>
      <c r="D900" s="114"/>
      <c r="E900" s="210"/>
      <c r="F900" s="30"/>
      <c r="G900" s="30"/>
      <c r="H900" s="30"/>
      <c r="I900" s="30"/>
      <c r="J900" s="30"/>
      <c r="K900" s="30"/>
      <c r="L900" s="30"/>
      <c r="M900" s="30"/>
      <c r="N900" s="30"/>
      <c r="O900" s="30"/>
      <c r="P900" s="30"/>
      <c r="Q900" s="30"/>
      <c r="R900" s="30"/>
      <c r="S900" s="30"/>
      <c r="T900" s="30"/>
      <c r="U900" s="30"/>
      <c r="V900" s="30"/>
      <c r="W900" s="30"/>
      <c r="X900" s="30"/>
      <c r="Y900" s="30"/>
      <c r="Z900" s="30"/>
      <c r="AA900" s="30"/>
      <c r="AB900" s="30"/>
      <c r="AC900" s="30"/>
      <c r="AD900" s="30"/>
      <c r="AE900" s="30"/>
      <c r="AF900" s="30"/>
    </row>
    <row r="901" ht="15.75" customHeight="1">
      <c r="A901" s="114"/>
      <c r="B901" s="115"/>
      <c r="C901" s="114"/>
      <c r="D901" s="114"/>
      <c r="E901" s="210"/>
      <c r="F901" s="30"/>
      <c r="G901" s="30"/>
      <c r="H901" s="30"/>
      <c r="I901" s="30"/>
      <c r="J901" s="30"/>
      <c r="K901" s="30"/>
      <c r="L901" s="30"/>
      <c r="M901" s="30"/>
      <c r="N901" s="30"/>
      <c r="O901" s="30"/>
      <c r="P901" s="30"/>
      <c r="Q901" s="30"/>
      <c r="R901" s="30"/>
      <c r="S901" s="30"/>
      <c r="T901" s="30"/>
      <c r="U901" s="30"/>
      <c r="V901" s="30"/>
      <c r="W901" s="30"/>
      <c r="X901" s="30"/>
      <c r="Y901" s="30"/>
      <c r="Z901" s="30"/>
      <c r="AA901" s="30"/>
      <c r="AB901" s="30"/>
      <c r="AC901" s="30"/>
      <c r="AD901" s="30"/>
      <c r="AE901" s="30"/>
      <c r="AF901" s="30"/>
    </row>
    <row r="902" ht="15.75" customHeight="1">
      <c r="A902" s="114"/>
      <c r="B902" s="115"/>
      <c r="C902" s="114"/>
      <c r="D902" s="114"/>
      <c r="E902" s="210"/>
      <c r="F902" s="30"/>
      <c r="G902" s="30"/>
      <c r="H902" s="30"/>
      <c r="I902" s="30"/>
      <c r="J902" s="30"/>
      <c r="K902" s="30"/>
      <c r="L902" s="30"/>
      <c r="M902" s="30"/>
      <c r="N902" s="30"/>
      <c r="O902" s="30"/>
      <c r="P902" s="30"/>
      <c r="Q902" s="30"/>
      <c r="R902" s="30"/>
      <c r="S902" s="30"/>
      <c r="T902" s="30"/>
      <c r="U902" s="30"/>
      <c r="V902" s="30"/>
      <c r="W902" s="30"/>
      <c r="X902" s="30"/>
      <c r="Y902" s="30"/>
      <c r="Z902" s="30"/>
      <c r="AA902" s="30"/>
      <c r="AB902" s="30"/>
      <c r="AC902" s="30"/>
      <c r="AD902" s="30"/>
      <c r="AE902" s="30"/>
      <c r="AF902" s="30"/>
    </row>
    <row r="903" ht="15.75" customHeight="1">
      <c r="A903" s="114"/>
      <c r="B903" s="115"/>
      <c r="C903" s="114"/>
      <c r="D903" s="114"/>
      <c r="E903" s="210"/>
      <c r="F903" s="30"/>
      <c r="G903" s="30"/>
      <c r="H903" s="30"/>
      <c r="I903" s="30"/>
      <c r="J903" s="30"/>
      <c r="K903" s="30"/>
      <c r="L903" s="30"/>
      <c r="M903" s="30"/>
      <c r="N903" s="30"/>
      <c r="O903" s="30"/>
      <c r="P903" s="30"/>
      <c r="Q903" s="30"/>
      <c r="R903" s="30"/>
      <c r="S903" s="30"/>
      <c r="T903" s="30"/>
      <c r="U903" s="30"/>
      <c r="V903" s="30"/>
      <c r="W903" s="30"/>
      <c r="X903" s="30"/>
      <c r="Y903" s="30"/>
      <c r="Z903" s="30"/>
      <c r="AA903" s="30"/>
      <c r="AB903" s="30"/>
      <c r="AC903" s="30"/>
      <c r="AD903" s="30"/>
      <c r="AE903" s="30"/>
      <c r="AF903" s="30"/>
    </row>
    <row r="904" ht="15.75" customHeight="1">
      <c r="A904" s="114"/>
      <c r="B904" s="115"/>
      <c r="C904" s="114"/>
      <c r="D904" s="114"/>
      <c r="E904" s="210"/>
      <c r="F904" s="30"/>
      <c r="G904" s="30"/>
      <c r="H904" s="30"/>
      <c r="I904" s="30"/>
      <c r="J904" s="30"/>
      <c r="K904" s="30"/>
      <c r="L904" s="30"/>
      <c r="M904" s="30"/>
      <c r="N904" s="30"/>
      <c r="O904" s="30"/>
      <c r="P904" s="30"/>
      <c r="Q904" s="30"/>
      <c r="R904" s="30"/>
      <c r="S904" s="30"/>
      <c r="T904" s="30"/>
      <c r="U904" s="30"/>
      <c r="V904" s="30"/>
      <c r="W904" s="30"/>
      <c r="X904" s="30"/>
      <c r="Y904" s="30"/>
      <c r="Z904" s="30"/>
      <c r="AA904" s="30"/>
      <c r="AB904" s="30"/>
      <c r="AC904" s="30"/>
      <c r="AD904" s="30"/>
      <c r="AE904" s="30"/>
      <c r="AF904" s="30"/>
    </row>
    <row r="905" ht="15.75" customHeight="1">
      <c r="A905" s="114"/>
      <c r="B905" s="115"/>
      <c r="C905" s="114"/>
      <c r="D905" s="114"/>
      <c r="E905" s="210"/>
      <c r="F905" s="30"/>
      <c r="G905" s="30"/>
      <c r="H905" s="30"/>
      <c r="I905" s="30"/>
      <c r="J905" s="30"/>
      <c r="K905" s="30"/>
      <c r="L905" s="30"/>
      <c r="M905" s="30"/>
      <c r="N905" s="30"/>
      <c r="O905" s="30"/>
      <c r="P905" s="30"/>
      <c r="Q905" s="30"/>
      <c r="R905" s="30"/>
      <c r="S905" s="30"/>
      <c r="T905" s="30"/>
      <c r="U905" s="30"/>
      <c r="V905" s="30"/>
      <c r="W905" s="30"/>
      <c r="X905" s="30"/>
      <c r="Y905" s="30"/>
      <c r="Z905" s="30"/>
      <c r="AA905" s="30"/>
      <c r="AB905" s="30"/>
      <c r="AC905" s="30"/>
      <c r="AD905" s="30"/>
      <c r="AE905" s="30"/>
      <c r="AF905" s="30"/>
    </row>
    <row r="906" ht="15.75" customHeight="1">
      <c r="A906" s="114"/>
      <c r="B906" s="115"/>
      <c r="C906" s="114"/>
      <c r="D906" s="114"/>
      <c r="E906" s="210"/>
      <c r="F906" s="30"/>
      <c r="G906" s="30"/>
      <c r="H906" s="30"/>
      <c r="I906" s="30"/>
      <c r="J906" s="30"/>
      <c r="K906" s="30"/>
      <c r="L906" s="30"/>
      <c r="M906" s="30"/>
      <c r="N906" s="30"/>
      <c r="O906" s="30"/>
      <c r="P906" s="30"/>
      <c r="Q906" s="30"/>
      <c r="R906" s="30"/>
      <c r="S906" s="30"/>
      <c r="T906" s="30"/>
      <c r="U906" s="30"/>
      <c r="V906" s="30"/>
      <c r="W906" s="30"/>
      <c r="X906" s="30"/>
      <c r="Y906" s="30"/>
      <c r="Z906" s="30"/>
      <c r="AA906" s="30"/>
      <c r="AB906" s="30"/>
      <c r="AC906" s="30"/>
      <c r="AD906" s="30"/>
      <c r="AE906" s="30"/>
      <c r="AF906" s="30"/>
    </row>
    <row r="907" ht="15.75" customHeight="1">
      <c r="A907" s="114"/>
      <c r="B907" s="115"/>
      <c r="C907" s="114"/>
      <c r="D907" s="114"/>
      <c r="E907" s="210"/>
      <c r="F907" s="30"/>
      <c r="G907" s="30"/>
      <c r="H907" s="30"/>
      <c r="I907" s="30"/>
      <c r="J907" s="30"/>
      <c r="K907" s="30"/>
      <c r="L907" s="30"/>
      <c r="M907" s="30"/>
      <c r="N907" s="30"/>
      <c r="O907" s="30"/>
      <c r="P907" s="30"/>
      <c r="Q907" s="30"/>
      <c r="R907" s="30"/>
      <c r="S907" s="30"/>
      <c r="T907" s="30"/>
      <c r="U907" s="30"/>
      <c r="V907" s="30"/>
      <c r="W907" s="30"/>
      <c r="X907" s="30"/>
      <c r="Y907" s="30"/>
      <c r="Z907" s="30"/>
      <c r="AA907" s="30"/>
      <c r="AB907" s="30"/>
      <c r="AC907" s="30"/>
      <c r="AD907" s="30"/>
      <c r="AE907" s="30"/>
      <c r="AF907" s="30"/>
    </row>
    <row r="908" ht="15.75" customHeight="1">
      <c r="A908" s="114"/>
      <c r="B908" s="115"/>
      <c r="C908" s="114"/>
      <c r="D908" s="114"/>
      <c r="E908" s="210"/>
      <c r="F908" s="30"/>
      <c r="G908" s="30"/>
      <c r="H908" s="30"/>
      <c r="I908" s="30"/>
      <c r="J908" s="30"/>
      <c r="K908" s="30"/>
      <c r="L908" s="30"/>
      <c r="M908" s="30"/>
      <c r="N908" s="30"/>
      <c r="O908" s="30"/>
      <c r="P908" s="30"/>
      <c r="Q908" s="30"/>
      <c r="R908" s="30"/>
      <c r="S908" s="30"/>
      <c r="T908" s="30"/>
      <c r="U908" s="30"/>
      <c r="V908" s="30"/>
      <c r="W908" s="30"/>
      <c r="X908" s="30"/>
      <c r="Y908" s="30"/>
      <c r="Z908" s="30"/>
      <c r="AA908" s="30"/>
      <c r="AB908" s="30"/>
      <c r="AC908" s="30"/>
      <c r="AD908" s="30"/>
      <c r="AE908" s="30"/>
      <c r="AF908" s="30"/>
    </row>
    <row r="909" ht="15.75" customHeight="1">
      <c r="A909" s="114"/>
      <c r="B909" s="115"/>
      <c r="C909" s="114"/>
      <c r="D909" s="114"/>
      <c r="E909" s="210"/>
      <c r="F909" s="30"/>
      <c r="G909" s="30"/>
      <c r="H909" s="30"/>
      <c r="I909" s="30"/>
      <c r="J909" s="30"/>
      <c r="K909" s="30"/>
      <c r="L909" s="30"/>
      <c r="M909" s="30"/>
      <c r="N909" s="30"/>
      <c r="O909" s="30"/>
      <c r="P909" s="30"/>
      <c r="Q909" s="30"/>
      <c r="R909" s="30"/>
      <c r="S909" s="30"/>
      <c r="T909" s="30"/>
      <c r="U909" s="30"/>
      <c r="V909" s="30"/>
      <c r="W909" s="30"/>
      <c r="X909" s="30"/>
      <c r="Y909" s="30"/>
      <c r="Z909" s="30"/>
      <c r="AA909" s="30"/>
      <c r="AB909" s="30"/>
      <c r="AC909" s="30"/>
      <c r="AD909" s="30"/>
      <c r="AE909" s="30"/>
      <c r="AF909" s="30"/>
    </row>
    <row r="910" ht="15.75" customHeight="1">
      <c r="A910" s="114"/>
      <c r="B910" s="115"/>
      <c r="C910" s="114"/>
      <c r="D910" s="114"/>
      <c r="E910" s="210"/>
      <c r="F910" s="30"/>
      <c r="G910" s="30"/>
      <c r="H910" s="30"/>
      <c r="I910" s="30"/>
      <c r="J910" s="30"/>
      <c r="K910" s="30"/>
      <c r="L910" s="30"/>
      <c r="M910" s="30"/>
      <c r="N910" s="30"/>
      <c r="O910" s="30"/>
      <c r="P910" s="30"/>
      <c r="Q910" s="30"/>
      <c r="R910" s="30"/>
      <c r="S910" s="30"/>
      <c r="T910" s="30"/>
      <c r="U910" s="30"/>
      <c r="V910" s="30"/>
      <c r="W910" s="30"/>
      <c r="X910" s="30"/>
      <c r="Y910" s="30"/>
      <c r="Z910" s="30"/>
      <c r="AA910" s="30"/>
      <c r="AB910" s="30"/>
      <c r="AC910" s="30"/>
      <c r="AD910" s="30"/>
      <c r="AE910" s="30"/>
      <c r="AF910" s="30"/>
    </row>
    <row r="911" ht="15.75" customHeight="1">
      <c r="A911" s="114"/>
      <c r="B911" s="115"/>
      <c r="C911" s="114"/>
      <c r="D911" s="114"/>
      <c r="E911" s="210"/>
      <c r="F911" s="30"/>
      <c r="G911" s="30"/>
      <c r="H911" s="30"/>
      <c r="I911" s="30"/>
      <c r="J911" s="30"/>
      <c r="K911" s="30"/>
      <c r="L911" s="30"/>
      <c r="M911" s="30"/>
      <c r="N911" s="30"/>
      <c r="O911" s="30"/>
      <c r="P911" s="30"/>
      <c r="Q911" s="30"/>
      <c r="R911" s="30"/>
      <c r="S911" s="30"/>
      <c r="T911" s="30"/>
      <c r="U911" s="30"/>
      <c r="V911" s="30"/>
      <c r="W911" s="30"/>
      <c r="X911" s="30"/>
      <c r="Y911" s="30"/>
      <c r="Z911" s="30"/>
      <c r="AA911" s="30"/>
      <c r="AB911" s="30"/>
      <c r="AC911" s="30"/>
      <c r="AD911" s="30"/>
      <c r="AE911" s="30"/>
      <c r="AF911" s="30"/>
    </row>
    <row r="912" ht="15.75" customHeight="1">
      <c r="A912" s="114"/>
      <c r="B912" s="115"/>
      <c r="C912" s="114"/>
      <c r="D912" s="114"/>
      <c r="E912" s="210"/>
      <c r="F912" s="30"/>
      <c r="G912" s="30"/>
      <c r="H912" s="30"/>
      <c r="I912" s="30"/>
      <c r="J912" s="30"/>
      <c r="K912" s="30"/>
      <c r="L912" s="30"/>
      <c r="M912" s="30"/>
      <c r="N912" s="30"/>
      <c r="O912" s="30"/>
      <c r="P912" s="30"/>
      <c r="Q912" s="30"/>
      <c r="R912" s="30"/>
      <c r="S912" s="30"/>
      <c r="T912" s="30"/>
      <c r="U912" s="30"/>
      <c r="V912" s="30"/>
      <c r="W912" s="30"/>
      <c r="X912" s="30"/>
      <c r="Y912" s="30"/>
      <c r="Z912" s="30"/>
      <c r="AA912" s="30"/>
      <c r="AB912" s="30"/>
      <c r="AC912" s="30"/>
      <c r="AD912" s="30"/>
      <c r="AE912" s="30"/>
      <c r="AF912" s="30"/>
    </row>
    <row r="913" ht="15.75" customHeight="1">
      <c r="A913" s="114"/>
      <c r="B913" s="115"/>
      <c r="C913" s="114"/>
      <c r="D913" s="114"/>
      <c r="E913" s="210"/>
      <c r="F913" s="30"/>
      <c r="G913" s="30"/>
      <c r="H913" s="30"/>
      <c r="I913" s="30"/>
      <c r="J913" s="30"/>
      <c r="K913" s="30"/>
      <c r="L913" s="30"/>
      <c r="M913" s="30"/>
      <c r="N913" s="30"/>
      <c r="O913" s="30"/>
      <c r="P913" s="30"/>
      <c r="Q913" s="30"/>
      <c r="R913" s="30"/>
      <c r="S913" s="30"/>
      <c r="T913" s="30"/>
      <c r="U913" s="30"/>
      <c r="V913" s="30"/>
      <c r="W913" s="30"/>
      <c r="X913" s="30"/>
      <c r="Y913" s="30"/>
      <c r="Z913" s="30"/>
      <c r="AA913" s="30"/>
      <c r="AB913" s="30"/>
      <c r="AC913" s="30"/>
      <c r="AD913" s="30"/>
      <c r="AE913" s="30"/>
      <c r="AF913" s="30"/>
    </row>
    <row r="914" ht="15.75" customHeight="1">
      <c r="A914" s="114"/>
      <c r="B914" s="115"/>
      <c r="C914" s="114"/>
      <c r="D914" s="114"/>
      <c r="E914" s="210"/>
      <c r="F914" s="30"/>
      <c r="G914" s="30"/>
      <c r="H914" s="30"/>
      <c r="I914" s="30"/>
      <c r="J914" s="30"/>
      <c r="K914" s="30"/>
      <c r="L914" s="30"/>
      <c r="M914" s="30"/>
      <c r="N914" s="30"/>
      <c r="O914" s="30"/>
      <c r="P914" s="30"/>
      <c r="Q914" s="30"/>
      <c r="R914" s="30"/>
      <c r="S914" s="30"/>
      <c r="T914" s="30"/>
      <c r="U914" s="30"/>
      <c r="V914" s="30"/>
      <c r="W914" s="30"/>
      <c r="X914" s="30"/>
      <c r="Y914" s="30"/>
      <c r="Z914" s="30"/>
      <c r="AA914" s="30"/>
      <c r="AB914" s="30"/>
      <c r="AC914" s="30"/>
      <c r="AD914" s="30"/>
      <c r="AE914" s="30"/>
      <c r="AF914" s="30"/>
    </row>
    <row r="915" ht="15.75" customHeight="1">
      <c r="A915" s="114"/>
      <c r="B915" s="115"/>
      <c r="C915" s="114"/>
      <c r="D915" s="114"/>
      <c r="E915" s="210"/>
      <c r="F915" s="30"/>
      <c r="G915" s="30"/>
      <c r="H915" s="30"/>
      <c r="I915" s="30"/>
      <c r="J915" s="30"/>
      <c r="K915" s="30"/>
      <c r="L915" s="30"/>
      <c r="M915" s="30"/>
      <c r="N915" s="30"/>
      <c r="O915" s="30"/>
      <c r="P915" s="30"/>
      <c r="Q915" s="30"/>
      <c r="R915" s="30"/>
      <c r="S915" s="30"/>
      <c r="T915" s="30"/>
      <c r="U915" s="30"/>
      <c r="V915" s="30"/>
      <c r="W915" s="30"/>
      <c r="X915" s="30"/>
      <c r="Y915" s="30"/>
      <c r="Z915" s="30"/>
      <c r="AA915" s="30"/>
      <c r="AB915" s="30"/>
      <c r="AC915" s="30"/>
      <c r="AD915" s="30"/>
      <c r="AE915" s="30"/>
      <c r="AF915" s="30"/>
    </row>
    <row r="916" ht="15.75" customHeight="1">
      <c r="A916" s="114"/>
      <c r="B916" s="115"/>
      <c r="C916" s="114"/>
      <c r="D916" s="114"/>
      <c r="E916" s="210"/>
      <c r="F916" s="30"/>
      <c r="G916" s="30"/>
      <c r="H916" s="30"/>
      <c r="I916" s="30"/>
      <c r="J916" s="30"/>
      <c r="K916" s="30"/>
      <c r="L916" s="30"/>
      <c r="M916" s="30"/>
      <c r="N916" s="30"/>
      <c r="O916" s="30"/>
      <c r="P916" s="30"/>
      <c r="Q916" s="30"/>
      <c r="R916" s="30"/>
      <c r="S916" s="30"/>
      <c r="T916" s="30"/>
      <c r="U916" s="30"/>
      <c r="V916" s="30"/>
      <c r="W916" s="30"/>
      <c r="X916" s="30"/>
      <c r="Y916" s="30"/>
      <c r="Z916" s="30"/>
      <c r="AA916" s="30"/>
      <c r="AB916" s="30"/>
      <c r="AC916" s="30"/>
      <c r="AD916" s="30"/>
      <c r="AE916" s="30"/>
      <c r="AF916" s="30"/>
    </row>
    <row r="917" ht="15.75" customHeight="1">
      <c r="A917" s="114"/>
      <c r="B917" s="115"/>
      <c r="C917" s="114"/>
      <c r="D917" s="114"/>
      <c r="E917" s="210"/>
      <c r="F917" s="30"/>
      <c r="G917" s="30"/>
      <c r="H917" s="30"/>
      <c r="I917" s="30"/>
      <c r="J917" s="30"/>
      <c r="K917" s="30"/>
      <c r="L917" s="30"/>
      <c r="M917" s="30"/>
      <c r="N917" s="30"/>
      <c r="O917" s="30"/>
      <c r="P917" s="30"/>
      <c r="Q917" s="30"/>
      <c r="R917" s="30"/>
      <c r="S917" s="30"/>
      <c r="T917" s="30"/>
      <c r="U917" s="30"/>
      <c r="V917" s="30"/>
      <c r="W917" s="30"/>
      <c r="X917" s="30"/>
      <c r="Y917" s="30"/>
      <c r="Z917" s="30"/>
      <c r="AA917" s="30"/>
      <c r="AB917" s="30"/>
      <c r="AC917" s="30"/>
      <c r="AD917" s="30"/>
      <c r="AE917" s="30"/>
      <c r="AF917" s="30"/>
    </row>
    <row r="918" ht="15.75" customHeight="1">
      <c r="A918" s="114"/>
      <c r="B918" s="115"/>
      <c r="C918" s="114"/>
      <c r="D918" s="114"/>
      <c r="E918" s="210"/>
      <c r="F918" s="30"/>
      <c r="G918" s="30"/>
      <c r="H918" s="30"/>
      <c r="I918" s="30"/>
      <c r="J918" s="30"/>
      <c r="K918" s="30"/>
      <c r="L918" s="30"/>
      <c r="M918" s="30"/>
      <c r="N918" s="30"/>
      <c r="O918" s="30"/>
      <c r="P918" s="30"/>
      <c r="Q918" s="30"/>
      <c r="R918" s="30"/>
      <c r="S918" s="30"/>
      <c r="T918" s="30"/>
      <c r="U918" s="30"/>
      <c r="V918" s="30"/>
      <c r="W918" s="30"/>
      <c r="X918" s="30"/>
      <c r="Y918" s="30"/>
      <c r="Z918" s="30"/>
      <c r="AA918" s="30"/>
      <c r="AB918" s="30"/>
      <c r="AC918" s="30"/>
      <c r="AD918" s="30"/>
      <c r="AE918" s="30"/>
      <c r="AF918" s="30"/>
    </row>
    <row r="919" ht="15.75" customHeight="1">
      <c r="A919" s="114"/>
      <c r="B919" s="115"/>
      <c r="C919" s="114"/>
      <c r="D919" s="114"/>
      <c r="E919" s="210"/>
      <c r="F919" s="30"/>
      <c r="G919" s="30"/>
      <c r="H919" s="30"/>
      <c r="I919" s="30"/>
      <c r="J919" s="30"/>
      <c r="K919" s="30"/>
      <c r="L919" s="30"/>
      <c r="M919" s="30"/>
      <c r="N919" s="30"/>
      <c r="O919" s="30"/>
      <c r="P919" s="30"/>
      <c r="Q919" s="30"/>
      <c r="R919" s="30"/>
      <c r="S919" s="30"/>
      <c r="T919" s="30"/>
      <c r="U919" s="30"/>
      <c r="V919" s="30"/>
      <c r="W919" s="30"/>
      <c r="X919" s="30"/>
      <c r="Y919" s="30"/>
      <c r="Z919" s="30"/>
      <c r="AA919" s="30"/>
      <c r="AB919" s="30"/>
      <c r="AC919" s="30"/>
      <c r="AD919" s="30"/>
      <c r="AE919" s="30"/>
      <c r="AF919" s="30"/>
    </row>
    <row r="920" ht="15.75" customHeight="1">
      <c r="A920" s="114"/>
      <c r="B920" s="115"/>
      <c r="C920" s="114"/>
      <c r="D920" s="114"/>
      <c r="E920" s="210"/>
      <c r="F920" s="30"/>
      <c r="G920" s="30"/>
      <c r="H920" s="30"/>
      <c r="I920" s="30"/>
      <c r="J920" s="30"/>
      <c r="K920" s="30"/>
      <c r="L920" s="30"/>
      <c r="M920" s="30"/>
      <c r="N920" s="30"/>
      <c r="O920" s="30"/>
      <c r="P920" s="30"/>
      <c r="Q920" s="30"/>
      <c r="R920" s="30"/>
      <c r="S920" s="30"/>
      <c r="T920" s="30"/>
      <c r="U920" s="30"/>
      <c r="V920" s="30"/>
      <c r="W920" s="30"/>
      <c r="X920" s="30"/>
      <c r="Y920" s="30"/>
      <c r="Z920" s="30"/>
      <c r="AA920" s="30"/>
      <c r="AB920" s="30"/>
      <c r="AC920" s="30"/>
      <c r="AD920" s="30"/>
      <c r="AE920" s="30"/>
      <c r="AF920" s="30"/>
    </row>
    <row r="921" ht="15.75" customHeight="1">
      <c r="A921" s="114"/>
      <c r="B921" s="115"/>
      <c r="C921" s="114"/>
      <c r="D921" s="114"/>
      <c r="E921" s="210"/>
      <c r="F921" s="30"/>
      <c r="G921" s="30"/>
      <c r="H921" s="30"/>
      <c r="I921" s="30"/>
      <c r="J921" s="30"/>
      <c r="K921" s="30"/>
      <c r="L921" s="30"/>
      <c r="M921" s="30"/>
      <c r="N921" s="30"/>
      <c r="O921" s="30"/>
      <c r="P921" s="30"/>
      <c r="Q921" s="30"/>
      <c r="R921" s="30"/>
      <c r="S921" s="30"/>
      <c r="T921" s="30"/>
      <c r="U921" s="30"/>
      <c r="V921" s="30"/>
      <c r="W921" s="30"/>
      <c r="X921" s="30"/>
      <c r="Y921" s="30"/>
      <c r="Z921" s="30"/>
      <c r="AA921" s="30"/>
      <c r="AB921" s="30"/>
      <c r="AC921" s="30"/>
      <c r="AD921" s="30"/>
      <c r="AE921" s="30"/>
      <c r="AF921" s="30"/>
    </row>
    <row r="922" ht="15.75" customHeight="1">
      <c r="A922" s="114"/>
      <c r="B922" s="115"/>
      <c r="C922" s="114"/>
      <c r="D922" s="114"/>
      <c r="E922" s="210"/>
      <c r="F922" s="30"/>
      <c r="G922" s="30"/>
      <c r="H922" s="30"/>
      <c r="I922" s="30"/>
      <c r="J922" s="30"/>
      <c r="K922" s="30"/>
      <c r="L922" s="30"/>
      <c r="M922" s="30"/>
      <c r="N922" s="30"/>
      <c r="O922" s="30"/>
      <c r="P922" s="30"/>
      <c r="Q922" s="30"/>
      <c r="R922" s="30"/>
      <c r="S922" s="30"/>
      <c r="T922" s="30"/>
      <c r="U922" s="30"/>
      <c r="V922" s="30"/>
      <c r="W922" s="30"/>
      <c r="X922" s="30"/>
      <c r="Y922" s="30"/>
      <c r="Z922" s="30"/>
      <c r="AA922" s="30"/>
      <c r="AB922" s="30"/>
      <c r="AC922" s="30"/>
      <c r="AD922" s="30"/>
      <c r="AE922" s="30"/>
      <c r="AF922" s="30"/>
    </row>
    <row r="923" ht="15.75" customHeight="1">
      <c r="A923" s="114"/>
      <c r="B923" s="115"/>
      <c r="C923" s="114"/>
      <c r="D923" s="114"/>
      <c r="E923" s="210"/>
      <c r="F923" s="30"/>
      <c r="G923" s="30"/>
      <c r="H923" s="30"/>
      <c r="I923" s="30"/>
      <c r="J923" s="30"/>
      <c r="K923" s="30"/>
      <c r="L923" s="30"/>
      <c r="M923" s="30"/>
      <c r="N923" s="30"/>
      <c r="O923" s="30"/>
      <c r="P923" s="30"/>
      <c r="Q923" s="30"/>
      <c r="R923" s="30"/>
      <c r="S923" s="30"/>
      <c r="T923" s="30"/>
      <c r="U923" s="30"/>
      <c r="V923" s="30"/>
      <c r="W923" s="30"/>
      <c r="X923" s="30"/>
      <c r="Y923" s="30"/>
      <c r="Z923" s="30"/>
      <c r="AA923" s="30"/>
      <c r="AB923" s="30"/>
      <c r="AC923" s="30"/>
      <c r="AD923" s="30"/>
      <c r="AE923" s="30"/>
      <c r="AF923" s="30"/>
    </row>
    <row r="924" ht="15.75" customHeight="1">
      <c r="A924" s="114"/>
      <c r="B924" s="115"/>
      <c r="C924" s="114"/>
      <c r="D924" s="114"/>
      <c r="E924" s="210"/>
      <c r="F924" s="30"/>
      <c r="G924" s="30"/>
      <c r="H924" s="30"/>
      <c r="I924" s="30"/>
      <c r="J924" s="30"/>
      <c r="K924" s="30"/>
      <c r="L924" s="30"/>
      <c r="M924" s="30"/>
      <c r="N924" s="30"/>
      <c r="O924" s="30"/>
      <c r="P924" s="30"/>
      <c r="Q924" s="30"/>
      <c r="R924" s="30"/>
      <c r="S924" s="30"/>
      <c r="T924" s="30"/>
      <c r="U924" s="30"/>
      <c r="V924" s="30"/>
      <c r="W924" s="30"/>
      <c r="X924" s="30"/>
      <c r="Y924" s="30"/>
      <c r="Z924" s="30"/>
      <c r="AA924" s="30"/>
      <c r="AB924" s="30"/>
      <c r="AC924" s="30"/>
      <c r="AD924" s="30"/>
      <c r="AE924" s="30"/>
      <c r="AF924" s="30"/>
    </row>
    <row r="925" ht="15.75" customHeight="1">
      <c r="A925" s="114"/>
      <c r="B925" s="115"/>
      <c r="C925" s="114"/>
      <c r="D925" s="114"/>
      <c r="E925" s="210"/>
      <c r="F925" s="30"/>
      <c r="G925" s="30"/>
      <c r="H925" s="30"/>
      <c r="I925" s="30"/>
      <c r="J925" s="30"/>
      <c r="K925" s="30"/>
      <c r="L925" s="30"/>
      <c r="M925" s="30"/>
      <c r="N925" s="30"/>
      <c r="O925" s="30"/>
      <c r="P925" s="30"/>
      <c r="Q925" s="30"/>
      <c r="R925" s="30"/>
      <c r="S925" s="30"/>
      <c r="T925" s="30"/>
      <c r="U925" s="30"/>
      <c r="V925" s="30"/>
      <c r="W925" s="30"/>
      <c r="X925" s="30"/>
      <c r="Y925" s="30"/>
      <c r="Z925" s="30"/>
      <c r="AA925" s="30"/>
      <c r="AB925" s="30"/>
      <c r="AC925" s="30"/>
      <c r="AD925" s="30"/>
      <c r="AE925" s="30"/>
      <c r="AF925" s="30"/>
    </row>
    <row r="926" ht="15.75" customHeight="1">
      <c r="A926" s="114"/>
      <c r="B926" s="115"/>
      <c r="C926" s="114"/>
      <c r="D926" s="114"/>
      <c r="E926" s="210"/>
      <c r="F926" s="30"/>
      <c r="G926" s="30"/>
      <c r="H926" s="30"/>
      <c r="I926" s="30"/>
      <c r="J926" s="30"/>
      <c r="K926" s="30"/>
      <c r="L926" s="30"/>
      <c r="M926" s="30"/>
      <c r="N926" s="30"/>
      <c r="O926" s="30"/>
      <c r="P926" s="30"/>
      <c r="Q926" s="30"/>
      <c r="R926" s="30"/>
      <c r="S926" s="30"/>
      <c r="T926" s="30"/>
      <c r="U926" s="30"/>
      <c r="V926" s="30"/>
      <c r="W926" s="30"/>
      <c r="X926" s="30"/>
      <c r="Y926" s="30"/>
      <c r="Z926" s="30"/>
      <c r="AA926" s="30"/>
      <c r="AB926" s="30"/>
      <c r="AC926" s="30"/>
      <c r="AD926" s="30"/>
      <c r="AE926" s="30"/>
      <c r="AF926" s="30"/>
    </row>
    <row r="927" ht="15.75" customHeight="1">
      <c r="A927" s="114"/>
      <c r="B927" s="115"/>
      <c r="C927" s="114"/>
      <c r="D927" s="114"/>
      <c r="E927" s="210"/>
      <c r="F927" s="30"/>
      <c r="G927" s="30"/>
      <c r="H927" s="30"/>
      <c r="I927" s="30"/>
      <c r="J927" s="30"/>
      <c r="K927" s="30"/>
      <c r="L927" s="30"/>
      <c r="M927" s="30"/>
      <c r="N927" s="30"/>
      <c r="O927" s="30"/>
      <c r="P927" s="30"/>
      <c r="Q927" s="30"/>
      <c r="R927" s="30"/>
      <c r="S927" s="30"/>
      <c r="T927" s="30"/>
      <c r="U927" s="30"/>
      <c r="V927" s="30"/>
      <c r="W927" s="30"/>
      <c r="X927" s="30"/>
      <c r="Y927" s="30"/>
      <c r="Z927" s="30"/>
      <c r="AA927" s="30"/>
      <c r="AB927" s="30"/>
      <c r="AC927" s="30"/>
      <c r="AD927" s="30"/>
      <c r="AE927" s="30"/>
      <c r="AF927" s="30"/>
    </row>
    <row r="928" ht="15.75" customHeight="1">
      <c r="A928" s="114"/>
      <c r="B928" s="115"/>
      <c r="C928" s="114"/>
      <c r="D928" s="114"/>
      <c r="E928" s="210"/>
      <c r="F928" s="30"/>
      <c r="G928" s="30"/>
      <c r="H928" s="30"/>
      <c r="I928" s="30"/>
      <c r="J928" s="30"/>
      <c r="K928" s="30"/>
      <c r="L928" s="30"/>
      <c r="M928" s="30"/>
      <c r="N928" s="30"/>
      <c r="O928" s="30"/>
      <c r="P928" s="30"/>
      <c r="Q928" s="30"/>
      <c r="R928" s="30"/>
      <c r="S928" s="30"/>
      <c r="T928" s="30"/>
      <c r="U928" s="30"/>
      <c r="V928" s="30"/>
      <c r="W928" s="30"/>
      <c r="X928" s="30"/>
      <c r="Y928" s="30"/>
      <c r="Z928" s="30"/>
      <c r="AA928" s="30"/>
      <c r="AB928" s="30"/>
      <c r="AC928" s="30"/>
      <c r="AD928" s="30"/>
      <c r="AE928" s="30"/>
      <c r="AF928" s="30"/>
    </row>
    <row r="929" ht="15.75" customHeight="1">
      <c r="A929" s="114"/>
      <c r="B929" s="115"/>
      <c r="C929" s="114"/>
      <c r="D929" s="114"/>
      <c r="E929" s="210"/>
      <c r="F929" s="30"/>
      <c r="G929" s="30"/>
      <c r="H929" s="30"/>
      <c r="I929" s="30"/>
      <c r="J929" s="30"/>
      <c r="K929" s="30"/>
      <c r="L929" s="30"/>
      <c r="M929" s="30"/>
      <c r="N929" s="30"/>
      <c r="O929" s="30"/>
      <c r="P929" s="30"/>
      <c r="Q929" s="30"/>
      <c r="R929" s="30"/>
      <c r="S929" s="30"/>
      <c r="T929" s="30"/>
      <c r="U929" s="30"/>
      <c r="V929" s="30"/>
      <c r="W929" s="30"/>
      <c r="X929" s="30"/>
      <c r="Y929" s="30"/>
      <c r="Z929" s="30"/>
      <c r="AA929" s="30"/>
      <c r="AB929" s="30"/>
      <c r="AC929" s="30"/>
      <c r="AD929" s="30"/>
      <c r="AE929" s="30"/>
      <c r="AF929" s="30"/>
    </row>
    <row r="930" ht="15.75" customHeight="1">
      <c r="A930" s="114"/>
      <c r="B930" s="115"/>
      <c r="C930" s="114"/>
      <c r="D930" s="114"/>
      <c r="E930" s="210"/>
      <c r="F930" s="30"/>
      <c r="G930" s="30"/>
      <c r="H930" s="30"/>
      <c r="I930" s="30"/>
      <c r="J930" s="30"/>
      <c r="K930" s="30"/>
      <c r="L930" s="30"/>
      <c r="M930" s="30"/>
      <c r="N930" s="30"/>
      <c r="O930" s="30"/>
      <c r="P930" s="30"/>
      <c r="Q930" s="30"/>
      <c r="R930" s="30"/>
      <c r="S930" s="30"/>
      <c r="T930" s="30"/>
      <c r="U930" s="30"/>
      <c r="V930" s="30"/>
      <c r="W930" s="30"/>
      <c r="X930" s="30"/>
      <c r="Y930" s="30"/>
      <c r="Z930" s="30"/>
      <c r="AA930" s="30"/>
      <c r="AB930" s="30"/>
      <c r="AC930" s="30"/>
      <c r="AD930" s="30"/>
      <c r="AE930" s="30"/>
      <c r="AF930" s="30"/>
    </row>
    <row r="931" ht="15.75" customHeight="1">
      <c r="A931" s="114"/>
      <c r="B931" s="115"/>
      <c r="C931" s="114"/>
      <c r="D931" s="114"/>
      <c r="E931" s="210"/>
      <c r="F931" s="30"/>
      <c r="G931" s="30"/>
      <c r="H931" s="30"/>
      <c r="I931" s="30"/>
      <c r="J931" s="30"/>
      <c r="K931" s="30"/>
      <c r="L931" s="30"/>
      <c r="M931" s="30"/>
      <c r="N931" s="30"/>
      <c r="O931" s="30"/>
      <c r="P931" s="30"/>
      <c r="Q931" s="30"/>
      <c r="R931" s="30"/>
      <c r="S931" s="30"/>
      <c r="T931" s="30"/>
      <c r="U931" s="30"/>
      <c r="V931" s="30"/>
      <c r="W931" s="30"/>
      <c r="X931" s="30"/>
      <c r="Y931" s="30"/>
      <c r="Z931" s="30"/>
      <c r="AA931" s="30"/>
      <c r="AB931" s="30"/>
      <c r="AC931" s="30"/>
      <c r="AD931" s="30"/>
      <c r="AE931" s="30"/>
      <c r="AF931" s="30"/>
    </row>
    <row r="932" ht="15.75" customHeight="1">
      <c r="A932" s="114"/>
      <c r="B932" s="115"/>
      <c r="C932" s="114"/>
      <c r="D932" s="114"/>
      <c r="E932" s="210"/>
      <c r="F932" s="30"/>
      <c r="G932" s="30"/>
      <c r="H932" s="30"/>
      <c r="I932" s="30"/>
      <c r="J932" s="30"/>
      <c r="K932" s="30"/>
      <c r="L932" s="30"/>
      <c r="M932" s="30"/>
      <c r="N932" s="30"/>
      <c r="O932" s="30"/>
      <c r="P932" s="30"/>
      <c r="Q932" s="30"/>
      <c r="R932" s="30"/>
      <c r="S932" s="30"/>
      <c r="T932" s="30"/>
      <c r="U932" s="30"/>
      <c r="V932" s="30"/>
      <c r="W932" s="30"/>
      <c r="X932" s="30"/>
      <c r="Y932" s="30"/>
      <c r="Z932" s="30"/>
      <c r="AA932" s="30"/>
      <c r="AB932" s="30"/>
      <c r="AC932" s="30"/>
      <c r="AD932" s="30"/>
      <c r="AE932" s="30"/>
      <c r="AF932" s="30"/>
    </row>
    <row r="933" ht="15.75" customHeight="1">
      <c r="A933" s="114"/>
      <c r="B933" s="115"/>
      <c r="C933" s="114"/>
      <c r="D933" s="114"/>
      <c r="E933" s="210"/>
      <c r="F933" s="30"/>
      <c r="G933" s="30"/>
      <c r="H933" s="30"/>
      <c r="I933" s="30"/>
      <c r="J933" s="30"/>
      <c r="K933" s="30"/>
      <c r="L933" s="30"/>
      <c r="M933" s="30"/>
      <c r="N933" s="30"/>
      <c r="O933" s="30"/>
      <c r="P933" s="30"/>
      <c r="Q933" s="30"/>
      <c r="R933" s="30"/>
      <c r="S933" s="30"/>
      <c r="T933" s="30"/>
      <c r="U933" s="30"/>
      <c r="V933" s="30"/>
      <c r="W933" s="30"/>
      <c r="X933" s="30"/>
      <c r="Y933" s="30"/>
      <c r="Z933" s="30"/>
      <c r="AA933" s="30"/>
      <c r="AB933" s="30"/>
      <c r="AC933" s="30"/>
      <c r="AD933" s="30"/>
      <c r="AE933" s="30"/>
      <c r="AF933" s="30"/>
    </row>
    <row r="934" ht="15.75" customHeight="1">
      <c r="A934" s="114"/>
      <c r="B934" s="115"/>
      <c r="C934" s="114"/>
      <c r="D934" s="114"/>
      <c r="E934" s="210"/>
      <c r="F934" s="30"/>
      <c r="G934" s="30"/>
      <c r="H934" s="30"/>
      <c r="I934" s="30"/>
      <c r="J934" s="30"/>
      <c r="K934" s="30"/>
      <c r="L934" s="30"/>
      <c r="M934" s="30"/>
      <c r="N934" s="30"/>
      <c r="O934" s="30"/>
      <c r="P934" s="30"/>
      <c r="Q934" s="30"/>
      <c r="R934" s="30"/>
      <c r="S934" s="30"/>
      <c r="T934" s="30"/>
      <c r="U934" s="30"/>
      <c r="V934" s="30"/>
      <c r="W934" s="30"/>
      <c r="X934" s="30"/>
      <c r="Y934" s="30"/>
      <c r="Z934" s="30"/>
      <c r="AA934" s="30"/>
      <c r="AB934" s="30"/>
      <c r="AC934" s="30"/>
      <c r="AD934" s="30"/>
      <c r="AE934" s="30"/>
      <c r="AF934" s="30"/>
    </row>
    <row r="935" ht="15.75" customHeight="1">
      <c r="A935" s="114"/>
      <c r="B935" s="115"/>
      <c r="C935" s="114"/>
      <c r="D935" s="114"/>
      <c r="E935" s="210"/>
      <c r="F935" s="30"/>
      <c r="G935" s="30"/>
      <c r="H935" s="30"/>
      <c r="I935" s="30"/>
      <c r="J935" s="30"/>
      <c r="K935" s="30"/>
      <c r="L935" s="30"/>
      <c r="M935" s="30"/>
      <c r="N935" s="30"/>
      <c r="O935" s="30"/>
      <c r="P935" s="30"/>
      <c r="Q935" s="30"/>
      <c r="R935" s="30"/>
      <c r="S935" s="30"/>
      <c r="T935" s="30"/>
      <c r="U935" s="30"/>
      <c r="V935" s="30"/>
      <c r="W935" s="30"/>
      <c r="X935" s="30"/>
      <c r="Y935" s="30"/>
      <c r="Z935" s="30"/>
      <c r="AA935" s="30"/>
      <c r="AB935" s="30"/>
      <c r="AC935" s="30"/>
      <c r="AD935" s="30"/>
      <c r="AE935" s="30"/>
      <c r="AF935" s="30"/>
    </row>
    <row r="936" ht="15.75" customHeight="1">
      <c r="A936" s="114"/>
      <c r="B936" s="115"/>
      <c r="C936" s="114"/>
      <c r="D936" s="114"/>
      <c r="E936" s="210"/>
      <c r="F936" s="30"/>
      <c r="G936" s="30"/>
      <c r="H936" s="30"/>
      <c r="I936" s="30"/>
      <c r="J936" s="30"/>
      <c r="K936" s="30"/>
      <c r="L936" s="30"/>
      <c r="M936" s="30"/>
      <c r="N936" s="30"/>
      <c r="O936" s="30"/>
      <c r="P936" s="30"/>
      <c r="Q936" s="30"/>
      <c r="R936" s="30"/>
      <c r="S936" s="30"/>
      <c r="T936" s="30"/>
      <c r="U936" s="30"/>
      <c r="V936" s="30"/>
      <c r="W936" s="30"/>
      <c r="X936" s="30"/>
      <c r="Y936" s="30"/>
      <c r="Z936" s="30"/>
      <c r="AA936" s="30"/>
      <c r="AB936" s="30"/>
      <c r="AC936" s="30"/>
      <c r="AD936" s="30"/>
      <c r="AE936" s="30"/>
      <c r="AF936" s="30"/>
    </row>
    <row r="937" ht="15.75" customHeight="1">
      <c r="A937" s="114"/>
      <c r="B937" s="115"/>
      <c r="C937" s="114"/>
      <c r="D937" s="114"/>
      <c r="E937" s="210"/>
      <c r="F937" s="30"/>
      <c r="G937" s="30"/>
      <c r="H937" s="30"/>
      <c r="I937" s="30"/>
      <c r="J937" s="30"/>
      <c r="K937" s="30"/>
      <c r="L937" s="30"/>
      <c r="M937" s="30"/>
      <c r="N937" s="30"/>
      <c r="O937" s="30"/>
      <c r="P937" s="30"/>
      <c r="Q937" s="30"/>
      <c r="R937" s="30"/>
      <c r="S937" s="30"/>
      <c r="T937" s="30"/>
      <c r="U937" s="30"/>
      <c r="V937" s="30"/>
      <c r="W937" s="30"/>
      <c r="X937" s="30"/>
      <c r="Y937" s="30"/>
      <c r="Z937" s="30"/>
      <c r="AA937" s="30"/>
      <c r="AB937" s="30"/>
      <c r="AC937" s="30"/>
      <c r="AD937" s="30"/>
      <c r="AE937" s="30"/>
      <c r="AF937" s="30"/>
    </row>
    <row r="938" ht="15.75" customHeight="1">
      <c r="A938" s="114"/>
      <c r="B938" s="115"/>
      <c r="C938" s="114"/>
      <c r="D938" s="114"/>
      <c r="E938" s="210"/>
      <c r="F938" s="30"/>
      <c r="G938" s="30"/>
      <c r="H938" s="30"/>
      <c r="I938" s="30"/>
      <c r="J938" s="30"/>
      <c r="K938" s="30"/>
      <c r="L938" s="30"/>
      <c r="M938" s="30"/>
      <c r="N938" s="30"/>
      <c r="O938" s="30"/>
      <c r="P938" s="30"/>
      <c r="Q938" s="30"/>
      <c r="R938" s="30"/>
      <c r="S938" s="30"/>
      <c r="T938" s="30"/>
      <c r="U938" s="30"/>
      <c r="V938" s="30"/>
      <c r="W938" s="30"/>
      <c r="X938" s="30"/>
      <c r="Y938" s="30"/>
      <c r="Z938" s="30"/>
      <c r="AA938" s="30"/>
      <c r="AB938" s="30"/>
      <c r="AC938" s="30"/>
      <c r="AD938" s="30"/>
      <c r="AE938" s="30"/>
      <c r="AF938" s="30"/>
    </row>
    <row r="939" ht="15.75" customHeight="1">
      <c r="A939" s="114"/>
      <c r="B939" s="115"/>
      <c r="C939" s="114"/>
      <c r="D939" s="114"/>
      <c r="E939" s="210"/>
      <c r="F939" s="30"/>
      <c r="G939" s="30"/>
      <c r="H939" s="30"/>
      <c r="I939" s="30"/>
      <c r="J939" s="30"/>
      <c r="K939" s="30"/>
      <c r="L939" s="30"/>
      <c r="M939" s="30"/>
      <c r="N939" s="30"/>
      <c r="O939" s="30"/>
      <c r="P939" s="30"/>
      <c r="Q939" s="30"/>
      <c r="R939" s="30"/>
      <c r="S939" s="30"/>
      <c r="T939" s="30"/>
      <c r="U939" s="30"/>
      <c r="V939" s="30"/>
      <c r="W939" s="30"/>
      <c r="X939" s="30"/>
      <c r="Y939" s="30"/>
      <c r="Z939" s="30"/>
      <c r="AA939" s="30"/>
      <c r="AB939" s="30"/>
      <c r="AC939" s="30"/>
      <c r="AD939" s="30"/>
      <c r="AE939" s="30"/>
      <c r="AF939" s="30"/>
    </row>
    <row r="940" ht="15.75" customHeight="1">
      <c r="A940" s="114"/>
      <c r="B940" s="115"/>
      <c r="C940" s="114"/>
      <c r="D940" s="114"/>
      <c r="E940" s="210"/>
      <c r="F940" s="30"/>
      <c r="G940" s="30"/>
      <c r="H940" s="30"/>
      <c r="I940" s="30"/>
      <c r="J940" s="30"/>
      <c r="K940" s="30"/>
      <c r="L940" s="30"/>
      <c r="M940" s="30"/>
      <c r="N940" s="30"/>
      <c r="O940" s="30"/>
      <c r="P940" s="30"/>
      <c r="Q940" s="30"/>
      <c r="R940" s="30"/>
      <c r="S940" s="30"/>
      <c r="T940" s="30"/>
      <c r="U940" s="30"/>
      <c r="V940" s="30"/>
      <c r="W940" s="30"/>
      <c r="X940" s="30"/>
      <c r="Y940" s="30"/>
      <c r="Z940" s="30"/>
      <c r="AA940" s="30"/>
      <c r="AB940" s="30"/>
      <c r="AC940" s="30"/>
      <c r="AD940" s="30"/>
      <c r="AE940" s="30"/>
      <c r="AF940" s="30"/>
    </row>
    <row r="941" ht="15.75" customHeight="1">
      <c r="A941" s="114"/>
      <c r="B941" s="115"/>
      <c r="C941" s="114"/>
      <c r="D941" s="114"/>
      <c r="E941" s="210"/>
      <c r="F941" s="30"/>
      <c r="G941" s="30"/>
      <c r="H941" s="30"/>
      <c r="I941" s="30"/>
      <c r="J941" s="30"/>
      <c r="K941" s="30"/>
      <c r="L941" s="30"/>
      <c r="M941" s="30"/>
      <c r="N941" s="30"/>
      <c r="O941" s="30"/>
      <c r="P941" s="30"/>
      <c r="Q941" s="30"/>
      <c r="R941" s="30"/>
      <c r="S941" s="30"/>
      <c r="T941" s="30"/>
      <c r="U941" s="30"/>
      <c r="V941" s="30"/>
      <c r="W941" s="30"/>
      <c r="X941" s="30"/>
      <c r="Y941" s="30"/>
      <c r="Z941" s="30"/>
      <c r="AA941" s="30"/>
      <c r="AB941" s="30"/>
      <c r="AC941" s="30"/>
      <c r="AD941" s="30"/>
      <c r="AE941" s="30"/>
      <c r="AF941" s="30"/>
    </row>
    <row r="942" ht="15.75" customHeight="1">
      <c r="A942" s="114"/>
      <c r="B942" s="115"/>
      <c r="C942" s="114"/>
      <c r="D942" s="114"/>
      <c r="E942" s="210"/>
      <c r="F942" s="30"/>
      <c r="G942" s="30"/>
      <c r="H942" s="30"/>
      <c r="I942" s="30"/>
      <c r="J942" s="30"/>
      <c r="K942" s="30"/>
      <c r="L942" s="30"/>
      <c r="M942" s="30"/>
      <c r="N942" s="30"/>
      <c r="O942" s="30"/>
      <c r="P942" s="30"/>
      <c r="Q942" s="30"/>
      <c r="R942" s="30"/>
      <c r="S942" s="30"/>
      <c r="T942" s="30"/>
      <c r="U942" s="30"/>
      <c r="V942" s="30"/>
      <c r="W942" s="30"/>
      <c r="X942" s="30"/>
      <c r="Y942" s="30"/>
      <c r="Z942" s="30"/>
      <c r="AA942" s="30"/>
      <c r="AB942" s="30"/>
      <c r="AC942" s="30"/>
      <c r="AD942" s="30"/>
      <c r="AE942" s="30"/>
      <c r="AF942" s="30"/>
    </row>
    <row r="943" ht="15.75" customHeight="1">
      <c r="A943" s="114"/>
      <c r="B943" s="115"/>
      <c r="C943" s="114"/>
      <c r="D943" s="114"/>
      <c r="E943" s="210"/>
      <c r="F943" s="30"/>
      <c r="G943" s="30"/>
      <c r="H943" s="30"/>
      <c r="I943" s="30"/>
      <c r="J943" s="30"/>
      <c r="K943" s="30"/>
      <c r="L943" s="30"/>
      <c r="M943" s="30"/>
      <c r="N943" s="30"/>
      <c r="O943" s="30"/>
      <c r="P943" s="30"/>
      <c r="Q943" s="30"/>
      <c r="R943" s="30"/>
      <c r="S943" s="30"/>
      <c r="T943" s="30"/>
      <c r="U943" s="30"/>
      <c r="V943" s="30"/>
      <c r="W943" s="30"/>
      <c r="X943" s="30"/>
      <c r="Y943" s="30"/>
      <c r="Z943" s="30"/>
      <c r="AA943" s="30"/>
      <c r="AB943" s="30"/>
      <c r="AC943" s="30"/>
      <c r="AD943" s="30"/>
      <c r="AE943" s="30"/>
      <c r="AF943" s="30"/>
    </row>
    <row r="944" ht="15.75" customHeight="1">
      <c r="A944" s="114"/>
      <c r="B944" s="115"/>
      <c r="C944" s="114"/>
      <c r="D944" s="114"/>
      <c r="E944" s="210"/>
      <c r="F944" s="30"/>
      <c r="G944" s="30"/>
      <c r="H944" s="30"/>
      <c r="I944" s="30"/>
      <c r="J944" s="30"/>
      <c r="K944" s="30"/>
      <c r="L944" s="30"/>
      <c r="M944" s="30"/>
      <c r="N944" s="30"/>
      <c r="O944" s="30"/>
      <c r="P944" s="30"/>
      <c r="Q944" s="30"/>
      <c r="R944" s="30"/>
      <c r="S944" s="30"/>
      <c r="T944" s="30"/>
      <c r="U944" s="30"/>
      <c r="V944" s="30"/>
      <c r="W944" s="30"/>
      <c r="X944" s="30"/>
      <c r="Y944" s="30"/>
      <c r="Z944" s="30"/>
      <c r="AA944" s="30"/>
      <c r="AB944" s="30"/>
      <c r="AC944" s="30"/>
      <c r="AD944" s="30"/>
      <c r="AE944" s="30"/>
      <c r="AF944" s="30"/>
    </row>
    <row r="945" ht="15.75" customHeight="1">
      <c r="A945" s="114"/>
      <c r="B945" s="115"/>
      <c r="C945" s="114"/>
      <c r="D945" s="114"/>
      <c r="E945" s="210"/>
      <c r="F945" s="30"/>
      <c r="G945" s="30"/>
      <c r="H945" s="30"/>
      <c r="I945" s="30"/>
      <c r="J945" s="30"/>
      <c r="K945" s="30"/>
      <c r="L945" s="30"/>
      <c r="M945" s="30"/>
      <c r="N945" s="30"/>
      <c r="O945" s="30"/>
      <c r="P945" s="30"/>
      <c r="Q945" s="30"/>
      <c r="R945" s="30"/>
      <c r="S945" s="30"/>
      <c r="T945" s="30"/>
      <c r="U945" s="30"/>
      <c r="V945" s="30"/>
      <c r="W945" s="30"/>
      <c r="X945" s="30"/>
      <c r="Y945" s="30"/>
      <c r="Z945" s="30"/>
      <c r="AA945" s="30"/>
      <c r="AB945" s="30"/>
      <c r="AC945" s="30"/>
      <c r="AD945" s="30"/>
      <c r="AE945" s="30"/>
      <c r="AF945" s="30"/>
    </row>
    <row r="946" ht="15.75" customHeight="1">
      <c r="A946" s="114"/>
      <c r="B946" s="115"/>
      <c r="C946" s="114"/>
      <c r="D946" s="114"/>
      <c r="E946" s="210"/>
      <c r="F946" s="30"/>
      <c r="G946" s="30"/>
      <c r="H946" s="30"/>
      <c r="I946" s="30"/>
      <c r="J946" s="30"/>
      <c r="K946" s="30"/>
      <c r="L946" s="30"/>
      <c r="M946" s="30"/>
      <c r="N946" s="30"/>
      <c r="O946" s="30"/>
      <c r="P946" s="30"/>
      <c r="Q946" s="30"/>
      <c r="R946" s="30"/>
      <c r="S946" s="30"/>
      <c r="T946" s="30"/>
      <c r="U946" s="30"/>
      <c r="V946" s="30"/>
      <c r="W946" s="30"/>
      <c r="X946" s="30"/>
      <c r="Y946" s="30"/>
      <c r="Z946" s="30"/>
      <c r="AA946" s="30"/>
      <c r="AB946" s="30"/>
      <c r="AC946" s="30"/>
      <c r="AD946" s="30"/>
      <c r="AE946" s="30"/>
      <c r="AF946" s="30"/>
    </row>
    <row r="947" ht="15.75" customHeight="1">
      <c r="A947" s="114"/>
      <c r="B947" s="115"/>
      <c r="C947" s="114"/>
      <c r="D947" s="114"/>
      <c r="E947" s="210"/>
      <c r="F947" s="30"/>
      <c r="G947" s="30"/>
      <c r="H947" s="30"/>
      <c r="I947" s="30"/>
      <c r="J947" s="30"/>
      <c r="K947" s="30"/>
      <c r="L947" s="30"/>
      <c r="M947" s="30"/>
      <c r="N947" s="30"/>
      <c r="O947" s="30"/>
      <c r="P947" s="30"/>
      <c r="Q947" s="30"/>
      <c r="R947" s="30"/>
      <c r="S947" s="30"/>
      <c r="T947" s="30"/>
      <c r="U947" s="30"/>
      <c r="V947" s="30"/>
      <c r="W947" s="30"/>
      <c r="X947" s="30"/>
      <c r="Y947" s="30"/>
      <c r="Z947" s="30"/>
      <c r="AA947" s="30"/>
      <c r="AB947" s="30"/>
      <c r="AC947" s="30"/>
      <c r="AD947" s="30"/>
      <c r="AE947" s="30"/>
      <c r="AF947" s="30"/>
    </row>
    <row r="948" ht="15.75" customHeight="1">
      <c r="A948" s="114"/>
      <c r="B948" s="115"/>
      <c r="C948" s="114"/>
      <c r="D948" s="114"/>
      <c r="E948" s="210"/>
      <c r="F948" s="30"/>
      <c r="G948" s="30"/>
      <c r="H948" s="30"/>
      <c r="I948" s="30"/>
      <c r="J948" s="30"/>
      <c r="K948" s="30"/>
      <c r="L948" s="30"/>
      <c r="M948" s="30"/>
      <c r="N948" s="30"/>
      <c r="O948" s="30"/>
      <c r="P948" s="30"/>
      <c r="Q948" s="30"/>
      <c r="R948" s="30"/>
      <c r="S948" s="30"/>
      <c r="T948" s="30"/>
      <c r="U948" s="30"/>
      <c r="V948" s="30"/>
      <c r="W948" s="30"/>
      <c r="X948" s="30"/>
      <c r="Y948" s="30"/>
      <c r="Z948" s="30"/>
      <c r="AA948" s="30"/>
      <c r="AB948" s="30"/>
      <c r="AC948" s="30"/>
      <c r="AD948" s="30"/>
      <c r="AE948" s="30"/>
      <c r="AF948" s="30"/>
    </row>
    <row r="949" ht="15.75" customHeight="1">
      <c r="A949" s="114"/>
      <c r="B949" s="115"/>
      <c r="C949" s="114"/>
      <c r="D949" s="114"/>
      <c r="E949" s="210"/>
      <c r="F949" s="30"/>
      <c r="G949" s="30"/>
      <c r="H949" s="30"/>
      <c r="I949" s="30"/>
      <c r="J949" s="30"/>
      <c r="K949" s="30"/>
      <c r="L949" s="30"/>
      <c r="M949" s="30"/>
      <c r="N949" s="30"/>
      <c r="O949" s="30"/>
      <c r="P949" s="30"/>
      <c r="Q949" s="30"/>
      <c r="R949" s="30"/>
      <c r="S949" s="30"/>
      <c r="T949" s="30"/>
      <c r="U949" s="30"/>
      <c r="V949" s="30"/>
      <c r="W949" s="30"/>
      <c r="X949" s="30"/>
      <c r="Y949" s="30"/>
      <c r="Z949" s="30"/>
      <c r="AA949" s="30"/>
      <c r="AB949" s="30"/>
      <c r="AC949" s="30"/>
      <c r="AD949" s="30"/>
      <c r="AE949" s="30"/>
      <c r="AF949" s="30"/>
    </row>
    <row r="950" ht="15.75" customHeight="1">
      <c r="A950" s="114"/>
      <c r="B950" s="115"/>
      <c r="C950" s="114"/>
      <c r="D950" s="114"/>
      <c r="E950" s="210"/>
      <c r="F950" s="30"/>
      <c r="G950" s="30"/>
      <c r="H950" s="30"/>
      <c r="I950" s="30"/>
      <c r="J950" s="30"/>
      <c r="K950" s="30"/>
      <c r="L950" s="30"/>
      <c r="M950" s="30"/>
      <c r="N950" s="30"/>
      <c r="O950" s="30"/>
      <c r="P950" s="30"/>
      <c r="Q950" s="30"/>
      <c r="R950" s="30"/>
      <c r="S950" s="30"/>
      <c r="T950" s="30"/>
      <c r="U950" s="30"/>
      <c r="V950" s="30"/>
      <c r="W950" s="30"/>
      <c r="X950" s="30"/>
      <c r="Y950" s="30"/>
      <c r="Z950" s="30"/>
      <c r="AA950" s="30"/>
      <c r="AB950" s="30"/>
      <c r="AC950" s="30"/>
      <c r="AD950" s="30"/>
      <c r="AE950" s="30"/>
      <c r="AF950" s="30"/>
    </row>
    <row r="951" ht="15.75" customHeight="1">
      <c r="A951" s="114"/>
      <c r="B951" s="115"/>
      <c r="C951" s="114"/>
      <c r="D951" s="114"/>
      <c r="E951" s="210"/>
      <c r="F951" s="30"/>
      <c r="G951" s="30"/>
      <c r="H951" s="30"/>
      <c r="I951" s="30"/>
      <c r="J951" s="30"/>
      <c r="K951" s="30"/>
      <c r="L951" s="30"/>
      <c r="M951" s="30"/>
      <c r="N951" s="30"/>
      <c r="O951" s="30"/>
      <c r="P951" s="30"/>
      <c r="Q951" s="30"/>
      <c r="R951" s="30"/>
      <c r="S951" s="30"/>
      <c r="T951" s="30"/>
      <c r="U951" s="30"/>
      <c r="V951" s="30"/>
      <c r="W951" s="30"/>
      <c r="X951" s="30"/>
      <c r="Y951" s="30"/>
      <c r="Z951" s="30"/>
      <c r="AA951" s="30"/>
      <c r="AB951" s="30"/>
      <c r="AC951" s="30"/>
      <c r="AD951" s="30"/>
      <c r="AE951" s="30"/>
      <c r="AF951" s="30"/>
    </row>
    <row r="952" ht="15.75" customHeight="1">
      <c r="A952" s="114"/>
      <c r="B952" s="115"/>
      <c r="C952" s="114"/>
      <c r="D952" s="114"/>
      <c r="E952" s="210"/>
      <c r="F952" s="30"/>
      <c r="G952" s="30"/>
      <c r="H952" s="30"/>
      <c r="I952" s="30"/>
      <c r="J952" s="30"/>
      <c r="K952" s="30"/>
      <c r="L952" s="30"/>
      <c r="M952" s="30"/>
      <c r="N952" s="30"/>
      <c r="O952" s="30"/>
      <c r="P952" s="30"/>
      <c r="Q952" s="30"/>
      <c r="R952" s="30"/>
      <c r="S952" s="30"/>
      <c r="T952" s="30"/>
      <c r="U952" s="30"/>
      <c r="V952" s="30"/>
      <c r="W952" s="30"/>
      <c r="X952" s="30"/>
      <c r="Y952" s="30"/>
      <c r="Z952" s="30"/>
      <c r="AA952" s="30"/>
      <c r="AB952" s="30"/>
      <c r="AC952" s="30"/>
      <c r="AD952" s="30"/>
      <c r="AE952" s="30"/>
      <c r="AF952" s="30"/>
    </row>
    <row r="953" ht="15.75" customHeight="1">
      <c r="A953" s="114"/>
      <c r="B953" s="115"/>
      <c r="C953" s="114"/>
      <c r="D953" s="114"/>
      <c r="E953" s="210"/>
      <c r="F953" s="30"/>
      <c r="G953" s="30"/>
      <c r="H953" s="30"/>
      <c r="I953" s="30"/>
      <c r="J953" s="30"/>
      <c r="K953" s="30"/>
      <c r="L953" s="30"/>
      <c r="M953" s="30"/>
      <c r="N953" s="30"/>
      <c r="O953" s="30"/>
      <c r="P953" s="30"/>
      <c r="Q953" s="30"/>
      <c r="R953" s="30"/>
      <c r="S953" s="30"/>
      <c r="T953" s="30"/>
      <c r="U953" s="30"/>
      <c r="V953" s="30"/>
      <c r="W953" s="30"/>
      <c r="X953" s="30"/>
      <c r="Y953" s="30"/>
      <c r="Z953" s="30"/>
      <c r="AA953" s="30"/>
      <c r="AB953" s="30"/>
      <c r="AC953" s="30"/>
      <c r="AD953" s="30"/>
      <c r="AE953" s="30"/>
      <c r="AF953" s="30"/>
    </row>
    <row r="954" ht="15.75" customHeight="1">
      <c r="A954" s="114"/>
      <c r="B954" s="115"/>
      <c r="C954" s="114"/>
      <c r="D954" s="114"/>
      <c r="E954" s="210"/>
      <c r="F954" s="30"/>
      <c r="G954" s="30"/>
      <c r="H954" s="30"/>
      <c r="I954" s="30"/>
      <c r="J954" s="30"/>
      <c r="K954" s="30"/>
      <c r="L954" s="30"/>
      <c r="M954" s="30"/>
      <c r="N954" s="30"/>
      <c r="O954" s="30"/>
      <c r="P954" s="30"/>
      <c r="Q954" s="30"/>
      <c r="R954" s="30"/>
      <c r="S954" s="30"/>
      <c r="T954" s="30"/>
      <c r="U954" s="30"/>
      <c r="V954" s="30"/>
      <c r="W954" s="30"/>
      <c r="X954" s="30"/>
      <c r="Y954" s="30"/>
      <c r="Z954" s="30"/>
      <c r="AA954" s="30"/>
      <c r="AB954" s="30"/>
      <c r="AC954" s="30"/>
      <c r="AD954" s="30"/>
      <c r="AE954" s="30"/>
      <c r="AF954" s="30"/>
    </row>
    <row r="955" ht="15.75" customHeight="1">
      <c r="A955" s="114"/>
      <c r="B955" s="115"/>
      <c r="C955" s="114"/>
      <c r="D955" s="114"/>
      <c r="E955" s="210"/>
      <c r="F955" s="30"/>
      <c r="G955" s="30"/>
      <c r="H955" s="30"/>
      <c r="I955" s="30"/>
      <c r="J955" s="30"/>
      <c r="K955" s="30"/>
      <c r="L955" s="30"/>
      <c r="M955" s="30"/>
      <c r="N955" s="30"/>
      <c r="O955" s="30"/>
      <c r="P955" s="30"/>
      <c r="Q955" s="30"/>
      <c r="R955" s="30"/>
      <c r="S955" s="30"/>
      <c r="T955" s="30"/>
      <c r="U955" s="30"/>
      <c r="V955" s="30"/>
      <c r="W955" s="30"/>
      <c r="X955" s="30"/>
      <c r="Y955" s="30"/>
      <c r="Z955" s="30"/>
      <c r="AA955" s="30"/>
      <c r="AB955" s="30"/>
      <c r="AC955" s="30"/>
      <c r="AD955" s="30"/>
      <c r="AE955" s="30"/>
      <c r="AF955" s="30"/>
    </row>
    <row r="956" ht="15.75" customHeight="1">
      <c r="A956" s="114"/>
      <c r="B956" s="115"/>
      <c r="C956" s="114"/>
      <c r="D956" s="114"/>
      <c r="E956" s="210"/>
      <c r="F956" s="30"/>
      <c r="G956" s="30"/>
      <c r="H956" s="30"/>
      <c r="I956" s="30"/>
      <c r="J956" s="30"/>
      <c r="K956" s="30"/>
      <c r="L956" s="30"/>
      <c r="M956" s="30"/>
      <c r="N956" s="30"/>
      <c r="O956" s="30"/>
      <c r="P956" s="30"/>
      <c r="Q956" s="30"/>
      <c r="R956" s="30"/>
      <c r="S956" s="30"/>
      <c r="T956" s="30"/>
      <c r="U956" s="30"/>
      <c r="V956" s="30"/>
      <c r="W956" s="30"/>
      <c r="X956" s="30"/>
      <c r="Y956" s="30"/>
      <c r="Z956" s="30"/>
      <c r="AA956" s="30"/>
      <c r="AB956" s="30"/>
      <c r="AC956" s="30"/>
      <c r="AD956" s="30"/>
      <c r="AE956" s="30"/>
      <c r="AF956" s="30"/>
    </row>
    <row r="957" ht="15.75" customHeight="1">
      <c r="A957" s="114"/>
      <c r="B957" s="115"/>
      <c r="C957" s="114"/>
      <c r="D957" s="114"/>
      <c r="E957" s="210"/>
      <c r="F957" s="30"/>
      <c r="G957" s="30"/>
      <c r="H957" s="30"/>
      <c r="I957" s="30"/>
      <c r="J957" s="30"/>
      <c r="K957" s="30"/>
      <c r="L957" s="30"/>
      <c r="M957" s="30"/>
      <c r="N957" s="30"/>
      <c r="O957" s="30"/>
      <c r="P957" s="30"/>
      <c r="Q957" s="30"/>
      <c r="R957" s="30"/>
      <c r="S957" s="30"/>
      <c r="T957" s="30"/>
      <c r="U957" s="30"/>
      <c r="V957" s="30"/>
      <c r="W957" s="30"/>
      <c r="X957" s="30"/>
      <c r="Y957" s="30"/>
      <c r="Z957" s="30"/>
      <c r="AA957" s="30"/>
      <c r="AB957" s="30"/>
      <c r="AC957" s="30"/>
      <c r="AD957" s="30"/>
      <c r="AE957" s="30"/>
      <c r="AF957" s="30"/>
    </row>
    <row r="958" ht="15.75" customHeight="1">
      <c r="A958" s="114"/>
      <c r="B958" s="115"/>
      <c r="C958" s="114"/>
      <c r="D958" s="114"/>
      <c r="E958" s="210"/>
      <c r="F958" s="30"/>
      <c r="G958" s="30"/>
      <c r="H958" s="30"/>
      <c r="I958" s="30"/>
      <c r="J958" s="30"/>
      <c r="K958" s="30"/>
      <c r="L958" s="30"/>
      <c r="M958" s="30"/>
      <c r="N958" s="30"/>
      <c r="O958" s="30"/>
      <c r="P958" s="30"/>
      <c r="Q958" s="30"/>
      <c r="R958" s="30"/>
      <c r="S958" s="30"/>
      <c r="T958" s="30"/>
      <c r="U958" s="30"/>
      <c r="V958" s="30"/>
      <c r="W958" s="30"/>
      <c r="X958" s="30"/>
      <c r="Y958" s="30"/>
      <c r="Z958" s="30"/>
      <c r="AA958" s="30"/>
      <c r="AB958" s="30"/>
      <c r="AC958" s="30"/>
      <c r="AD958" s="30"/>
      <c r="AE958" s="30"/>
      <c r="AF958" s="30"/>
    </row>
    <row r="959" ht="15.75" customHeight="1">
      <c r="A959" s="114"/>
      <c r="B959" s="115"/>
      <c r="C959" s="114"/>
      <c r="D959" s="114"/>
      <c r="E959" s="210"/>
      <c r="F959" s="30"/>
      <c r="G959" s="30"/>
      <c r="H959" s="30"/>
      <c r="I959" s="30"/>
      <c r="J959" s="30"/>
      <c r="K959" s="30"/>
      <c r="L959" s="30"/>
      <c r="M959" s="30"/>
      <c r="N959" s="30"/>
      <c r="O959" s="30"/>
      <c r="P959" s="30"/>
      <c r="Q959" s="30"/>
      <c r="R959" s="30"/>
      <c r="S959" s="30"/>
      <c r="T959" s="30"/>
      <c r="U959" s="30"/>
      <c r="V959" s="30"/>
      <c r="W959" s="30"/>
      <c r="X959" s="30"/>
      <c r="Y959" s="30"/>
      <c r="Z959" s="30"/>
      <c r="AA959" s="30"/>
      <c r="AB959" s="30"/>
      <c r="AC959" s="30"/>
      <c r="AD959" s="30"/>
      <c r="AE959" s="30"/>
      <c r="AF959" s="30"/>
    </row>
    <row r="960" ht="15.75" customHeight="1">
      <c r="A960" s="114"/>
      <c r="B960" s="115"/>
      <c r="C960" s="114"/>
      <c r="D960" s="114"/>
      <c r="E960" s="210"/>
      <c r="F960" s="30"/>
      <c r="G960" s="30"/>
      <c r="H960" s="30"/>
      <c r="I960" s="30"/>
      <c r="J960" s="30"/>
      <c r="K960" s="30"/>
      <c r="L960" s="30"/>
      <c r="M960" s="30"/>
      <c r="N960" s="30"/>
      <c r="O960" s="30"/>
      <c r="P960" s="30"/>
      <c r="Q960" s="30"/>
      <c r="R960" s="30"/>
      <c r="S960" s="30"/>
      <c r="T960" s="30"/>
      <c r="U960" s="30"/>
      <c r="V960" s="30"/>
      <c r="W960" s="30"/>
      <c r="X960" s="30"/>
      <c r="Y960" s="30"/>
      <c r="Z960" s="30"/>
      <c r="AA960" s="30"/>
      <c r="AB960" s="30"/>
      <c r="AC960" s="30"/>
      <c r="AD960" s="30"/>
      <c r="AE960" s="30"/>
      <c r="AF960" s="30"/>
    </row>
    <row r="961" ht="15.75" customHeight="1">
      <c r="A961" s="114"/>
      <c r="B961" s="115"/>
      <c r="C961" s="114"/>
      <c r="D961" s="114"/>
      <c r="E961" s="210"/>
      <c r="F961" s="30"/>
      <c r="G961" s="30"/>
      <c r="H961" s="30"/>
      <c r="I961" s="30"/>
      <c r="J961" s="30"/>
      <c r="K961" s="30"/>
      <c r="L961" s="30"/>
      <c r="M961" s="30"/>
      <c r="N961" s="30"/>
      <c r="O961" s="30"/>
      <c r="P961" s="30"/>
      <c r="Q961" s="30"/>
      <c r="R961" s="30"/>
      <c r="S961" s="30"/>
      <c r="T961" s="30"/>
      <c r="U961" s="30"/>
      <c r="V961" s="30"/>
      <c r="W961" s="30"/>
      <c r="X961" s="30"/>
      <c r="Y961" s="30"/>
      <c r="Z961" s="30"/>
      <c r="AA961" s="30"/>
      <c r="AB961" s="30"/>
      <c r="AC961" s="30"/>
      <c r="AD961" s="30"/>
      <c r="AE961" s="30"/>
      <c r="AF961" s="30"/>
    </row>
    <row r="962" ht="15.75" customHeight="1">
      <c r="A962" s="114"/>
      <c r="B962" s="115"/>
      <c r="C962" s="114"/>
      <c r="D962" s="114"/>
      <c r="E962" s="210"/>
      <c r="F962" s="30"/>
      <c r="G962" s="30"/>
      <c r="H962" s="30"/>
      <c r="I962" s="30"/>
      <c r="J962" s="30"/>
      <c r="K962" s="30"/>
      <c r="L962" s="30"/>
      <c r="M962" s="30"/>
      <c r="N962" s="30"/>
      <c r="O962" s="30"/>
      <c r="P962" s="30"/>
      <c r="Q962" s="30"/>
      <c r="R962" s="30"/>
      <c r="S962" s="30"/>
      <c r="T962" s="30"/>
      <c r="U962" s="30"/>
      <c r="V962" s="30"/>
      <c r="W962" s="30"/>
      <c r="X962" s="30"/>
      <c r="Y962" s="30"/>
      <c r="Z962" s="30"/>
      <c r="AA962" s="30"/>
      <c r="AB962" s="30"/>
      <c r="AC962" s="30"/>
      <c r="AD962" s="30"/>
      <c r="AE962" s="30"/>
      <c r="AF962" s="30"/>
    </row>
    <row r="963" ht="15.75" customHeight="1">
      <c r="A963" s="114"/>
      <c r="B963" s="115"/>
      <c r="C963" s="114"/>
      <c r="D963" s="114"/>
      <c r="E963" s="210"/>
      <c r="F963" s="30"/>
      <c r="G963" s="30"/>
      <c r="H963" s="30"/>
      <c r="I963" s="30"/>
      <c r="J963" s="30"/>
      <c r="K963" s="30"/>
      <c r="L963" s="30"/>
      <c r="M963" s="30"/>
      <c r="N963" s="30"/>
      <c r="O963" s="30"/>
      <c r="P963" s="30"/>
      <c r="Q963" s="30"/>
      <c r="R963" s="30"/>
      <c r="S963" s="30"/>
      <c r="T963" s="30"/>
      <c r="U963" s="30"/>
      <c r="V963" s="30"/>
      <c r="W963" s="30"/>
      <c r="X963" s="30"/>
      <c r="Y963" s="30"/>
      <c r="Z963" s="30"/>
      <c r="AA963" s="30"/>
      <c r="AB963" s="30"/>
      <c r="AC963" s="30"/>
      <c r="AD963" s="30"/>
      <c r="AE963" s="30"/>
      <c r="AF963" s="30"/>
    </row>
    <row r="964" ht="15.75" customHeight="1">
      <c r="A964" s="114"/>
      <c r="B964" s="115"/>
      <c r="C964" s="114"/>
      <c r="D964" s="114"/>
      <c r="E964" s="210"/>
      <c r="F964" s="30"/>
      <c r="G964" s="30"/>
      <c r="H964" s="30"/>
      <c r="I964" s="30"/>
      <c r="J964" s="30"/>
      <c r="K964" s="30"/>
      <c r="L964" s="30"/>
      <c r="M964" s="30"/>
      <c r="N964" s="30"/>
      <c r="O964" s="30"/>
      <c r="P964" s="30"/>
      <c r="Q964" s="30"/>
      <c r="R964" s="30"/>
      <c r="S964" s="30"/>
      <c r="T964" s="30"/>
      <c r="U964" s="30"/>
      <c r="V964" s="30"/>
      <c r="W964" s="30"/>
      <c r="X964" s="30"/>
      <c r="Y964" s="30"/>
      <c r="Z964" s="30"/>
      <c r="AA964" s="30"/>
      <c r="AB964" s="30"/>
      <c r="AC964" s="30"/>
      <c r="AD964" s="30"/>
      <c r="AE964" s="30"/>
      <c r="AF964" s="30"/>
    </row>
    <row r="965" ht="15.75" customHeight="1">
      <c r="A965" s="114"/>
      <c r="B965" s="115"/>
      <c r="C965" s="114"/>
      <c r="D965" s="114"/>
      <c r="E965" s="210"/>
      <c r="F965" s="30"/>
      <c r="G965" s="30"/>
      <c r="H965" s="30"/>
      <c r="I965" s="30"/>
      <c r="J965" s="30"/>
      <c r="K965" s="30"/>
      <c r="L965" s="30"/>
      <c r="M965" s="30"/>
      <c r="N965" s="30"/>
      <c r="O965" s="30"/>
      <c r="P965" s="30"/>
      <c r="Q965" s="30"/>
      <c r="R965" s="30"/>
      <c r="S965" s="30"/>
      <c r="T965" s="30"/>
      <c r="U965" s="30"/>
      <c r="V965" s="30"/>
      <c r="W965" s="30"/>
      <c r="X965" s="30"/>
      <c r="Y965" s="30"/>
      <c r="Z965" s="30"/>
      <c r="AA965" s="30"/>
      <c r="AB965" s="30"/>
      <c r="AC965" s="30"/>
      <c r="AD965" s="30"/>
      <c r="AE965" s="30"/>
      <c r="AF965" s="30"/>
    </row>
    <row r="966" ht="15.75" customHeight="1">
      <c r="A966" s="114"/>
      <c r="B966" s="115"/>
      <c r="C966" s="114"/>
      <c r="D966" s="114"/>
      <c r="E966" s="210"/>
      <c r="F966" s="30"/>
      <c r="G966" s="30"/>
      <c r="H966" s="30"/>
      <c r="I966" s="30"/>
      <c r="J966" s="30"/>
      <c r="K966" s="30"/>
      <c r="L966" s="30"/>
      <c r="M966" s="30"/>
      <c r="N966" s="30"/>
      <c r="O966" s="30"/>
      <c r="P966" s="30"/>
      <c r="Q966" s="30"/>
      <c r="R966" s="30"/>
      <c r="S966" s="30"/>
      <c r="T966" s="30"/>
      <c r="U966" s="30"/>
      <c r="V966" s="30"/>
      <c r="W966" s="30"/>
      <c r="X966" s="30"/>
      <c r="Y966" s="30"/>
      <c r="Z966" s="30"/>
      <c r="AA966" s="30"/>
      <c r="AB966" s="30"/>
      <c r="AC966" s="30"/>
      <c r="AD966" s="30"/>
      <c r="AE966" s="30"/>
      <c r="AF966" s="30"/>
    </row>
    <row r="967" ht="15.75" customHeight="1">
      <c r="A967" s="114"/>
      <c r="B967" s="115"/>
      <c r="C967" s="114"/>
      <c r="D967" s="114"/>
      <c r="E967" s="210"/>
      <c r="F967" s="30"/>
      <c r="G967" s="30"/>
      <c r="H967" s="30"/>
      <c r="I967" s="30"/>
      <c r="J967" s="30"/>
      <c r="K967" s="30"/>
      <c r="L967" s="30"/>
      <c r="M967" s="30"/>
      <c r="N967" s="30"/>
      <c r="O967" s="30"/>
      <c r="P967" s="30"/>
      <c r="Q967" s="30"/>
      <c r="R967" s="30"/>
      <c r="S967" s="30"/>
      <c r="T967" s="30"/>
      <c r="U967" s="30"/>
      <c r="V967" s="30"/>
      <c r="W967" s="30"/>
      <c r="X967" s="30"/>
      <c r="Y967" s="30"/>
      <c r="Z967" s="30"/>
      <c r="AA967" s="30"/>
      <c r="AB967" s="30"/>
      <c r="AC967" s="30"/>
      <c r="AD967" s="30"/>
      <c r="AE967" s="30"/>
      <c r="AF967" s="30"/>
    </row>
    <row r="968" ht="15.75" customHeight="1">
      <c r="A968" s="114"/>
      <c r="B968" s="115"/>
      <c r="C968" s="114"/>
      <c r="D968" s="114"/>
      <c r="E968" s="210"/>
      <c r="F968" s="30"/>
      <c r="G968" s="30"/>
      <c r="H968" s="30"/>
      <c r="I968" s="30"/>
      <c r="J968" s="30"/>
      <c r="K968" s="30"/>
      <c r="L968" s="30"/>
      <c r="M968" s="30"/>
      <c r="N968" s="30"/>
      <c r="O968" s="30"/>
      <c r="P968" s="30"/>
      <c r="Q968" s="30"/>
      <c r="R968" s="30"/>
      <c r="S968" s="30"/>
      <c r="T968" s="30"/>
      <c r="U968" s="30"/>
      <c r="V968" s="30"/>
      <c r="W968" s="30"/>
      <c r="X968" s="30"/>
      <c r="Y968" s="30"/>
      <c r="Z968" s="30"/>
      <c r="AA968" s="30"/>
      <c r="AB968" s="30"/>
      <c r="AC968" s="30"/>
      <c r="AD968" s="30"/>
      <c r="AE968" s="30"/>
      <c r="AF968" s="30"/>
    </row>
    <row r="969" ht="15.75" customHeight="1">
      <c r="A969" s="114"/>
      <c r="B969" s="115"/>
      <c r="C969" s="114"/>
      <c r="D969" s="114"/>
      <c r="E969" s="210"/>
      <c r="F969" s="30"/>
      <c r="G969" s="30"/>
      <c r="H969" s="30"/>
      <c r="I969" s="30"/>
      <c r="J969" s="30"/>
      <c r="K969" s="30"/>
      <c r="L969" s="30"/>
      <c r="M969" s="30"/>
      <c r="N969" s="30"/>
      <c r="O969" s="30"/>
      <c r="P969" s="30"/>
      <c r="Q969" s="30"/>
      <c r="R969" s="30"/>
      <c r="S969" s="30"/>
      <c r="T969" s="30"/>
      <c r="U969" s="30"/>
      <c r="V969" s="30"/>
      <c r="W969" s="30"/>
      <c r="X969" s="30"/>
      <c r="Y969" s="30"/>
      <c r="Z969" s="30"/>
      <c r="AA969" s="30"/>
      <c r="AB969" s="30"/>
      <c r="AC969" s="30"/>
      <c r="AD969" s="30"/>
      <c r="AE969" s="30"/>
      <c r="AF969" s="30"/>
    </row>
    <row r="970" ht="15.75" customHeight="1">
      <c r="A970" s="114"/>
      <c r="B970" s="115"/>
      <c r="C970" s="114"/>
      <c r="D970" s="114"/>
      <c r="E970" s="210"/>
      <c r="F970" s="30"/>
      <c r="G970" s="30"/>
      <c r="H970" s="30"/>
      <c r="I970" s="30"/>
      <c r="J970" s="30"/>
      <c r="K970" s="30"/>
      <c r="L970" s="30"/>
      <c r="M970" s="30"/>
      <c r="N970" s="30"/>
      <c r="O970" s="30"/>
      <c r="P970" s="30"/>
      <c r="Q970" s="30"/>
      <c r="R970" s="30"/>
      <c r="S970" s="30"/>
      <c r="T970" s="30"/>
      <c r="U970" s="30"/>
      <c r="V970" s="30"/>
      <c r="W970" s="30"/>
      <c r="X970" s="30"/>
      <c r="Y970" s="30"/>
      <c r="Z970" s="30"/>
      <c r="AA970" s="30"/>
      <c r="AB970" s="30"/>
      <c r="AC970" s="30"/>
      <c r="AD970" s="30"/>
      <c r="AE970" s="30"/>
      <c r="AF970" s="30"/>
    </row>
    <row r="971" ht="15.75" customHeight="1">
      <c r="A971" s="114"/>
      <c r="B971" s="115"/>
      <c r="C971" s="114"/>
      <c r="D971" s="114"/>
      <c r="E971" s="210"/>
      <c r="F971" s="30"/>
      <c r="G971" s="30"/>
      <c r="H971" s="30"/>
      <c r="I971" s="30"/>
      <c r="J971" s="30"/>
      <c r="K971" s="30"/>
      <c r="L971" s="30"/>
      <c r="M971" s="30"/>
      <c r="N971" s="30"/>
      <c r="O971" s="30"/>
      <c r="P971" s="30"/>
      <c r="Q971" s="30"/>
      <c r="R971" s="30"/>
      <c r="S971" s="30"/>
      <c r="T971" s="30"/>
      <c r="U971" s="30"/>
      <c r="V971" s="30"/>
      <c r="W971" s="30"/>
      <c r="X971" s="30"/>
      <c r="Y971" s="30"/>
      <c r="Z971" s="30"/>
      <c r="AA971" s="30"/>
      <c r="AB971" s="30"/>
      <c r="AC971" s="30"/>
      <c r="AD971" s="30"/>
      <c r="AE971" s="30"/>
      <c r="AF971" s="30"/>
    </row>
    <row r="972" ht="15.75" customHeight="1">
      <c r="A972" s="114"/>
      <c r="B972" s="115"/>
      <c r="C972" s="114"/>
      <c r="D972" s="114"/>
      <c r="E972" s="210"/>
      <c r="F972" s="30"/>
      <c r="G972" s="30"/>
      <c r="H972" s="30"/>
      <c r="I972" s="30"/>
      <c r="J972" s="30"/>
      <c r="K972" s="30"/>
      <c r="L972" s="30"/>
      <c r="M972" s="30"/>
      <c r="N972" s="30"/>
      <c r="O972" s="30"/>
      <c r="P972" s="30"/>
      <c r="Q972" s="30"/>
      <c r="R972" s="30"/>
      <c r="S972" s="30"/>
      <c r="T972" s="30"/>
      <c r="U972" s="30"/>
      <c r="V972" s="30"/>
      <c r="W972" s="30"/>
      <c r="X972" s="30"/>
      <c r="Y972" s="30"/>
      <c r="Z972" s="30"/>
      <c r="AA972" s="30"/>
      <c r="AB972" s="30"/>
      <c r="AC972" s="30"/>
      <c r="AD972" s="30"/>
      <c r="AE972" s="30"/>
      <c r="AF972" s="30"/>
    </row>
    <row r="973" ht="15.75" customHeight="1">
      <c r="A973" s="114"/>
      <c r="B973" s="115"/>
      <c r="C973" s="114"/>
      <c r="D973" s="114"/>
      <c r="E973" s="210"/>
      <c r="F973" s="30"/>
      <c r="G973" s="30"/>
      <c r="H973" s="30"/>
      <c r="I973" s="30"/>
      <c r="J973" s="30"/>
      <c r="K973" s="30"/>
      <c r="L973" s="30"/>
      <c r="M973" s="30"/>
      <c r="N973" s="30"/>
      <c r="O973" s="30"/>
      <c r="P973" s="30"/>
      <c r="Q973" s="30"/>
      <c r="R973" s="30"/>
      <c r="S973" s="30"/>
      <c r="T973" s="30"/>
      <c r="U973" s="30"/>
      <c r="V973" s="30"/>
      <c r="W973" s="30"/>
      <c r="X973" s="30"/>
      <c r="Y973" s="30"/>
      <c r="Z973" s="30"/>
      <c r="AA973" s="30"/>
      <c r="AB973" s="30"/>
      <c r="AC973" s="30"/>
      <c r="AD973" s="30"/>
      <c r="AE973" s="30"/>
      <c r="AF973" s="30"/>
    </row>
    <row r="974" ht="15.75" customHeight="1">
      <c r="A974" s="114"/>
      <c r="B974" s="115"/>
      <c r="C974" s="114"/>
      <c r="D974" s="114"/>
      <c r="E974" s="210"/>
      <c r="F974" s="30"/>
      <c r="G974" s="30"/>
      <c r="H974" s="30"/>
      <c r="I974" s="30"/>
      <c r="J974" s="30"/>
      <c r="K974" s="30"/>
      <c r="L974" s="30"/>
      <c r="M974" s="30"/>
      <c r="N974" s="30"/>
      <c r="O974" s="30"/>
      <c r="P974" s="30"/>
      <c r="Q974" s="30"/>
      <c r="R974" s="30"/>
      <c r="S974" s="30"/>
      <c r="T974" s="30"/>
      <c r="U974" s="30"/>
      <c r="V974" s="30"/>
      <c r="W974" s="30"/>
      <c r="X974" s="30"/>
      <c r="Y974" s="30"/>
      <c r="Z974" s="30"/>
      <c r="AA974" s="30"/>
      <c r="AB974" s="30"/>
      <c r="AC974" s="30"/>
      <c r="AD974" s="30"/>
      <c r="AE974" s="30"/>
      <c r="AF974" s="30"/>
    </row>
    <row r="975" ht="15.75" customHeight="1">
      <c r="A975" s="114"/>
      <c r="B975" s="115"/>
      <c r="C975" s="114"/>
      <c r="D975" s="114"/>
      <c r="E975" s="210"/>
      <c r="F975" s="30"/>
      <c r="G975" s="30"/>
      <c r="H975" s="30"/>
      <c r="I975" s="30"/>
      <c r="J975" s="30"/>
      <c r="K975" s="30"/>
      <c r="L975" s="30"/>
      <c r="M975" s="30"/>
      <c r="N975" s="30"/>
      <c r="O975" s="30"/>
      <c r="P975" s="30"/>
      <c r="Q975" s="30"/>
      <c r="R975" s="30"/>
      <c r="S975" s="30"/>
      <c r="T975" s="30"/>
      <c r="U975" s="30"/>
      <c r="V975" s="30"/>
      <c r="W975" s="30"/>
      <c r="X975" s="30"/>
      <c r="Y975" s="30"/>
      <c r="Z975" s="30"/>
      <c r="AA975" s="30"/>
      <c r="AB975" s="30"/>
      <c r="AC975" s="30"/>
      <c r="AD975" s="30"/>
      <c r="AE975" s="30"/>
      <c r="AF975" s="30"/>
    </row>
    <row r="976" ht="15.75" customHeight="1">
      <c r="A976" s="114"/>
      <c r="B976" s="115"/>
      <c r="C976" s="114"/>
      <c r="D976" s="114"/>
      <c r="E976" s="210"/>
      <c r="F976" s="30"/>
      <c r="G976" s="30"/>
      <c r="H976" s="30"/>
      <c r="I976" s="30"/>
      <c r="J976" s="30"/>
      <c r="K976" s="30"/>
      <c r="L976" s="30"/>
      <c r="M976" s="30"/>
      <c r="N976" s="30"/>
      <c r="O976" s="30"/>
      <c r="P976" s="30"/>
      <c r="Q976" s="30"/>
      <c r="R976" s="30"/>
      <c r="S976" s="30"/>
      <c r="T976" s="30"/>
      <c r="U976" s="30"/>
      <c r="V976" s="30"/>
      <c r="W976" s="30"/>
      <c r="X976" s="30"/>
      <c r="Y976" s="30"/>
      <c r="Z976" s="30"/>
      <c r="AA976" s="30"/>
      <c r="AB976" s="30"/>
      <c r="AC976" s="30"/>
      <c r="AD976" s="30"/>
      <c r="AE976" s="30"/>
      <c r="AF976" s="30"/>
    </row>
    <row r="977" ht="15.75" customHeight="1">
      <c r="A977" s="114"/>
      <c r="B977" s="115"/>
      <c r="C977" s="114"/>
      <c r="D977" s="114"/>
      <c r="E977" s="210"/>
      <c r="F977" s="30"/>
      <c r="G977" s="30"/>
      <c r="H977" s="30"/>
      <c r="I977" s="30"/>
      <c r="J977" s="30"/>
      <c r="K977" s="30"/>
      <c r="L977" s="30"/>
      <c r="M977" s="30"/>
      <c r="N977" s="30"/>
      <c r="O977" s="30"/>
      <c r="P977" s="30"/>
      <c r="Q977" s="30"/>
      <c r="R977" s="30"/>
      <c r="S977" s="30"/>
      <c r="T977" s="30"/>
      <c r="U977" s="30"/>
      <c r="V977" s="30"/>
      <c r="W977" s="30"/>
      <c r="X977" s="30"/>
      <c r="Y977" s="30"/>
      <c r="Z977" s="30"/>
      <c r="AA977" s="30"/>
      <c r="AB977" s="30"/>
      <c r="AC977" s="30"/>
      <c r="AD977" s="30"/>
      <c r="AE977" s="30"/>
      <c r="AF977" s="30"/>
    </row>
    <row r="978" ht="15.75" customHeight="1">
      <c r="A978" s="114"/>
      <c r="B978" s="115"/>
      <c r="C978" s="114"/>
      <c r="D978" s="114"/>
      <c r="E978" s="210"/>
      <c r="F978" s="30"/>
      <c r="G978" s="30"/>
      <c r="H978" s="30"/>
      <c r="I978" s="30"/>
      <c r="J978" s="30"/>
      <c r="K978" s="30"/>
      <c r="L978" s="30"/>
      <c r="M978" s="30"/>
      <c r="N978" s="30"/>
      <c r="O978" s="30"/>
      <c r="P978" s="30"/>
      <c r="Q978" s="30"/>
      <c r="R978" s="30"/>
      <c r="S978" s="30"/>
      <c r="T978" s="30"/>
      <c r="U978" s="30"/>
      <c r="V978" s="30"/>
      <c r="W978" s="30"/>
      <c r="X978" s="30"/>
      <c r="Y978" s="30"/>
      <c r="Z978" s="30"/>
      <c r="AA978" s="30"/>
      <c r="AB978" s="30"/>
      <c r="AC978" s="30"/>
      <c r="AD978" s="30"/>
      <c r="AE978" s="30"/>
      <c r="AF978" s="30"/>
    </row>
    <row r="979" ht="15.75" customHeight="1">
      <c r="A979" s="114"/>
      <c r="B979" s="115"/>
      <c r="C979" s="114"/>
      <c r="D979" s="114"/>
      <c r="E979" s="210"/>
      <c r="F979" s="30"/>
      <c r="G979" s="30"/>
      <c r="H979" s="30"/>
      <c r="I979" s="30"/>
      <c r="J979" s="30"/>
      <c r="K979" s="30"/>
      <c r="L979" s="30"/>
      <c r="M979" s="30"/>
      <c r="N979" s="30"/>
      <c r="O979" s="30"/>
      <c r="P979" s="30"/>
      <c r="Q979" s="30"/>
      <c r="R979" s="30"/>
      <c r="S979" s="30"/>
      <c r="T979" s="30"/>
      <c r="U979" s="30"/>
      <c r="V979" s="30"/>
      <c r="W979" s="30"/>
      <c r="X979" s="30"/>
      <c r="Y979" s="30"/>
      <c r="Z979" s="30"/>
      <c r="AA979" s="30"/>
      <c r="AB979" s="30"/>
      <c r="AC979" s="30"/>
      <c r="AD979" s="30"/>
      <c r="AE979" s="30"/>
      <c r="AF979" s="30"/>
    </row>
    <row r="980" ht="15.75" customHeight="1">
      <c r="A980" s="114"/>
      <c r="B980" s="115"/>
      <c r="C980" s="114"/>
      <c r="D980" s="114"/>
      <c r="E980" s="210"/>
      <c r="F980" s="30"/>
      <c r="G980" s="30"/>
      <c r="H980" s="30"/>
      <c r="I980" s="30"/>
      <c r="J980" s="30"/>
      <c r="K980" s="30"/>
      <c r="L980" s="30"/>
      <c r="M980" s="30"/>
      <c r="N980" s="30"/>
      <c r="O980" s="30"/>
      <c r="P980" s="30"/>
      <c r="Q980" s="30"/>
      <c r="R980" s="30"/>
      <c r="S980" s="30"/>
      <c r="T980" s="30"/>
      <c r="U980" s="30"/>
      <c r="V980" s="30"/>
      <c r="W980" s="30"/>
      <c r="X980" s="30"/>
      <c r="Y980" s="30"/>
      <c r="Z980" s="30"/>
      <c r="AA980" s="30"/>
      <c r="AB980" s="30"/>
      <c r="AC980" s="30"/>
      <c r="AD980" s="30"/>
      <c r="AE980" s="30"/>
      <c r="AF980" s="30"/>
    </row>
    <row r="981" ht="15.75" customHeight="1">
      <c r="A981" s="114"/>
      <c r="B981" s="115"/>
      <c r="C981" s="114"/>
      <c r="D981" s="114"/>
      <c r="E981" s="210"/>
      <c r="F981" s="30"/>
      <c r="G981" s="30"/>
      <c r="H981" s="30"/>
      <c r="I981" s="30"/>
      <c r="J981" s="30"/>
      <c r="K981" s="30"/>
      <c r="L981" s="30"/>
      <c r="M981" s="30"/>
      <c r="N981" s="30"/>
      <c r="O981" s="30"/>
      <c r="P981" s="30"/>
      <c r="Q981" s="30"/>
      <c r="R981" s="30"/>
      <c r="S981" s="30"/>
      <c r="T981" s="30"/>
      <c r="U981" s="30"/>
      <c r="V981" s="30"/>
      <c r="W981" s="30"/>
      <c r="X981" s="30"/>
      <c r="Y981" s="30"/>
      <c r="Z981" s="30"/>
      <c r="AA981" s="30"/>
      <c r="AB981" s="30"/>
      <c r="AC981" s="30"/>
      <c r="AD981" s="30"/>
      <c r="AE981" s="30"/>
      <c r="AF981" s="30"/>
    </row>
    <row r="982" ht="15.75" customHeight="1">
      <c r="A982" s="114"/>
      <c r="B982" s="115"/>
      <c r="C982" s="114"/>
      <c r="D982" s="114"/>
      <c r="E982" s="210"/>
      <c r="F982" s="30"/>
      <c r="G982" s="30"/>
      <c r="H982" s="30"/>
      <c r="I982" s="30"/>
      <c r="J982" s="30"/>
      <c r="K982" s="30"/>
      <c r="L982" s="30"/>
      <c r="M982" s="30"/>
      <c r="N982" s="30"/>
      <c r="O982" s="30"/>
      <c r="P982" s="30"/>
      <c r="Q982" s="30"/>
      <c r="R982" s="30"/>
      <c r="S982" s="30"/>
      <c r="T982" s="30"/>
      <c r="U982" s="30"/>
      <c r="V982" s="30"/>
      <c r="W982" s="30"/>
      <c r="X982" s="30"/>
      <c r="Y982" s="30"/>
      <c r="Z982" s="30"/>
      <c r="AA982" s="30"/>
      <c r="AB982" s="30"/>
      <c r="AC982" s="30"/>
      <c r="AD982" s="30"/>
      <c r="AE982" s="30"/>
      <c r="AF982" s="30"/>
    </row>
    <row r="983" ht="15.75" customHeight="1">
      <c r="A983" s="114"/>
      <c r="B983" s="115"/>
      <c r="C983" s="114"/>
      <c r="D983" s="114"/>
      <c r="E983" s="210"/>
      <c r="F983" s="30"/>
      <c r="G983" s="30"/>
      <c r="H983" s="30"/>
      <c r="I983" s="30"/>
      <c r="J983" s="30"/>
      <c r="K983" s="30"/>
      <c r="L983" s="30"/>
      <c r="M983" s="30"/>
      <c r="N983" s="30"/>
      <c r="O983" s="30"/>
      <c r="P983" s="30"/>
      <c r="Q983" s="30"/>
      <c r="R983" s="30"/>
      <c r="S983" s="30"/>
      <c r="T983" s="30"/>
      <c r="U983" s="30"/>
      <c r="V983" s="30"/>
      <c r="W983" s="30"/>
      <c r="X983" s="30"/>
      <c r="Y983" s="30"/>
      <c r="Z983" s="30"/>
      <c r="AA983" s="30"/>
      <c r="AB983" s="30"/>
      <c r="AC983" s="30"/>
      <c r="AD983" s="30"/>
      <c r="AE983" s="30"/>
      <c r="AF983" s="30"/>
    </row>
    <row r="984" ht="15.75" customHeight="1">
      <c r="A984" s="114"/>
      <c r="B984" s="115"/>
      <c r="C984" s="114"/>
      <c r="D984" s="114"/>
      <c r="E984" s="210"/>
      <c r="F984" s="30"/>
      <c r="G984" s="30"/>
      <c r="H984" s="30"/>
      <c r="I984" s="30"/>
      <c r="J984" s="30"/>
      <c r="K984" s="30"/>
      <c r="L984" s="30"/>
      <c r="M984" s="30"/>
      <c r="N984" s="30"/>
      <c r="O984" s="30"/>
      <c r="P984" s="30"/>
      <c r="Q984" s="30"/>
      <c r="R984" s="30"/>
      <c r="S984" s="30"/>
      <c r="T984" s="30"/>
      <c r="U984" s="30"/>
      <c r="V984" s="30"/>
      <c r="W984" s="30"/>
      <c r="X984" s="30"/>
      <c r="Y984" s="30"/>
      <c r="Z984" s="30"/>
      <c r="AA984" s="30"/>
      <c r="AB984" s="30"/>
      <c r="AC984" s="30"/>
      <c r="AD984" s="30"/>
      <c r="AE984" s="30"/>
      <c r="AF984" s="30"/>
    </row>
    <row r="985" ht="15.75" customHeight="1">
      <c r="A985" s="114"/>
      <c r="B985" s="115"/>
      <c r="C985" s="114"/>
      <c r="D985" s="114"/>
      <c r="E985" s="210"/>
      <c r="F985" s="30"/>
      <c r="G985" s="30"/>
      <c r="H985" s="30"/>
      <c r="I985" s="30"/>
      <c r="J985" s="30"/>
      <c r="K985" s="30"/>
      <c r="L985" s="30"/>
      <c r="M985" s="30"/>
      <c r="N985" s="30"/>
      <c r="O985" s="30"/>
      <c r="P985" s="30"/>
      <c r="Q985" s="30"/>
      <c r="R985" s="30"/>
      <c r="S985" s="30"/>
      <c r="T985" s="30"/>
      <c r="U985" s="30"/>
      <c r="V985" s="30"/>
      <c r="W985" s="30"/>
      <c r="X985" s="30"/>
      <c r="Y985" s="30"/>
      <c r="Z985" s="30"/>
      <c r="AA985" s="30"/>
      <c r="AB985" s="30"/>
      <c r="AC985" s="30"/>
      <c r="AD985" s="30"/>
      <c r="AE985" s="30"/>
      <c r="AF985" s="30"/>
    </row>
    <row r="986" ht="15.75" customHeight="1">
      <c r="A986" s="114"/>
      <c r="B986" s="115"/>
      <c r="C986" s="114"/>
      <c r="D986" s="114"/>
      <c r="E986" s="210"/>
      <c r="F986" s="30"/>
      <c r="G986" s="30"/>
      <c r="H986" s="30"/>
      <c r="I986" s="30"/>
      <c r="J986" s="30"/>
      <c r="K986" s="30"/>
      <c r="L986" s="30"/>
      <c r="M986" s="30"/>
      <c r="N986" s="30"/>
      <c r="O986" s="30"/>
      <c r="P986" s="30"/>
      <c r="Q986" s="30"/>
      <c r="R986" s="30"/>
      <c r="S986" s="30"/>
      <c r="T986" s="30"/>
      <c r="U986" s="30"/>
      <c r="V986" s="30"/>
      <c r="W986" s="30"/>
      <c r="X986" s="30"/>
      <c r="Y986" s="30"/>
      <c r="Z986" s="30"/>
      <c r="AA986" s="30"/>
      <c r="AB986" s="30"/>
      <c r="AC986" s="30"/>
      <c r="AD986" s="30"/>
      <c r="AE986" s="30"/>
      <c r="AF986" s="30"/>
    </row>
    <row r="987" ht="15.75" customHeight="1">
      <c r="A987" s="114"/>
      <c r="B987" s="115"/>
      <c r="C987" s="114"/>
      <c r="D987" s="114"/>
      <c r="E987" s="210"/>
      <c r="F987" s="30"/>
      <c r="G987" s="30"/>
      <c r="H987" s="30"/>
      <c r="I987" s="30"/>
      <c r="J987" s="30"/>
      <c r="K987" s="30"/>
      <c r="L987" s="30"/>
      <c r="M987" s="30"/>
      <c r="N987" s="30"/>
      <c r="O987" s="30"/>
      <c r="P987" s="30"/>
      <c r="Q987" s="30"/>
      <c r="R987" s="30"/>
      <c r="S987" s="30"/>
      <c r="T987" s="30"/>
      <c r="U987" s="30"/>
      <c r="V987" s="30"/>
      <c r="W987" s="30"/>
      <c r="X987" s="30"/>
      <c r="Y987" s="30"/>
      <c r="Z987" s="30"/>
      <c r="AA987" s="30"/>
      <c r="AB987" s="30"/>
      <c r="AC987" s="30"/>
      <c r="AD987" s="30"/>
      <c r="AE987" s="30"/>
      <c r="AF987" s="30"/>
    </row>
    <row r="988" ht="15.75" customHeight="1">
      <c r="A988" s="114"/>
      <c r="B988" s="115"/>
      <c r="C988" s="114"/>
      <c r="D988" s="114"/>
      <c r="E988" s="210"/>
      <c r="F988" s="30"/>
      <c r="G988" s="30"/>
      <c r="H988" s="30"/>
      <c r="I988" s="30"/>
      <c r="J988" s="30"/>
      <c r="K988" s="30"/>
      <c r="L988" s="30"/>
      <c r="M988" s="30"/>
      <c r="N988" s="30"/>
      <c r="O988" s="30"/>
      <c r="P988" s="30"/>
      <c r="Q988" s="30"/>
      <c r="R988" s="30"/>
      <c r="S988" s="30"/>
      <c r="T988" s="30"/>
      <c r="U988" s="30"/>
      <c r="V988" s="30"/>
      <c r="W988" s="30"/>
      <c r="X988" s="30"/>
      <c r="Y988" s="30"/>
      <c r="Z988" s="30"/>
      <c r="AA988" s="30"/>
      <c r="AB988" s="30"/>
      <c r="AC988" s="30"/>
      <c r="AD988" s="30"/>
      <c r="AE988" s="30"/>
      <c r="AF988" s="30"/>
    </row>
    <row r="989" ht="15.75" customHeight="1">
      <c r="A989" s="114"/>
      <c r="B989" s="115"/>
      <c r="C989" s="114"/>
      <c r="D989" s="114"/>
      <c r="E989" s="210"/>
      <c r="F989" s="30"/>
      <c r="G989" s="30"/>
      <c r="H989" s="30"/>
      <c r="I989" s="30"/>
      <c r="J989" s="30"/>
      <c r="K989" s="30"/>
      <c r="L989" s="30"/>
      <c r="M989" s="30"/>
      <c r="N989" s="30"/>
      <c r="O989" s="30"/>
      <c r="P989" s="30"/>
      <c r="Q989" s="30"/>
      <c r="R989" s="30"/>
      <c r="S989" s="30"/>
      <c r="T989" s="30"/>
      <c r="U989" s="30"/>
      <c r="V989" s="30"/>
      <c r="W989" s="30"/>
      <c r="X989" s="30"/>
      <c r="Y989" s="30"/>
      <c r="Z989" s="30"/>
      <c r="AA989" s="30"/>
      <c r="AB989" s="30"/>
      <c r="AC989" s="30"/>
      <c r="AD989" s="30"/>
      <c r="AE989" s="30"/>
      <c r="AF989" s="30"/>
    </row>
    <row r="990" ht="15.75" customHeight="1">
      <c r="A990" s="114"/>
      <c r="B990" s="115"/>
      <c r="C990" s="114"/>
      <c r="D990" s="114"/>
      <c r="E990" s="210"/>
      <c r="F990" s="30"/>
      <c r="G990" s="30"/>
      <c r="H990" s="30"/>
      <c r="I990" s="30"/>
      <c r="J990" s="30"/>
      <c r="K990" s="30"/>
      <c r="L990" s="30"/>
      <c r="M990" s="30"/>
      <c r="N990" s="30"/>
      <c r="O990" s="30"/>
      <c r="P990" s="30"/>
      <c r="Q990" s="30"/>
      <c r="R990" s="30"/>
      <c r="S990" s="30"/>
      <c r="T990" s="30"/>
      <c r="U990" s="30"/>
      <c r="V990" s="30"/>
      <c r="W990" s="30"/>
      <c r="X990" s="30"/>
      <c r="Y990" s="30"/>
      <c r="Z990" s="30"/>
      <c r="AA990" s="30"/>
      <c r="AB990" s="30"/>
      <c r="AC990" s="30"/>
      <c r="AD990" s="30"/>
      <c r="AE990" s="30"/>
      <c r="AF990" s="30"/>
    </row>
    <row r="991" ht="15.75" customHeight="1">
      <c r="A991" s="114"/>
      <c r="B991" s="115"/>
      <c r="C991" s="114"/>
      <c r="D991" s="114"/>
      <c r="E991" s="210"/>
      <c r="F991" s="30"/>
      <c r="G991" s="30"/>
      <c r="H991" s="30"/>
      <c r="I991" s="30"/>
      <c r="J991" s="30"/>
      <c r="K991" s="30"/>
      <c r="L991" s="30"/>
      <c r="M991" s="30"/>
      <c r="N991" s="30"/>
      <c r="O991" s="30"/>
      <c r="P991" s="30"/>
      <c r="Q991" s="30"/>
      <c r="R991" s="30"/>
      <c r="S991" s="30"/>
      <c r="T991" s="30"/>
      <c r="U991" s="30"/>
      <c r="V991" s="30"/>
      <c r="W991" s="30"/>
      <c r="X991" s="30"/>
      <c r="Y991" s="30"/>
      <c r="Z991" s="30"/>
      <c r="AA991" s="30"/>
      <c r="AB991" s="30"/>
      <c r="AC991" s="30"/>
      <c r="AD991" s="30"/>
      <c r="AE991" s="30"/>
      <c r="AF991" s="30"/>
    </row>
  </sheetData>
  <conditionalFormatting sqref="C657">
    <cfRule type="expression" dxfId="0" priority="1" stopIfTrue="1">
      <formula>$A657="begin group"</formula>
    </cfRule>
  </conditionalFormatting>
  <conditionalFormatting sqref="C657">
    <cfRule type="expression" dxfId="1" priority="2" stopIfTrue="1">
      <formula>$A657="begin repeat"</formula>
    </cfRule>
  </conditionalFormatting>
  <conditionalFormatting sqref="C657">
    <cfRule type="expression" dxfId="31" priority="3" stopIfTrue="1">
      <formula>$A657="enumerator"</formula>
    </cfRule>
  </conditionalFormatting>
  <conditionalFormatting sqref="C657">
    <cfRule type="expression" dxfId="2" priority="4" stopIfTrue="1">
      <formula>$A657="text"</formula>
    </cfRule>
  </conditionalFormatting>
  <conditionalFormatting sqref="C657">
    <cfRule type="expression" dxfId="3" priority="5" stopIfTrue="1">
      <formula>$A657="integer"</formula>
    </cfRule>
  </conditionalFormatting>
  <conditionalFormatting sqref="C657">
    <cfRule type="expression" dxfId="4" priority="6" stopIfTrue="1">
      <formula>$A657="decimal"</formula>
    </cfRule>
  </conditionalFormatting>
  <conditionalFormatting sqref="C657">
    <cfRule type="expression" dxfId="5" priority="7" stopIfTrue="1">
      <formula>OR(AND(LEFT($A657, 16)="select_multiple ", LEN($A657)&gt;16, NOT(ISNUMBER(SEARCH(" ", $A657, 17)))), AND(LEFT($A657, 11)="select_one ", LEN($A657)&gt;11, NOT(ISNUMBER(SEARCH(" ", $A657, 12)))))</formula>
    </cfRule>
  </conditionalFormatting>
  <conditionalFormatting sqref="C657">
    <cfRule type="expression" dxfId="32" priority="8" stopIfTrue="1">
      <formula>$A657="file"</formula>
    </cfRule>
  </conditionalFormatting>
  <conditionalFormatting sqref="C657">
    <cfRule type="expression" dxfId="7" priority="9" stopIfTrue="1">
      <formula>$A657="note"</formula>
    </cfRule>
  </conditionalFormatting>
  <conditionalFormatting sqref="C657">
    <cfRule type="expression" dxfId="8" priority="10" stopIfTrue="1">
      <formula>$A657="barcode"</formula>
    </cfRule>
  </conditionalFormatting>
  <conditionalFormatting sqref="C657">
    <cfRule type="expression" dxfId="9" priority="11" stopIfTrue="1">
      <formula>OR($A657="geopoint", $A657="geoshape", $A657="geotrace")</formula>
    </cfRule>
  </conditionalFormatting>
  <conditionalFormatting sqref="C657">
    <cfRule type="expression" dxfId="11" priority="12" stopIfTrue="1">
      <formula>OR($A657="date", $A657="datetime", $A657="time")</formula>
    </cfRule>
  </conditionalFormatting>
  <conditionalFormatting sqref="C657">
    <cfRule type="expression" dxfId="12" priority="13" stopIfTrue="1">
      <formula>$A657="image"</formula>
    </cfRule>
  </conditionalFormatting>
  <conditionalFormatting sqref="C657">
    <cfRule type="expression" dxfId="13" priority="14" stopIfTrue="1">
      <formula>OR($A657="audio", $A657="video")</formula>
    </cfRule>
  </conditionalFormatting>
  <conditionalFormatting sqref="C657">
    <cfRule type="expression" dxfId="33" priority="15" stopIfTrue="1">
      <formula>$A657="file"</formula>
    </cfRule>
  </conditionalFormatting>
  <conditionalFormatting sqref="C657">
    <cfRule type="expression" dxfId="34" priority="16" stopIfTrue="1">
      <formula>$A657="enumerator"</formula>
    </cfRule>
  </conditionalFormatting>
  <conditionalFormatting sqref="C657">
    <cfRule type="expression" dxfId="35" priority="17" stopIfTrue="1">
      <formula>OR(AND(LEFT($A657, 14)="sensor_stream ", LEN($A657)&gt;14, NOT(ISNUMBER(SEARCH(" ", $A657, 15)))), AND(LEFT($A657, 17)="sensor_statistic ", LEN($A657)&gt;17, NOT(ISNUMBER(SEARCH(" ", $A657, 18)))))</formula>
    </cfRule>
  </conditionalFormatting>
  <conditionalFormatting sqref="C657">
    <cfRule type="expression" dxfId="14" priority="18" stopIfTrue="1">
      <formula>$A657="comments"</formula>
    </cfRule>
  </conditionalFormatting>
  <conditionalFormatting sqref="C657">
    <cfRule type="expression" dxfId="15" priority="19" stopIfTrue="1">
      <formula>OR($A657="audio", $A657="video")</formula>
    </cfRule>
  </conditionalFormatting>
  <conditionalFormatting sqref="C657">
    <cfRule type="expression" dxfId="16" priority="20" stopIfTrue="1">
      <formula>$A657="image"</formula>
    </cfRule>
  </conditionalFormatting>
  <conditionalFormatting sqref="C657">
    <cfRule type="expression" dxfId="17" priority="21" stopIfTrue="1">
      <formula>OR($A657="date", $A657="datetime", $A657="time")</formula>
    </cfRule>
  </conditionalFormatting>
  <conditionalFormatting sqref="C657">
    <cfRule type="expression" dxfId="18" priority="22" stopIfTrue="1">
      <formula>OR($A657="calculate", $A657="calculate_here")</formula>
    </cfRule>
  </conditionalFormatting>
  <conditionalFormatting sqref="C657">
    <cfRule type="expression" dxfId="19" priority="23" stopIfTrue="1">
      <formula>$A657="note"</formula>
    </cfRule>
  </conditionalFormatting>
  <conditionalFormatting sqref="C657">
    <cfRule type="expression" dxfId="20" priority="24" stopIfTrue="1">
      <formula>$A657="barcode"</formula>
    </cfRule>
  </conditionalFormatting>
  <conditionalFormatting sqref="C657">
    <cfRule type="expression" dxfId="21" priority="25" stopIfTrue="1">
      <formula>OR($A657="geopoint", $A657="geoshape", $A657="geotrace")</formula>
    </cfRule>
  </conditionalFormatting>
  <conditionalFormatting sqref="C657">
    <cfRule type="expression" dxfId="22" priority="26" stopIfTrue="1">
      <formula>OR($A657="audio audit", $A657="text audit", $A657="speed violations count", $A657="speed violations list", $A657="speed violations audit")</formula>
    </cfRule>
  </conditionalFormatting>
  <conditionalFormatting sqref="C657">
    <cfRule type="expression" dxfId="23" priority="27" stopIfTrue="1">
      <formula>OR($A657="username", $A657="phonenumber", $A657="start", $A657="end", $A657="deviceid", $A657="subscriberid", $A657="simserial", $A657="caseid")</formula>
    </cfRule>
  </conditionalFormatting>
  <conditionalFormatting sqref="C657">
    <cfRule type="expression" dxfId="24" priority="28" stopIfTrue="1">
      <formula>OR(AND(LEFT($A657, 16)="select_multiple ", LEN($A657)&gt;16, NOT(ISNUMBER(SEARCH(" ", $A657, 17)))), AND(LEFT($A657, 11)="select_one ", LEN($A657)&gt;11, NOT(ISNUMBER(SEARCH(" ", $A657, 12)))))</formula>
    </cfRule>
  </conditionalFormatting>
  <conditionalFormatting sqref="C657">
    <cfRule type="expression" dxfId="25" priority="29" stopIfTrue="1">
      <formula>$A657="decimal"</formula>
    </cfRule>
  </conditionalFormatting>
  <conditionalFormatting sqref="C657">
    <cfRule type="expression" dxfId="26" priority="30" stopIfTrue="1">
      <formula>$A657="integer"</formula>
    </cfRule>
  </conditionalFormatting>
  <conditionalFormatting sqref="C657">
    <cfRule type="expression" dxfId="27" priority="31" stopIfTrue="1">
      <formula>$A657="text"</formula>
    </cfRule>
  </conditionalFormatting>
  <conditionalFormatting sqref="C657">
    <cfRule type="expression" dxfId="28" priority="32" stopIfTrue="1">
      <formula>$A657="end repeat"</formula>
    </cfRule>
  </conditionalFormatting>
  <conditionalFormatting sqref="C657">
    <cfRule type="expression" dxfId="28" priority="33" stopIfTrue="1">
      <formula>$A657="begin repeat"</formula>
    </cfRule>
  </conditionalFormatting>
  <conditionalFormatting sqref="C657">
    <cfRule type="expression" dxfId="29" priority="34" stopIfTrue="1">
      <formula>$A657="end group"</formula>
    </cfRule>
  </conditionalFormatting>
  <conditionalFormatting sqref="C657">
    <cfRule type="expression" dxfId="29" priority="35" stopIfTrue="1">
      <formula>$A657="begin group"</formula>
    </cfRule>
  </conditionalFormatting>
  <printOptions/>
  <pageMargins bottom="0.9840277777777777" footer="0.0" header="0.0" left="0.7479166666666667" right="0.7479166666666667" top="0.9840277777777777"/>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0"/>
    <col customWidth="1" min="2" max="3" width="13.33"/>
    <col customWidth="1" min="4" max="4" width="27.0"/>
    <col customWidth="1" min="5" max="5" width="33.0"/>
    <col customWidth="1" min="6" max="6" width="15.67"/>
    <col customWidth="1" min="7" max="26" width="8.78"/>
  </cols>
  <sheetData>
    <row r="1" ht="18.0" customHeight="1">
      <c r="A1" s="1" t="s">
        <v>0</v>
      </c>
      <c r="B1" s="6" t="s">
        <v>2</v>
      </c>
      <c r="C1" s="9" t="s">
        <v>7</v>
      </c>
      <c r="D1" s="6" t="s">
        <v>9</v>
      </c>
      <c r="E1" s="6" t="s">
        <v>10</v>
      </c>
      <c r="F1" s="13" t="s">
        <v>11</v>
      </c>
      <c r="G1" s="14"/>
      <c r="H1" s="14"/>
      <c r="I1" s="14"/>
      <c r="J1" s="14"/>
      <c r="K1" s="14"/>
      <c r="L1" s="14"/>
      <c r="M1" s="14"/>
      <c r="N1" s="14"/>
      <c r="O1" s="14"/>
      <c r="P1" s="14"/>
      <c r="Q1" s="14"/>
      <c r="R1" s="14"/>
      <c r="S1" s="14"/>
      <c r="T1" s="14"/>
      <c r="U1" s="14"/>
      <c r="V1" s="14"/>
      <c r="W1" s="14"/>
      <c r="X1" s="14"/>
      <c r="Y1" s="14"/>
      <c r="Z1" s="14"/>
    </row>
    <row r="2" ht="15.75" customHeight="1">
      <c r="A2" s="19" t="s">
        <v>19</v>
      </c>
      <c r="B2" s="21" t="s">
        <v>22</v>
      </c>
      <c r="C2" s="33" t="str">
        <f>TEXT(YEAR(NOW())-2000, "00") &amp; TEXT(MONTH(NOW()), "00") &amp; TEXT(DAY(NOW()), "00") &amp; TEXT(HOUR(NOW()), "00") &amp; TEXT(MINUTE(NOW()), "00")</f>
        <v>2608031048</v>
      </c>
      <c r="D2" s="34" t="s">
        <v>52</v>
      </c>
      <c r="E2" s="34" t="s">
        <v>52</v>
      </c>
      <c r="F2" s="33" t="s">
        <v>53</v>
      </c>
      <c r="G2" s="35"/>
      <c r="H2" s="35"/>
      <c r="I2" s="35"/>
      <c r="J2" s="35"/>
      <c r="K2" s="35"/>
      <c r="L2" s="35"/>
      <c r="M2" s="35"/>
      <c r="N2" s="35"/>
      <c r="O2" s="35"/>
      <c r="P2" s="35"/>
      <c r="Q2" s="35"/>
      <c r="R2" s="35"/>
      <c r="S2" s="35"/>
      <c r="T2" s="35"/>
      <c r="U2" s="35"/>
      <c r="V2" s="35"/>
      <c r="W2" s="35"/>
      <c r="X2" s="35"/>
      <c r="Y2" s="35"/>
      <c r="Z2" s="35"/>
    </row>
    <row r="3" ht="15.75" customHeight="1"/>
    <row r="4" ht="15.75" customHeight="1">
      <c r="C4" s="36"/>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30" width="36.0"/>
    <col customWidth="1" min="31" max="31" width="10.56"/>
  </cols>
  <sheetData>
    <row r="1" ht="16.5" customHeight="1">
      <c r="A1" s="2" t="s">
        <v>1</v>
      </c>
      <c r="B1" s="3"/>
      <c r="C1" s="7"/>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ht="15.75" customHeight="1">
      <c r="A2" s="23"/>
      <c r="B2" s="24"/>
      <c r="C2" s="7"/>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row>
    <row r="3" ht="57.75" customHeight="1">
      <c r="A3" s="32" t="s">
        <v>50</v>
      </c>
      <c r="B3" s="24"/>
      <c r="C3" s="7"/>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row>
    <row r="4" ht="15.75" customHeight="1">
      <c r="A4" s="38" t="s">
        <v>54</v>
      </c>
      <c r="B4" s="40"/>
      <c r="C4" s="7"/>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row>
    <row r="5" ht="15.75" customHeight="1">
      <c r="A5" s="11"/>
      <c r="B5" s="11"/>
      <c r="C5" s="7"/>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row>
    <row r="6" ht="18.0" customHeight="1">
      <c r="A6" s="46" t="s">
        <v>3</v>
      </c>
      <c r="B6" s="46" t="s">
        <v>5</v>
      </c>
      <c r="C6" s="48" t="s">
        <v>6</v>
      </c>
      <c r="D6" s="48" t="s">
        <v>70</v>
      </c>
      <c r="E6" s="46" t="s">
        <v>20</v>
      </c>
      <c r="F6" s="46" t="s">
        <v>71</v>
      </c>
      <c r="G6" s="46" t="s">
        <v>24</v>
      </c>
      <c r="H6" s="51" t="s">
        <v>25</v>
      </c>
      <c r="I6" s="46" t="s">
        <v>26</v>
      </c>
      <c r="J6" s="48" t="s">
        <v>27</v>
      </c>
      <c r="K6" s="48" t="s">
        <v>73</v>
      </c>
      <c r="L6" s="46" t="s">
        <v>30</v>
      </c>
      <c r="M6" s="46" t="s">
        <v>31</v>
      </c>
      <c r="N6" s="46" t="s">
        <v>32</v>
      </c>
      <c r="O6" s="46" t="s">
        <v>33</v>
      </c>
      <c r="P6" s="46" t="s">
        <v>75</v>
      </c>
      <c r="Q6" s="46" t="s">
        <v>34</v>
      </c>
      <c r="R6" s="46" t="s">
        <v>35</v>
      </c>
      <c r="S6" s="46" t="s">
        <v>36</v>
      </c>
      <c r="T6" s="46" t="s">
        <v>37</v>
      </c>
      <c r="U6" s="46" t="s">
        <v>38</v>
      </c>
      <c r="V6" s="46" t="s">
        <v>39</v>
      </c>
      <c r="W6" s="46" t="s">
        <v>79</v>
      </c>
      <c r="X6" s="46" t="s">
        <v>81</v>
      </c>
      <c r="Y6" s="46" t="s">
        <v>82</v>
      </c>
      <c r="Z6" s="46" t="s">
        <v>40</v>
      </c>
      <c r="AA6" s="46" t="s">
        <v>41</v>
      </c>
      <c r="AB6" s="46" t="s">
        <v>42</v>
      </c>
      <c r="AC6" s="46" t="s">
        <v>43</v>
      </c>
      <c r="AD6" s="46" t="s">
        <v>45</v>
      </c>
      <c r="AE6" s="58"/>
    </row>
    <row r="7" ht="15.75" customHeight="1">
      <c r="A7" s="59" t="s">
        <v>86</v>
      </c>
      <c r="B7" s="59" t="s">
        <v>87</v>
      </c>
      <c r="C7" s="59" t="s">
        <v>91</v>
      </c>
      <c r="D7" s="59" t="s">
        <v>93</v>
      </c>
      <c r="E7" s="59" t="s">
        <v>95</v>
      </c>
      <c r="F7" s="59" t="s">
        <v>96</v>
      </c>
      <c r="G7" s="60" t="s">
        <v>97</v>
      </c>
      <c r="H7" s="59" t="s">
        <v>98</v>
      </c>
      <c r="I7" s="59" t="s">
        <v>99</v>
      </c>
      <c r="J7" s="59" t="s">
        <v>100</v>
      </c>
      <c r="K7" s="59" t="s">
        <v>101</v>
      </c>
      <c r="L7" s="59" t="s">
        <v>102</v>
      </c>
      <c r="M7" s="59" t="s">
        <v>104</v>
      </c>
      <c r="N7" s="59" t="s">
        <v>105</v>
      </c>
      <c r="O7" s="59" t="s">
        <v>106</v>
      </c>
      <c r="P7" s="59" t="s">
        <v>109</v>
      </c>
      <c r="Q7" s="59" t="s">
        <v>111</v>
      </c>
      <c r="R7" s="59" t="s">
        <v>112</v>
      </c>
      <c r="S7" s="59" t="s">
        <v>113</v>
      </c>
      <c r="T7" s="59" t="s">
        <v>114</v>
      </c>
      <c r="U7" s="59" t="s">
        <v>115</v>
      </c>
      <c r="V7" s="59" t="s">
        <v>116</v>
      </c>
      <c r="W7" s="59" t="s">
        <v>117</v>
      </c>
      <c r="X7" s="59" t="s">
        <v>119</v>
      </c>
      <c r="Y7" s="59" t="s">
        <v>121</v>
      </c>
      <c r="Z7" s="67" t="s">
        <v>122</v>
      </c>
      <c r="AA7" s="59" t="s">
        <v>123</v>
      </c>
      <c r="AB7" s="59" t="s">
        <v>126</v>
      </c>
      <c r="AC7" s="59" t="s">
        <v>127</v>
      </c>
      <c r="AD7" s="59" t="s">
        <v>128</v>
      </c>
      <c r="AE7" s="70"/>
    </row>
    <row r="8" ht="15.75" customHeight="1">
      <c r="A8" s="71"/>
      <c r="B8" s="71"/>
      <c r="C8" s="71"/>
      <c r="D8" s="74" t="s">
        <v>132</v>
      </c>
      <c r="E8" s="71"/>
      <c r="F8" s="74" t="s">
        <v>132</v>
      </c>
      <c r="G8" s="76" t="s">
        <v>147</v>
      </c>
      <c r="H8" s="71"/>
      <c r="I8" s="76" t="s">
        <v>155</v>
      </c>
      <c r="J8" s="76" t="s">
        <v>155</v>
      </c>
      <c r="K8" s="71"/>
      <c r="L8" s="76" t="s">
        <v>160</v>
      </c>
      <c r="M8" s="76" t="s">
        <v>161</v>
      </c>
      <c r="N8" s="76" t="s">
        <v>161</v>
      </c>
      <c r="O8" s="76" t="s">
        <v>161</v>
      </c>
      <c r="P8" s="71"/>
      <c r="Q8" s="76" t="s">
        <v>161</v>
      </c>
      <c r="R8" s="76" t="s">
        <v>167</v>
      </c>
      <c r="S8" s="76" t="s">
        <v>169</v>
      </c>
      <c r="T8" s="76" t="s">
        <v>174</v>
      </c>
      <c r="U8" s="76" t="s">
        <v>161</v>
      </c>
      <c r="V8" s="76" t="s">
        <v>161</v>
      </c>
      <c r="W8" s="74" t="s">
        <v>132</v>
      </c>
      <c r="X8" s="74" t="s">
        <v>132</v>
      </c>
      <c r="Y8" s="74" t="s">
        <v>132</v>
      </c>
      <c r="Z8" s="76" t="s">
        <v>176</v>
      </c>
      <c r="AA8" s="76" t="s">
        <v>178</v>
      </c>
      <c r="AB8" s="76" t="s">
        <v>178</v>
      </c>
      <c r="AC8" s="81" t="s">
        <v>183</v>
      </c>
      <c r="AD8" s="76" t="s">
        <v>187</v>
      </c>
      <c r="AE8" s="70"/>
    </row>
    <row r="9" ht="15.75" customHeight="1">
      <c r="A9" s="11"/>
      <c r="B9" s="11"/>
      <c r="C9" s="7"/>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row>
    <row r="10" ht="15.75" customHeight="1">
      <c r="A10" s="83" t="s">
        <v>189</v>
      </c>
      <c r="B10" s="84"/>
      <c r="C10" s="85"/>
      <c r="D10" s="86"/>
      <c r="E10" s="86"/>
      <c r="F10" s="86"/>
      <c r="G10" s="86"/>
      <c r="H10" s="86"/>
      <c r="I10" s="86"/>
      <c r="J10" s="86"/>
      <c r="K10" s="86"/>
      <c r="L10" s="86"/>
      <c r="M10" s="86"/>
      <c r="N10" s="86"/>
      <c r="O10" s="86"/>
      <c r="P10" s="86"/>
      <c r="Q10" s="86"/>
      <c r="R10" s="86"/>
      <c r="S10" s="86"/>
      <c r="T10" s="86"/>
      <c r="U10" s="86"/>
      <c r="V10" s="86"/>
      <c r="W10" s="86"/>
      <c r="X10" s="86"/>
      <c r="Y10" s="86"/>
      <c r="Z10" s="86"/>
      <c r="AA10" s="86"/>
      <c r="AB10" s="86"/>
      <c r="AC10" s="86"/>
      <c r="AD10" s="86"/>
      <c r="AE10" s="89"/>
    </row>
    <row r="11" ht="15.75" customHeight="1">
      <c r="A11" s="11"/>
      <c r="B11" s="11"/>
      <c r="C11" s="7"/>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row>
    <row r="12" ht="15.75" customHeight="1">
      <c r="A12" s="91" t="s">
        <v>149</v>
      </c>
      <c r="B12" s="92" t="s">
        <v>197</v>
      </c>
      <c r="C12" s="93" t="s">
        <v>199</v>
      </c>
      <c r="D12" s="92"/>
      <c r="E12" s="92"/>
      <c r="F12" s="92"/>
      <c r="G12" s="92"/>
      <c r="H12" s="92" t="s">
        <v>201</v>
      </c>
      <c r="I12" s="92"/>
      <c r="J12" s="92"/>
      <c r="K12" s="92"/>
      <c r="L12" s="92"/>
      <c r="M12" s="92"/>
      <c r="N12" s="92"/>
      <c r="O12" s="92"/>
      <c r="P12" s="92"/>
      <c r="Q12" s="92"/>
      <c r="R12" s="92"/>
      <c r="S12" s="92"/>
      <c r="T12" s="92"/>
      <c r="U12" s="92"/>
      <c r="V12" s="92"/>
      <c r="W12" s="92"/>
      <c r="X12" s="92"/>
      <c r="Y12" s="92"/>
      <c r="Z12" s="92"/>
      <c r="AA12" s="92"/>
      <c r="AB12" s="92"/>
      <c r="AC12" s="92"/>
      <c r="AD12" s="92"/>
      <c r="AE12" s="89"/>
    </row>
    <row r="13" ht="15.75" customHeight="1">
      <c r="A13" s="91" t="s">
        <v>149</v>
      </c>
      <c r="B13" s="92" t="s">
        <v>197</v>
      </c>
      <c r="C13" s="93" t="s">
        <v>209</v>
      </c>
      <c r="D13" s="92"/>
      <c r="E13" s="92"/>
      <c r="F13" s="92"/>
      <c r="G13" s="92"/>
      <c r="H13" s="93" t="s">
        <v>210</v>
      </c>
      <c r="I13" s="92"/>
      <c r="J13" s="92"/>
      <c r="K13" s="92"/>
      <c r="L13" s="92"/>
      <c r="M13" s="92"/>
      <c r="N13" s="92"/>
      <c r="O13" s="92"/>
      <c r="P13" s="92"/>
      <c r="Q13" s="92"/>
      <c r="R13" s="92"/>
      <c r="S13" s="92"/>
      <c r="T13" s="92"/>
      <c r="U13" s="92"/>
      <c r="V13" s="92"/>
      <c r="W13" s="92"/>
      <c r="X13" s="92"/>
      <c r="Y13" s="92"/>
      <c r="Z13" s="92"/>
      <c r="AA13" s="92"/>
      <c r="AB13" s="92"/>
      <c r="AC13" s="92"/>
      <c r="AD13" s="92"/>
      <c r="AE13" s="89"/>
    </row>
    <row r="14" ht="15.75" customHeight="1">
      <c r="A14" s="91" t="s">
        <v>149</v>
      </c>
      <c r="B14" s="92" t="s">
        <v>197</v>
      </c>
      <c r="C14" s="93" t="s">
        <v>216</v>
      </c>
      <c r="D14" s="92"/>
      <c r="E14" s="92"/>
      <c r="F14" s="92"/>
      <c r="G14" s="92"/>
      <c r="H14" s="92" t="s">
        <v>218</v>
      </c>
      <c r="I14" s="92"/>
      <c r="J14" s="92"/>
      <c r="K14" s="92"/>
      <c r="L14" s="92"/>
      <c r="M14" s="92"/>
      <c r="N14" s="92"/>
      <c r="O14" s="92"/>
      <c r="P14" s="92"/>
      <c r="Q14" s="92"/>
      <c r="R14" s="92"/>
      <c r="S14" s="92"/>
      <c r="T14" s="92"/>
      <c r="U14" s="92"/>
      <c r="V14" s="92"/>
      <c r="W14" s="92"/>
      <c r="X14" s="92"/>
      <c r="Y14" s="92"/>
      <c r="Z14" s="92"/>
      <c r="AA14" s="92"/>
      <c r="AB14" s="92"/>
      <c r="AC14" s="92"/>
      <c r="AD14" s="92"/>
      <c r="AE14" s="89"/>
    </row>
    <row r="15" ht="15.75" customHeight="1">
      <c r="A15" s="91" t="s">
        <v>149</v>
      </c>
      <c r="B15" s="92" t="s">
        <v>197</v>
      </c>
      <c r="C15" s="93" t="s">
        <v>216</v>
      </c>
      <c r="D15" s="92"/>
      <c r="E15" s="92"/>
      <c r="F15" s="92"/>
      <c r="G15" s="92"/>
      <c r="H15" s="92" t="s">
        <v>221</v>
      </c>
      <c r="I15" s="92"/>
      <c r="J15" s="92"/>
      <c r="K15" s="92"/>
      <c r="L15" s="92"/>
      <c r="M15" s="92"/>
      <c r="N15" s="92"/>
      <c r="O15" s="92"/>
      <c r="P15" s="92"/>
      <c r="Q15" s="92"/>
      <c r="R15" s="92"/>
      <c r="S15" s="92"/>
      <c r="T15" s="92"/>
      <c r="U15" s="92"/>
      <c r="V15" s="92"/>
      <c r="W15" s="92"/>
      <c r="X15" s="92"/>
      <c r="Y15" s="92"/>
      <c r="Z15" s="92"/>
      <c r="AA15" s="92"/>
      <c r="AB15" s="92"/>
      <c r="AC15" s="92"/>
      <c r="AD15" s="92"/>
      <c r="AE15" s="89"/>
    </row>
    <row r="16" ht="15.75" customHeight="1">
      <c r="A16" s="91" t="s">
        <v>231</v>
      </c>
      <c r="B16" s="92" t="s">
        <v>197</v>
      </c>
      <c r="C16" s="93" t="s">
        <v>233</v>
      </c>
      <c r="D16" s="91"/>
      <c r="E16" s="92"/>
      <c r="F16" s="92"/>
      <c r="G16" s="92"/>
      <c r="H16" s="92"/>
      <c r="I16" s="92"/>
      <c r="J16" s="92"/>
      <c r="K16" s="92"/>
      <c r="L16" s="92"/>
      <c r="M16" s="92"/>
      <c r="N16" s="92"/>
      <c r="O16" s="92"/>
      <c r="P16" s="92"/>
      <c r="Q16" s="92"/>
      <c r="R16" s="92"/>
      <c r="S16" s="92"/>
      <c r="T16" s="92"/>
      <c r="U16" s="92"/>
      <c r="V16" s="92"/>
      <c r="W16" s="92"/>
      <c r="X16" s="92"/>
      <c r="Y16" s="92"/>
      <c r="Z16" s="92"/>
      <c r="AA16" s="92"/>
      <c r="AB16" s="92"/>
      <c r="AC16" s="92"/>
      <c r="AD16" s="92"/>
      <c r="AE16" s="89"/>
    </row>
    <row r="17" ht="15.75" customHeight="1">
      <c r="A17" s="91" t="s">
        <v>231</v>
      </c>
      <c r="B17" s="92" t="s">
        <v>197</v>
      </c>
      <c r="C17" s="93" t="s">
        <v>239</v>
      </c>
      <c r="D17" s="92"/>
      <c r="E17" s="92"/>
      <c r="F17" s="92"/>
      <c r="G17" s="92"/>
      <c r="H17" s="92" t="s">
        <v>240</v>
      </c>
      <c r="I17" s="92"/>
      <c r="J17" s="92"/>
      <c r="K17" s="92"/>
      <c r="L17" s="92"/>
      <c r="M17" s="92"/>
      <c r="N17" s="92"/>
      <c r="O17" s="92"/>
      <c r="P17" s="92"/>
      <c r="Q17" s="92"/>
      <c r="R17" s="92"/>
      <c r="S17" s="92"/>
      <c r="T17" s="92"/>
      <c r="U17" s="92"/>
      <c r="V17" s="92"/>
      <c r="W17" s="92"/>
      <c r="X17" s="92"/>
      <c r="Y17" s="92"/>
      <c r="Z17" s="92"/>
      <c r="AA17" s="92"/>
      <c r="AB17" s="92"/>
      <c r="AC17" s="92"/>
      <c r="AD17" s="92"/>
      <c r="AE17" s="89"/>
    </row>
    <row r="18" ht="15.75" customHeight="1">
      <c r="A18" s="91" t="s">
        <v>246</v>
      </c>
      <c r="B18" s="92" t="s">
        <v>197</v>
      </c>
      <c r="C18" s="93" t="s">
        <v>248</v>
      </c>
      <c r="D18" s="91"/>
      <c r="E18" s="92"/>
      <c r="F18" s="92"/>
      <c r="G18" s="92"/>
      <c r="H18" s="92"/>
      <c r="I18" s="92"/>
      <c r="J18" s="92"/>
      <c r="K18" s="92"/>
      <c r="L18" s="92"/>
      <c r="M18" s="92"/>
      <c r="N18" s="92"/>
      <c r="O18" s="92"/>
      <c r="P18" s="92"/>
      <c r="Q18" s="92"/>
      <c r="R18" s="92"/>
      <c r="S18" s="92"/>
      <c r="T18" s="92"/>
      <c r="U18" s="92"/>
      <c r="V18" s="92"/>
      <c r="W18" s="92"/>
      <c r="X18" s="92"/>
      <c r="Y18" s="92"/>
      <c r="Z18" s="92"/>
      <c r="AA18" s="92"/>
      <c r="AB18" s="92"/>
      <c r="AC18" s="92"/>
      <c r="AD18" s="92"/>
      <c r="AE18" s="89"/>
    </row>
    <row r="19" ht="15.75" customHeight="1">
      <c r="A19" s="91" t="s">
        <v>264</v>
      </c>
      <c r="B19" s="92" t="s">
        <v>197</v>
      </c>
      <c r="C19" s="93" t="s">
        <v>265</v>
      </c>
      <c r="D19" s="91"/>
      <c r="E19" s="92"/>
      <c r="F19" s="92"/>
      <c r="G19" s="92"/>
      <c r="H19" s="92"/>
      <c r="I19" s="92"/>
      <c r="J19" s="92"/>
      <c r="K19" s="92"/>
      <c r="L19" s="92"/>
      <c r="M19" s="92"/>
      <c r="N19" s="92"/>
      <c r="O19" s="92"/>
      <c r="P19" s="92"/>
      <c r="Q19" s="92"/>
      <c r="R19" s="92"/>
      <c r="S19" s="92"/>
      <c r="T19" s="92"/>
      <c r="U19" s="92"/>
      <c r="V19" s="92"/>
      <c r="W19" s="92"/>
      <c r="X19" s="92"/>
      <c r="Y19" s="92"/>
      <c r="Z19" s="92"/>
      <c r="AA19" s="92"/>
      <c r="AB19" s="92"/>
      <c r="AC19" s="92"/>
      <c r="AD19" s="92"/>
      <c r="AE19" s="89"/>
    </row>
    <row r="20" ht="15.75" customHeight="1">
      <c r="A20" s="91" t="s">
        <v>283</v>
      </c>
      <c r="B20" s="92" t="s">
        <v>197</v>
      </c>
      <c r="C20" s="93" t="s">
        <v>285</v>
      </c>
      <c r="D20" s="91"/>
      <c r="E20" s="92"/>
      <c r="F20" s="92"/>
      <c r="G20" s="92"/>
      <c r="H20" s="92"/>
      <c r="I20" s="92"/>
      <c r="J20" s="92"/>
      <c r="K20" s="92"/>
      <c r="L20" s="92"/>
      <c r="M20" s="92"/>
      <c r="N20" s="92"/>
      <c r="O20" s="92"/>
      <c r="P20" s="92"/>
      <c r="Q20" s="92"/>
      <c r="R20" s="92"/>
      <c r="S20" s="92"/>
      <c r="T20" s="92"/>
      <c r="U20" s="92"/>
      <c r="V20" s="92"/>
      <c r="W20" s="92"/>
      <c r="X20" s="92"/>
      <c r="Y20" s="92"/>
      <c r="Z20" s="92"/>
      <c r="AA20" s="92"/>
      <c r="AB20" s="92"/>
      <c r="AC20" s="92"/>
      <c r="AD20" s="92"/>
      <c r="AE20" s="89"/>
    </row>
    <row r="21" ht="15.75" customHeight="1">
      <c r="A21" s="91" t="s">
        <v>283</v>
      </c>
      <c r="B21" s="92" t="s">
        <v>197</v>
      </c>
      <c r="C21" s="93" t="s">
        <v>301</v>
      </c>
      <c r="D21" s="92"/>
      <c r="E21" s="92"/>
      <c r="F21" s="92"/>
      <c r="G21" s="92"/>
      <c r="H21" s="92" t="s">
        <v>303</v>
      </c>
      <c r="I21" s="92"/>
      <c r="J21" s="92"/>
      <c r="K21" s="92"/>
      <c r="L21" s="92"/>
      <c r="M21" s="92"/>
      <c r="N21" s="92"/>
      <c r="O21" s="92"/>
      <c r="P21" s="92"/>
      <c r="Q21" s="92"/>
      <c r="R21" s="92"/>
      <c r="S21" s="92"/>
      <c r="T21" s="92"/>
      <c r="U21" s="92"/>
      <c r="V21" s="92"/>
      <c r="W21" s="92"/>
      <c r="X21" s="92"/>
      <c r="Y21" s="92"/>
      <c r="Z21" s="92"/>
      <c r="AA21" s="92"/>
      <c r="AB21" s="92"/>
      <c r="AC21" s="92"/>
      <c r="AD21" s="92"/>
      <c r="AE21" s="89"/>
    </row>
    <row r="22" ht="15.75" customHeight="1">
      <c r="A22" s="91" t="s">
        <v>283</v>
      </c>
      <c r="B22" s="92" t="s">
        <v>197</v>
      </c>
      <c r="C22" s="93" t="s">
        <v>316</v>
      </c>
      <c r="D22" s="92"/>
      <c r="E22" s="92"/>
      <c r="F22" s="92"/>
      <c r="G22" s="92"/>
      <c r="H22" s="92" t="s">
        <v>318</v>
      </c>
      <c r="I22" s="92"/>
      <c r="J22" s="92"/>
      <c r="K22" s="92"/>
      <c r="L22" s="92"/>
      <c r="M22" s="92"/>
      <c r="N22" s="92"/>
      <c r="O22" s="92"/>
      <c r="P22" s="92"/>
      <c r="Q22" s="92"/>
      <c r="R22" s="92"/>
      <c r="S22" s="92"/>
      <c r="T22" s="92"/>
      <c r="U22" s="92"/>
      <c r="V22" s="92"/>
      <c r="W22" s="92"/>
      <c r="X22" s="92"/>
      <c r="Y22" s="92"/>
      <c r="Z22" s="92"/>
      <c r="AA22" s="92"/>
      <c r="AB22" s="92"/>
      <c r="AC22" s="92"/>
      <c r="AD22" s="92"/>
      <c r="AE22" s="89"/>
    </row>
    <row r="23" ht="15.75" customHeight="1">
      <c r="A23" s="91" t="s">
        <v>283</v>
      </c>
      <c r="B23" s="92" t="s">
        <v>197</v>
      </c>
      <c r="C23" s="93" t="s">
        <v>329</v>
      </c>
      <c r="D23" s="92"/>
      <c r="E23" s="92"/>
      <c r="F23" s="92"/>
      <c r="G23" s="92"/>
      <c r="H23" s="92" t="s">
        <v>331</v>
      </c>
      <c r="I23" s="92"/>
      <c r="J23" s="92"/>
      <c r="K23" s="92"/>
      <c r="L23" s="92"/>
      <c r="M23" s="92"/>
      <c r="N23" s="92"/>
      <c r="O23" s="92"/>
      <c r="P23" s="92"/>
      <c r="Q23" s="92"/>
      <c r="R23" s="92"/>
      <c r="S23" s="92"/>
      <c r="T23" s="92"/>
      <c r="U23" s="92"/>
      <c r="V23" s="92"/>
      <c r="W23" s="92"/>
      <c r="X23" s="92"/>
      <c r="Y23" s="92"/>
      <c r="Z23" s="92"/>
      <c r="AA23" s="92"/>
      <c r="AB23" s="92"/>
      <c r="AC23" s="92"/>
      <c r="AD23" s="92"/>
      <c r="AE23" s="89"/>
    </row>
    <row r="24" ht="15.75" customHeight="1">
      <c r="A24" s="91" t="s">
        <v>283</v>
      </c>
      <c r="B24" s="92" t="s">
        <v>197</v>
      </c>
      <c r="C24" s="93" t="s">
        <v>343</v>
      </c>
      <c r="D24" s="92"/>
      <c r="E24" s="92"/>
      <c r="F24" s="92"/>
      <c r="G24" s="92"/>
      <c r="H24" s="92" t="s">
        <v>344</v>
      </c>
      <c r="I24" s="92"/>
      <c r="J24" s="92"/>
      <c r="K24" s="92"/>
      <c r="L24" s="92"/>
      <c r="M24" s="92"/>
      <c r="N24" s="92"/>
      <c r="O24" s="92"/>
      <c r="P24" s="92"/>
      <c r="Q24" s="92"/>
      <c r="R24" s="92"/>
      <c r="S24" s="92"/>
      <c r="T24" s="92"/>
      <c r="U24" s="92"/>
      <c r="V24" s="92"/>
      <c r="W24" s="92"/>
      <c r="X24" s="92"/>
      <c r="Y24" s="92"/>
      <c r="Z24" s="92"/>
      <c r="AA24" s="92"/>
      <c r="AB24" s="92"/>
      <c r="AC24" s="92"/>
      <c r="AD24" s="92"/>
      <c r="AE24" s="89"/>
    </row>
    <row r="25" ht="15.75" customHeight="1">
      <c r="A25" s="91" t="s">
        <v>283</v>
      </c>
      <c r="B25" s="92" t="s">
        <v>197</v>
      </c>
      <c r="C25" s="93" t="s">
        <v>355</v>
      </c>
      <c r="D25" s="92"/>
      <c r="E25" s="92"/>
      <c r="F25" s="92"/>
      <c r="G25" s="92"/>
      <c r="H25" s="92" t="s">
        <v>359</v>
      </c>
      <c r="I25" s="92"/>
      <c r="J25" s="92"/>
      <c r="K25" s="92"/>
      <c r="L25" s="92"/>
      <c r="M25" s="92"/>
      <c r="N25" s="92"/>
      <c r="O25" s="92"/>
      <c r="P25" s="92"/>
      <c r="Q25" s="92"/>
      <c r="R25" s="92"/>
      <c r="S25" s="92"/>
      <c r="T25" s="92"/>
      <c r="U25" s="92"/>
      <c r="V25" s="92"/>
      <c r="W25" s="92"/>
      <c r="X25" s="92"/>
      <c r="Y25" s="92"/>
      <c r="Z25" s="92"/>
      <c r="AA25" s="92"/>
      <c r="AB25" s="92"/>
      <c r="AC25" s="92"/>
      <c r="AD25" s="92"/>
      <c r="AE25" s="89"/>
    </row>
    <row r="26" ht="15.75" customHeight="1">
      <c r="A26" s="91" t="s">
        <v>283</v>
      </c>
      <c r="B26" s="92" t="s">
        <v>197</v>
      </c>
      <c r="C26" s="93" t="s">
        <v>381</v>
      </c>
      <c r="D26" s="92"/>
      <c r="E26" s="92"/>
      <c r="F26" s="92"/>
      <c r="G26" s="92"/>
      <c r="H26" s="92" t="s">
        <v>383</v>
      </c>
      <c r="I26" s="92"/>
      <c r="J26" s="92"/>
      <c r="K26" s="92"/>
      <c r="L26" s="92"/>
      <c r="M26" s="92"/>
      <c r="N26" s="92"/>
      <c r="O26" s="92"/>
      <c r="P26" s="92"/>
      <c r="Q26" s="92"/>
      <c r="R26" s="92"/>
      <c r="S26" s="92"/>
      <c r="T26" s="92"/>
      <c r="U26" s="92"/>
      <c r="V26" s="92"/>
      <c r="W26" s="92"/>
      <c r="X26" s="92"/>
      <c r="Y26" s="92"/>
      <c r="Z26" s="92"/>
      <c r="AA26" s="92"/>
      <c r="AB26" s="92"/>
      <c r="AC26" s="92"/>
      <c r="AD26" s="92"/>
      <c r="AE26" s="89"/>
    </row>
    <row r="27" ht="15.75" customHeight="1">
      <c r="A27" s="91" t="s">
        <v>283</v>
      </c>
      <c r="B27" s="92" t="s">
        <v>197</v>
      </c>
      <c r="C27" s="93" t="s">
        <v>416</v>
      </c>
      <c r="D27" s="92"/>
      <c r="E27" s="92"/>
      <c r="F27" s="92"/>
      <c r="G27" s="92"/>
      <c r="H27" s="92" t="s">
        <v>417</v>
      </c>
      <c r="I27" s="92"/>
      <c r="J27" s="92"/>
      <c r="K27" s="92"/>
      <c r="L27" s="92"/>
      <c r="M27" s="92"/>
      <c r="N27" s="92"/>
      <c r="O27" s="92"/>
      <c r="P27" s="92"/>
      <c r="Q27" s="92"/>
      <c r="R27" s="92"/>
      <c r="S27" s="92"/>
      <c r="T27" s="92"/>
      <c r="U27" s="92"/>
      <c r="V27" s="92"/>
      <c r="W27" s="92"/>
      <c r="X27" s="92"/>
      <c r="Y27" s="92"/>
      <c r="Z27" s="92"/>
      <c r="AA27" s="92"/>
      <c r="AB27" s="92"/>
      <c r="AC27" s="92"/>
      <c r="AD27" s="92"/>
      <c r="AE27" s="89"/>
    </row>
    <row r="28" ht="15.75" customHeight="1">
      <c r="A28" s="91" t="s">
        <v>283</v>
      </c>
      <c r="B28" s="92" t="s">
        <v>197</v>
      </c>
      <c r="C28" s="93" t="s">
        <v>428</v>
      </c>
      <c r="D28" s="92"/>
      <c r="E28" s="92"/>
      <c r="F28" s="92"/>
      <c r="G28" s="92"/>
      <c r="H28" s="92" t="s">
        <v>429</v>
      </c>
      <c r="I28" s="92"/>
      <c r="J28" s="92"/>
      <c r="K28" s="92"/>
      <c r="L28" s="92"/>
      <c r="M28" s="92"/>
      <c r="N28" s="92"/>
      <c r="O28" s="92"/>
      <c r="P28" s="92"/>
      <c r="Q28" s="92"/>
      <c r="R28" s="92"/>
      <c r="S28" s="92"/>
      <c r="T28" s="92"/>
      <c r="U28" s="92"/>
      <c r="V28" s="92"/>
      <c r="W28" s="92"/>
      <c r="X28" s="92"/>
      <c r="Y28" s="92"/>
      <c r="Z28" s="92"/>
      <c r="AA28" s="92"/>
      <c r="AB28" s="92"/>
      <c r="AC28" s="92"/>
      <c r="AD28" s="92"/>
      <c r="AE28" s="89"/>
    </row>
    <row r="29" ht="15.75" customHeight="1">
      <c r="A29" s="91" t="s">
        <v>283</v>
      </c>
      <c r="B29" s="92" t="s">
        <v>197</v>
      </c>
      <c r="C29" s="93" t="s">
        <v>441</v>
      </c>
      <c r="D29" s="92"/>
      <c r="E29" s="92"/>
      <c r="F29" s="92"/>
      <c r="G29" s="92"/>
      <c r="H29" s="92" t="s">
        <v>442</v>
      </c>
      <c r="I29" s="92"/>
      <c r="J29" s="92"/>
      <c r="K29" s="92"/>
      <c r="L29" s="92"/>
      <c r="M29" s="92"/>
      <c r="N29" s="92"/>
      <c r="O29" s="92"/>
      <c r="P29" s="92"/>
      <c r="Q29" s="92"/>
      <c r="R29" s="92"/>
      <c r="S29" s="92"/>
      <c r="T29" s="92"/>
      <c r="U29" s="92"/>
      <c r="V29" s="92"/>
      <c r="W29" s="92"/>
      <c r="X29" s="92"/>
      <c r="Y29" s="92"/>
      <c r="Z29" s="92"/>
      <c r="AA29" s="92"/>
      <c r="AB29" s="92"/>
      <c r="AC29" s="92"/>
      <c r="AD29" s="92"/>
      <c r="AE29" s="89"/>
    </row>
    <row r="30" ht="15.75" customHeight="1">
      <c r="A30" s="91" t="s">
        <v>283</v>
      </c>
      <c r="B30" s="92" t="s">
        <v>197</v>
      </c>
      <c r="C30" s="93" t="s">
        <v>450</v>
      </c>
      <c r="D30" s="92"/>
      <c r="E30" s="92"/>
      <c r="F30" s="92"/>
      <c r="G30" s="92"/>
      <c r="H30" s="92" t="s">
        <v>453</v>
      </c>
      <c r="I30" s="92"/>
      <c r="J30" s="92"/>
      <c r="K30" s="92"/>
      <c r="L30" s="92"/>
      <c r="M30" s="92"/>
      <c r="N30" s="92"/>
      <c r="O30" s="92"/>
      <c r="P30" s="92"/>
      <c r="Q30" s="92"/>
      <c r="R30" s="92"/>
      <c r="S30" s="92"/>
      <c r="T30" s="92"/>
      <c r="U30" s="92"/>
      <c r="V30" s="92"/>
      <c r="W30" s="92"/>
      <c r="X30" s="92"/>
      <c r="Y30" s="92"/>
      <c r="Z30" s="92"/>
      <c r="AA30" s="92"/>
      <c r="AB30" s="92"/>
      <c r="AC30" s="92"/>
      <c r="AD30" s="92"/>
      <c r="AE30" s="89"/>
    </row>
    <row r="31" ht="15.75" customHeight="1">
      <c r="A31" s="91" t="s">
        <v>283</v>
      </c>
      <c r="B31" s="92" t="s">
        <v>197</v>
      </c>
      <c r="C31" s="93" t="s">
        <v>468</v>
      </c>
      <c r="D31" s="92"/>
      <c r="E31" s="92"/>
      <c r="F31" s="92"/>
      <c r="G31" s="92"/>
      <c r="H31" s="92" t="s">
        <v>472</v>
      </c>
      <c r="I31" s="92"/>
      <c r="J31" s="92"/>
      <c r="K31" s="92"/>
      <c r="L31" s="92"/>
      <c r="M31" s="92"/>
      <c r="N31" s="92"/>
      <c r="O31" s="92"/>
      <c r="P31" s="92"/>
      <c r="Q31" s="92"/>
      <c r="R31" s="92"/>
      <c r="S31" s="92"/>
      <c r="T31" s="92"/>
      <c r="U31" s="92"/>
      <c r="V31" s="92"/>
      <c r="W31" s="92"/>
      <c r="X31" s="92"/>
      <c r="Y31" s="92"/>
      <c r="Z31" s="92"/>
      <c r="AA31" s="92"/>
      <c r="AB31" s="92"/>
      <c r="AC31" s="92"/>
      <c r="AD31" s="92"/>
      <c r="AE31" s="89"/>
    </row>
    <row r="32" ht="15.75" customHeight="1">
      <c r="A32" s="91" t="s">
        <v>283</v>
      </c>
      <c r="B32" s="92" t="s">
        <v>197</v>
      </c>
      <c r="C32" s="164" t="s">
        <v>487</v>
      </c>
      <c r="D32" s="92"/>
      <c r="E32" s="92"/>
      <c r="F32" s="92"/>
      <c r="G32" s="92"/>
      <c r="H32" s="92" t="s">
        <v>488</v>
      </c>
      <c r="I32" s="92"/>
      <c r="J32" s="92"/>
      <c r="K32" s="92"/>
      <c r="L32" s="92"/>
      <c r="M32" s="92"/>
      <c r="N32" s="92"/>
      <c r="O32" s="92"/>
      <c r="P32" s="92"/>
      <c r="Q32" s="92"/>
      <c r="R32" s="92"/>
      <c r="S32" s="92"/>
      <c r="T32" s="92"/>
      <c r="U32" s="92"/>
      <c r="V32" s="92"/>
      <c r="W32" s="92"/>
      <c r="X32" s="92"/>
      <c r="Y32" s="92"/>
      <c r="Z32" s="92"/>
      <c r="AA32" s="92"/>
      <c r="AB32" s="92"/>
      <c r="AC32" s="92"/>
      <c r="AD32" s="92"/>
      <c r="AE32" s="89"/>
    </row>
    <row r="33" ht="15.75" customHeight="1">
      <c r="A33" s="91" t="s">
        <v>283</v>
      </c>
      <c r="B33" s="92" t="s">
        <v>197</v>
      </c>
      <c r="C33" s="93" t="s">
        <v>504</v>
      </c>
      <c r="D33" s="92"/>
      <c r="E33" s="92"/>
      <c r="F33" s="92"/>
      <c r="G33" s="92"/>
      <c r="H33" s="92" t="s">
        <v>506</v>
      </c>
      <c r="I33" s="92"/>
      <c r="J33" s="92"/>
      <c r="K33" s="92"/>
      <c r="L33" s="92"/>
      <c r="M33" s="92"/>
      <c r="N33" s="92"/>
      <c r="O33" s="92"/>
      <c r="P33" s="92"/>
      <c r="Q33" s="92"/>
      <c r="R33" s="92"/>
      <c r="S33" s="92"/>
      <c r="T33" s="92"/>
      <c r="U33" s="92"/>
      <c r="V33" s="92"/>
      <c r="W33" s="92"/>
      <c r="X33" s="92"/>
      <c r="Y33" s="92"/>
      <c r="Z33" s="92"/>
      <c r="AA33" s="92"/>
      <c r="AB33" s="92"/>
      <c r="AC33" s="92"/>
      <c r="AD33" s="92"/>
      <c r="AE33" s="89"/>
    </row>
    <row r="34" ht="15.75" customHeight="1">
      <c r="A34" s="91" t="s">
        <v>283</v>
      </c>
      <c r="B34" s="92" t="s">
        <v>197</v>
      </c>
      <c r="C34" s="93" t="s">
        <v>524</v>
      </c>
      <c r="D34" s="92"/>
      <c r="E34" s="92"/>
      <c r="F34" s="92"/>
      <c r="G34" s="92"/>
      <c r="H34" s="92" t="s">
        <v>526</v>
      </c>
      <c r="I34" s="92"/>
      <c r="J34" s="92"/>
      <c r="K34" s="92"/>
      <c r="L34" s="92"/>
      <c r="M34" s="92"/>
      <c r="N34" s="92"/>
      <c r="O34" s="92"/>
      <c r="P34" s="92"/>
      <c r="Q34" s="92"/>
      <c r="R34" s="92"/>
      <c r="S34" s="92"/>
      <c r="T34" s="92"/>
      <c r="U34" s="92"/>
      <c r="V34" s="92"/>
      <c r="W34" s="92"/>
      <c r="X34" s="92"/>
      <c r="Y34" s="92"/>
      <c r="Z34" s="92"/>
      <c r="AA34" s="92"/>
      <c r="AB34" s="92"/>
      <c r="AC34" s="92"/>
      <c r="AD34" s="92"/>
      <c r="AE34" s="89"/>
    </row>
    <row r="35" ht="15.75" customHeight="1">
      <c r="A35" s="91" t="s">
        <v>533</v>
      </c>
      <c r="B35" s="92" t="s">
        <v>197</v>
      </c>
      <c r="C35" s="93" t="s">
        <v>534</v>
      </c>
      <c r="D35" s="91"/>
      <c r="E35" s="92"/>
      <c r="F35" s="92"/>
      <c r="G35" s="92"/>
      <c r="H35" s="92"/>
      <c r="I35" s="92"/>
      <c r="J35" s="92"/>
      <c r="K35" s="92"/>
      <c r="L35" s="92"/>
      <c r="M35" s="92"/>
      <c r="N35" s="92"/>
      <c r="O35" s="92"/>
      <c r="P35" s="92"/>
      <c r="Q35" s="92"/>
      <c r="R35" s="92"/>
      <c r="S35" s="92"/>
      <c r="T35" s="92"/>
      <c r="U35" s="92"/>
      <c r="V35" s="92"/>
      <c r="W35" s="92"/>
      <c r="X35" s="92"/>
      <c r="Y35" s="92"/>
      <c r="Z35" s="92"/>
      <c r="AA35" s="92"/>
      <c r="AB35" s="92"/>
      <c r="AC35" s="92"/>
      <c r="AD35" s="92"/>
      <c r="AE35" s="89"/>
    </row>
    <row r="36" ht="15.75" customHeight="1">
      <c r="A36" s="91" t="s">
        <v>533</v>
      </c>
      <c r="B36" s="92" t="s">
        <v>197</v>
      </c>
      <c r="C36" s="93" t="s">
        <v>546</v>
      </c>
      <c r="D36" s="92"/>
      <c r="E36" s="92"/>
      <c r="F36" s="92"/>
      <c r="G36" s="92"/>
      <c r="H36" s="92" t="s">
        <v>359</v>
      </c>
      <c r="I36" s="92"/>
      <c r="J36" s="92"/>
      <c r="K36" s="92"/>
      <c r="L36" s="92"/>
      <c r="M36" s="92"/>
      <c r="N36" s="92"/>
      <c r="O36" s="92"/>
      <c r="P36" s="92"/>
      <c r="Q36" s="92"/>
      <c r="R36" s="92"/>
      <c r="S36" s="92"/>
      <c r="T36" s="92"/>
      <c r="U36" s="92"/>
      <c r="V36" s="92"/>
      <c r="W36" s="92"/>
      <c r="X36" s="92"/>
      <c r="Y36" s="92"/>
      <c r="Z36" s="92"/>
      <c r="AA36" s="92"/>
      <c r="AB36" s="92"/>
      <c r="AC36" s="92"/>
      <c r="AD36" s="92"/>
      <c r="AE36" s="89"/>
    </row>
    <row r="37" ht="15.75" customHeight="1">
      <c r="A37" s="91" t="s">
        <v>533</v>
      </c>
      <c r="B37" s="92" t="s">
        <v>197</v>
      </c>
      <c r="C37" s="93" t="s">
        <v>564</v>
      </c>
      <c r="D37" s="92"/>
      <c r="E37" s="92"/>
      <c r="F37" s="92"/>
      <c r="G37" s="92"/>
      <c r="H37" s="92" t="s">
        <v>383</v>
      </c>
      <c r="I37" s="92"/>
      <c r="J37" s="92"/>
      <c r="K37" s="92"/>
      <c r="L37" s="92"/>
      <c r="M37" s="92"/>
      <c r="N37" s="92"/>
      <c r="O37" s="92"/>
      <c r="P37" s="92"/>
      <c r="Q37" s="92"/>
      <c r="R37" s="92"/>
      <c r="S37" s="92"/>
      <c r="T37" s="92"/>
      <c r="U37" s="92"/>
      <c r="V37" s="92"/>
      <c r="W37" s="92"/>
      <c r="X37" s="92"/>
      <c r="Y37" s="92"/>
      <c r="Z37" s="92"/>
      <c r="AA37" s="92"/>
      <c r="AB37" s="92"/>
      <c r="AC37" s="92"/>
      <c r="AD37" s="92"/>
      <c r="AE37" s="89"/>
    </row>
    <row r="38" ht="15.75" customHeight="1">
      <c r="A38" s="91" t="s">
        <v>533</v>
      </c>
      <c r="B38" s="92" t="s">
        <v>197</v>
      </c>
      <c r="C38" s="93" t="s">
        <v>585</v>
      </c>
      <c r="D38" s="92"/>
      <c r="E38" s="92"/>
      <c r="F38" s="92"/>
      <c r="G38" s="92"/>
      <c r="H38" s="92" t="s">
        <v>417</v>
      </c>
      <c r="I38" s="92"/>
      <c r="J38" s="92"/>
      <c r="K38" s="92"/>
      <c r="L38" s="92"/>
      <c r="M38" s="92"/>
      <c r="N38" s="92"/>
      <c r="O38" s="92"/>
      <c r="P38" s="92"/>
      <c r="Q38" s="92"/>
      <c r="R38" s="92"/>
      <c r="S38" s="92"/>
      <c r="T38" s="92"/>
      <c r="U38" s="92"/>
      <c r="V38" s="92"/>
      <c r="W38" s="92"/>
      <c r="X38" s="92"/>
      <c r="Y38" s="92"/>
      <c r="Z38" s="92"/>
      <c r="AA38" s="92"/>
      <c r="AB38" s="92"/>
      <c r="AC38" s="92"/>
      <c r="AD38" s="92"/>
      <c r="AE38" s="89"/>
    </row>
    <row r="39" ht="15.75" customHeight="1">
      <c r="A39" s="91" t="s">
        <v>533</v>
      </c>
      <c r="B39" s="92" t="s">
        <v>197</v>
      </c>
      <c r="C39" s="93" t="s">
        <v>605</v>
      </c>
      <c r="D39" s="92"/>
      <c r="E39" s="92"/>
      <c r="F39" s="92"/>
      <c r="G39" s="92"/>
      <c r="H39" s="92" t="s">
        <v>453</v>
      </c>
      <c r="I39" s="92"/>
      <c r="J39" s="92"/>
      <c r="K39" s="92"/>
      <c r="L39" s="92"/>
      <c r="M39" s="92"/>
      <c r="N39" s="92"/>
      <c r="O39" s="92"/>
      <c r="P39" s="92"/>
      <c r="Q39" s="92"/>
      <c r="R39" s="92"/>
      <c r="S39" s="92"/>
      <c r="T39" s="92"/>
      <c r="U39" s="92"/>
      <c r="V39" s="92"/>
      <c r="W39" s="92"/>
      <c r="X39" s="92"/>
      <c r="Y39" s="92"/>
      <c r="Z39" s="92"/>
      <c r="AA39" s="92"/>
      <c r="AB39" s="92"/>
      <c r="AC39" s="92"/>
      <c r="AD39" s="92"/>
      <c r="AE39" s="89"/>
    </row>
    <row r="40" ht="15.75" customHeight="1">
      <c r="A40" s="91" t="s">
        <v>533</v>
      </c>
      <c r="B40" s="92" t="s">
        <v>197</v>
      </c>
      <c r="C40" s="93" t="s">
        <v>629</v>
      </c>
      <c r="D40" s="92"/>
      <c r="E40" s="92"/>
      <c r="F40" s="92"/>
      <c r="G40" s="92"/>
      <c r="H40" s="92" t="s">
        <v>472</v>
      </c>
      <c r="I40" s="92"/>
      <c r="J40" s="92"/>
      <c r="K40" s="92"/>
      <c r="L40" s="92"/>
      <c r="M40" s="92"/>
      <c r="N40" s="92"/>
      <c r="O40" s="92"/>
      <c r="P40" s="92"/>
      <c r="Q40" s="92"/>
      <c r="R40" s="92"/>
      <c r="S40" s="92"/>
      <c r="T40" s="92"/>
      <c r="U40" s="92"/>
      <c r="V40" s="92"/>
      <c r="W40" s="92"/>
      <c r="X40" s="92"/>
      <c r="Y40" s="92"/>
      <c r="Z40" s="92"/>
      <c r="AA40" s="92"/>
      <c r="AB40" s="92"/>
      <c r="AC40" s="92"/>
      <c r="AD40" s="92"/>
      <c r="AE40" s="89"/>
    </row>
    <row r="41" ht="15.75" customHeight="1">
      <c r="A41" s="91" t="s">
        <v>533</v>
      </c>
      <c r="B41" s="92" t="s">
        <v>197</v>
      </c>
      <c r="C41" s="164" t="s">
        <v>645</v>
      </c>
      <c r="D41" s="92"/>
      <c r="E41" s="92"/>
      <c r="F41" s="92"/>
      <c r="G41" s="92"/>
      <c r="H41" s="92" t="s">
        <v>488</v>
      </c>
      <c r="I41" s="92"/>
      <c r="J41" s="92"/>
      <c r="K41" s="92"/>
      <c r="L41" s="92"/>
      <c r="M41" s="92"/>
      <c r="N41" s="92"/>
      <c r="O41" s="92"/>
      <c r="P41" s="92"/>
      <c r="Q41" s="92"/>
      <c r="R41" s="92"/>
      <c r="S41" s="92"/>
      <c r="T41" s="92"/>
      <c r="U41" s="92"/>
      <c r="V41" s="92"/>
      <c r="W41" s="92"/>
      <c r="X41" s="92"/>
      <c r="Y41" s="92"/>
      <c r="Z41" s="92"/>
      <c r="AA41" s="92"/>
      <c r="AB41" s="92"/>
      <c r="AC41" s="92"/>
      <c r="AD41" s="92"/>
      <c r="AE41" s="89"/>
    </row>
    <row r="42" ht="15.75" customHeight="1">
      <c r="A42" s="91" t="s">
        <v>533</v>
      </c>
      <c r="B42" s="92" t="s">
        <v>197</v>
      </c>
      <c r="C42" s="93" t="s">
        <v>653</v>
      </c>
      <c r="D42" s="92"/>
      <c r="E42" s="92"/>
      <c r="F42" s="92"/>
      <c r="G42" s="92"/>
      <c r="H42" s="92" t="s">
        <v>506</v>
      </c>
      <c r="I42" s="92"/>
      <c r="J42" s="92"/>
      <c r="K42" s="92"/>
      <c r="L42" s="92"/>
      <c r="M42" s="92"/>
      <c r="N42" s="92"/>
      <c r="O42" s="92"/>
      <c r="P42" s="92"/>
      <c r="Q42" s="92"/>
      <c r="R42" s="92"/>
      <c r="S42" s="92"/>
      <c r="T42" s="92"/>
      <c r="U42" s="92"/>
      <c r="V42" s="92"/>
      <c r="W42" s="92"/>
      <c r="X42" s="92"/>
      <c r="Y42" s="92"/>
      <c r="Z42" s="92"/>
      <c r="AA42" s="92"/>
      <c r="AB42" s="92"/>
      <c r="AC42" s="92"/>
      <c r="AD42" s="92"/>
      <c r="AE42" s="89"/>
    </row>
    <row r="43" ht="15.75" customHeight="1">
      <c r="A43" s="91" t="s">
        <v>533</v>
      </c>
      <c r="B43" s="92" t="s">
        <v>197</v>
      </c>
      <c r="C43" s="93" t="s">
        <v>663</v>
      </c>
      <c r="D43" s="92"/>
      <c r="E43" s="92"/>
      <c r="F43" s="92"/>
      <c r="G43" s="92"/>
      <c r="H43" s="92" t="s">
        <v>526</v>
      </c>
      <c r="I43" s="92"/>
      <c r="J43" s="92"/>
      <c r="K43" s="92"/>
      <c r="L43" s="92"/>
      <c r="M43" s="92"/>
      <c r="N43" s="92"/>
      <c r="O43" s="92"/>
      <c r="P43" s="92"/>
      <c r="Q43" s="92"/>
      <c r="R43" s="92"/>
      <c r="S43" s="92"/>
      <c r="T43" s="92"/>
      <c r="U43" s="92"/>
      <c r="V43" s="92"/>
      <c r="W43" s="92"/>
      <c r="X43" s="92"/>
      <c r="Y43" s="92"/>
      <c r="Z43" s="92"/>
      <c r="AA43" s="92"/>
      <c r="AB43" s="92"/>
      <c r="AC43" s="92"/>
      <c r="AD43" s="92"/>
      <c r="AE43" s="89"/>
    </row>
    <row r="44" ht="15.75" customHeight="1">
      <c r="A44" s="91" t="s">
        <v>672</v>
      </c>
      <c r="B44" s="92" t="s">
        <v>197</v>
      </c>
      <c r="C44" s="93" t="s">
        <v>679</v>
      </c>
      <c r="D44" s="91"/>
      <c r="E44" s="92"/>
      <c r="F44" s="92"/>
      <c r="G44" s="92"/>
      <c r="H44" s="92"/>
      <c r="I44" s="92"/>
      <c r="J44" s="92"/>
      <c r="K44" s="92"/>
      <c r="L44" s="92"/>
      <c r="M44" s="92"/>
      <c r="N44" s="92"/>
      <c r="O44" s="92"/>
      <c r="P44" s="92"/>
      <c r="Q44" s="92"/>
      <c r="R44" s="92"/>
      <c r="S44" s="92"/>
      <c r="T44" s="92"/>
      <c r="U44" s="92"/>
      <c r="V44" s="92"/>
      <c r="W44" s="92"/>
      <c r="X44" s="92"/>
      <c r="Y44" s="92"/>
      <c r="Z44" s="92"/>
      <c r="AA44" s="92"/>
      <c r="AB44" s="92"/>
      <c r="AC44" s="92"/>
      <c r="AD44" s="92"/>
      <c r="AE44" s="89"/>
    </row>
    <row r="45" ht="15.75" customHeight="1">
      <c r="A45" s="91" t="s">
        <v>691</v>
      </c>
      <c r="B45" s="92" t="s">
        <v>197</v>
      </c>
      <c r="C45" s="93" t="s">
        <v>692</v>
      </c>
      <c r="D45" s="200"/>
      <c r="E45" s="92"/>
      <c r="F45" s="92"/>
      <c r="G45" s="92"/>
      <c r="H45" s="92"/>
      <c r="I45" s="92"/>
      <c r="J45" s="92"/>
      <c r="K45" s="92"/>
      <c r="L45" s="92"/>
      <c r="M45" s="92"/>
      <c r="N45" s="92"/>
      <c r="O45" s="92"/>
      <c r="P45" s="92"/>
      <c r="Q45" s="92"/>
      <c r="R45" s="92"/>
      <c r="S45" s="92"/>
      <c r="T45" s="92"/>
      <c r="U45" s="92"/>
      <c r="V45" s="92"/>
      <c r="W45" s="92"/>
      <c r="X45" s="92"/>
      <c r="Y45" s="92"/>
      <c r="Z45" s="92"/>
      <c r="AA45" s="92"/>
      <c r="AB45" s="92"/>
      <c r="AC45" s="92"/>
      <c r="AD45" s="92"/>
      <c r="AE45" s="89"/>
    </row>
    <row r="46" ht="15.75" customHeight="1">
      <c r="A46" s="91" t="s">
        <v>711</v>
      </c>
      <c r="B46" s="92" t="s">
        <v>197</v>
      </c>
      <c r="C46" s="93" t="s">
        <v>716</v>
      </c>
      <c r="D46" s="91"/>
      <c r="E46" s="92"/>
      <c r="F46" s="92"/>
      <c r="G46" s="92"/>
      <c r="H46" s="92"/>
      <c r="I46" s="92"/>
      <c r="J46" s="92"/>
      <c r="K46" s="92"/>
      <c r="L46" s="92"/>
      <c r="M46" s="92"/>
      <c r="N46" s="92"/>
      <c r="O46" s="92"/>
      <c r="P46" s="92"/>
      <c r="Q46" s="92"/>
      <c r="R46" s="92"/>
      <c r="S46" s="92"/>
      <c r="T46" s="92"/>
      <c r="U46" s="92"/>
      <c r="V46" s="92"/>
      <c r="W46" s="92"/>
      <c r="X46" s="92"/>
      <c r="Y46" s="92"/>
      <c r="Z46" s="92"/>
      <c r="AA46" s="92"/>
      <c r="AB46" s="92"/>
      <c r="AC46" s="92"/>
      <c r="AD46" s="92"/>
      <c r="AE46" s="89"/>
    </row>
    <row r="47" ht="15.75" customHeight="1">
      <c r="A47" s="91" t="s">
        <v>735</v>
      </c>
      <c r="B47" s="92" t="s">
        <v>197</v>
      </c>
      <c r="C47" s="93" t="s">
        <v>740</v>
      </c>
      <c r="D47" s="91"/>
      <c r="E47" s="92"/>
      <c r="F47" s="92"/>
      <c r="G47" s="92"/>
      <c r="H47" s="92"/>
      <c r="I47" s="92"/>
      <c r="J47" s="92"/>
      <c r="K47" s="92"/>
      <c r="L47" s="92"/>
      <c r="M47" s="92"/>
      <c r="N47" s="92"/>
      <c r="O47" s="92"/>
      <c r="P47" s="92"/>
      <c r="Q47" s="92"/>
      <c r="R47" s="92"/>
      <c r="S47" s="92"/>
      <c r="T47" s="92"/>
      <c r="U47" s="92"/>
      <c r="V47" s="92"/>
      <c r="W47" s="92"/>
      <c r="X47" s="92"/>
      <c r="Y47" s="92"/>
      <c r="Z47" s="92"/>
      <c r="AA47" s="92"/>
      <c r="AB47" s="92"/>
      <c r="AC47" s="92"/>
      <c r="AD47" s="92"/>
      <c r="AE47" s="89"/>
    </row>
    <row r="48" ht="15.75" customHeight="1">
      <c r="A48" s="91" t="s">
        <v>751</v>
      </c>
      <c r="B48" s="92" t="s">
        <v>197</v>
      </c>
      <c r="C48" s="93" t="s">
        <v>752</v>
      </c>
      <c r="D48" s="91"/>
      <c r="E48" s="92"/>
      <c r="F48" s="92"/>
      <c r="G48" s="92"/>
      <c r="H48" s="92"/>
      <c r="I48" s="92"/>
      <c r="J48" s="92"/>
      <c r="K48" s="92"/>
      <c r="L48" s="92"/>
      <c r="M48" s="92"/>
      <c r="N48" s="92"/>
      <c r="O48" s="92"/>
      <c r="P48" s="92"/>
      <c r="Q48" s="92"/>
      <c r="R48" s="92"/>
      <c r="S48" s="92"/>
      <c r="T48" s="92"/>
      <c r="U48" s="92"/>
      <c r="V48" s="92"/>
      <c r="W48" s="92"/>
      <c r="X48" s="92"/>
      <c r="Y48" s="92"/>
      <c r="Z48" s="92"/>
      <c r="AA48" s="92"/>
      <c r="AB48" s="92"/>
      <c r="AC48" s="92"/>
      <c r="AD48" s="92"/>
      <c r="AE48" s="89"/>
    </row>
    <row r="49" ht="15.75" customHeight="1">
      <c r="A49" s="91" t="s">
        <v>751</v>
      </c>
      <c r="B49" s="92" t="s">
        <v>197</v>
      </c>
      <c r="C49" s="93" t="s">
        <v>757</v>
      </c>
      <c r="D49" s="92"/>
      <c r="E49" s="92"/>
      <c r="F49" s="92"/>
      <c r="G49" s="92"/>
      <c r="H49" s="92" t="s">
        <v>759</v>
      </c>
      <c r="I49" s="92"/>
      <c r="J49" s="92"/>
      <c r="K49" s="92"/>
      <c r="L49" s="92"/>
      <c r="M49" s="92"/>
      <c r="N49" s="92"/>
      <c r="O49" s="92"/>
      <c r="P49" s="92"/>
      <c r="Q49" s="92"/>
      <c r="R49" s="92"/>
      <c r="S49" s="92"/>
      <c r="T49" s="92"/>
      <c r="U49" s="92"/>
      <c r="V49" s="92"/>
      <c r="W49" s="92"/>
      <c r="X49" s="92"/>
      <c r="Y49" s="92"/>
      <c r="Z49" s="92"/>
      <c r="AA49" s="92"/>
      <c r="AB49" s="92"/>
      <c r="AC49" s="92"/>
      <c r="AD49" s="92"/>
      <c r="AE49" s="89"/>
    </row>
    <row r="50" ht="15.75" customHeight="1">
      <c r="A50" s="91" t="s">
        <v>766</v>
      </c>
      <c r="B50" s="92" t="s">
        <v>197</v>
      </c>
      <c r="C50" s="93" t="s">
        <v>767</v>
      </c>
      <c r="D50" s="91"/>
      <c r="E50" s="92"/>
      <c r="F50" s="92"/>
      <c r="G50" s="92"/>
      <c r="H50" s="92"/>
      <c r="I50" s="92"/>
      <c r="J50" s="92"/>
      <c r="K50" s="92"/>
      <c r="L50" s="92"/>
      <c r="M50" s="92"/>
      <c r="N50" s="92"/>
      <c r="O50" s="92"/>
      <c r="P50" s="92"/>
      <c r="Q50" s="92"/>
      <c r="R50" s="92"/>
      <c r="S50" s="92"/>
      <c r="T50" s="92"/>
      <c r="U50" s="92"/>
      <c r="V50" s="92"/>
      <c r="W50" s="92"/>
      <c r="X50" s="92"/>
      <c r="Y50" s="92"/>
      <c r="Z50" s="92"/>
      <c r="AA50" s="92"/>
      <c r="AB50" s="92"/>
      <c r="AC50" s="92"/>
      <c r="AD50" s="92"/>
      <c r="AE50" s="89"/>
    </row>
    <row r="51" ht="15.75" customHeight="1">
      <c r="A51" s="91" t="s">
        <v>766</v>
      </c>
      <c r="B51" s="92" t="s">
        <v>197</v>
      </c>
      <c r="C51" s="93" t="s">
        <v>771</v>
      </c>
      <c r="D51" s="92"/>
      <c r="E51" s="92"/>
      <c r="F51" s="92"/>
      <c r="G51" s="92"/>
      <c r="H51" s="92" t="s">
        <v>759</v>
      </c>
      <c r="I51" s="92"/>
      <c r="J51" s="92"/>
      <c r="K51" s="92"/>
      <c r="L51" s="92"/>
      <c r="M51" s="92"/>
      <c r="N51" s="92"/>
      <c r="O51" s="92"/>
      <c r="P51" s="92"/>
      <c r="Q51" s="92"/>
      <c r="R51" s="92"/>
      <c r="S51" s="92"/>
      <c r="T51" s="92"/>
      <c r="U51" s="92"/>
      <c r="V51" s="92"/>
      <c r="W51" s="92"/>
      <c r="X51" s="92"/>
      <c r="Y51" s="92"/>
      <c r="Z51" s="92"/>
      <c r="AA51" s="92"/>
      <c r="AB51" s="92"/>
      <c r="AC51" s="92"/>
      <c r="AD51" s="92"/>
      <c r="AE51" s="89"/>
    </row>
    <row r="52" ht="15.75" customHeight="1">
      <c r="A52" s="91" t="s">
        <v>778</v>
      </c>
      <c r="B52" s="92" t="s">
        <v>197</v>
      </c>
      <c r="C52" s="93" t="s">
        <v>779</v>
      </c>
      <c r="D52" s="92"/>
      <c r="E52" s="92"/>
      <c r="F52" s="92"/>
      <c r="G52" s="92"/>
      <c r="H52" s="92"/>
      <c r="I52" s="92"/>
      <c r="J52" s="92"/>
      <c r="K52" s="92"/>
      <c r="L52" s="92"/>
      <c r="M52" s="92"/>
      <c r="N52" s="92"/>
      <c r="O52" s="92"/>
      <c r="P52" s="92"/>
      <c r="Q52" s="92"/>
      <c r="R52" s="92"/>
      <c r="S52" s="92"/>
      <c r="T52" s="92"/>
      <c r="U52" s="92"/>
      <c r="V52" s="92"/>
      <c r="W52" s="92"/>
      <c r="X52" s="92"/>
      <c r="Y52" s="92"/>
      <c r="Z52" s="92"/>
      <c r="AA52" s="92"/>
      <c r="AB52" s="92"/>
      <c r="AC52" s="92"/>
      <c r="AD52" s="92"/>
      <c r="AE52" s="89"/>
    </row>
    <row r="53" ht="15.75" customHeight="1">
      <c r="A53" s="91" t="s">
        <v>14</v>
      </c>
      <c r="B53" s="92" t="s">
        <v>197</v>
      </c>
      <c r="C53" s="93" t="s">
        <v>789</v>
      </c>
      <c r="D53" s="92"/>
      <c r="E53" s="92"/>
      <c r="F53" s="92"/>
      <c r="G53" s="92"/>
      <c r="H53" s="92"/>
      <c r="I53" s="92"/>
      <c r="J53" s="92"/>
      <c r="K53" s="92"/>
      <c r="L53" s="92"/>
      <c r="M53" s="92"/>
      <c r="N53" s="92"/>
      <c r="O53" s="92"/>
      <c r="P53" s="92"/>
      <c r="Q53" s="92"/>
      <c r="R53" s="92"/>
      <c r="S53" s="92"/>
      <c r="T53" s="92"/>
      <c r="U53" s="92"/>
      <c r="V53" s="92"/>
      <c r="W53" s="92"/>
      <c r="X53" s="92"/>
      <c r="Y53" s="92"/>
      <c r="Z53" s="92"/>
      <c r="AA53" s="92"/>
      <c r="AB53" s="92"/>
      <c r="AC53" s="92"/>
      <c r="AD53" s="92"/>
      <c r="AE53" s="89"/>
    </row>
    <row r="54" ht="15.75" customHeight="1">
      <c r="A54" s="91" t="s">
        <v>14</v>
      </c>
      <c r="B54" s="92" t="s">
        <v>197</v>
      </c>
      <c r="C54" s="93" t="s">
        <v>796</v>
      </c>
      <c r="D54" s="92"/>
      <c r="E54" s="92"/>
      <c r="F54" s="92"/>
      <c r="G54" s="92"/>
      <c r="H54" s="92" t="s">
        <v>800</v>
      </c>
      <c r="I54" s="92"/>
      <c r="J54" s="92"/>
      <c r="K54" s="92"/>
      <c r="L54" s="92"/>
      <c r="M54" s="92"/>
      <c r="N54" s="92"/>
      <c r="O54" s="92"/>
      <c r="P54" s="92"/>
      <c r="Q54" s="92"/>
      <c r="R54" s="92"/>
      <c r="S54" s="92"/>
      <c r="T54" s="92"/>
      <c r="U54" s="92"/>
      <c r="V54" s="92"/>
      <c r="W54" s="92"/>
      <c r="X54" s="92"/>
      <c r="Y54" s="92"/>
      <c r="Z54" s="92"/>
      <c r="AA54" s="92"/>
      <c r="AB54" s="92"/>
      <c r="AC54" s="92"/>
      <c r="AD54" s="92"/>
      <c r="AE54" s="89"/>
    </row>
    <row r="55" ht="15.75" customHeight="1">
      <c r="A55" s="91" t="s">
        <v>14</v>
      </c>
      <c r="B55" s="92" t="s">
        <v>197</v>
      </c>
      <c r="C55" s="93" t="s">
        <v>807</v>
      </c>
      <c r="D55" s="92"/>
      <c r="E55" s="92"/>
      <c r="F55" s="92"/>
      <c r="G55" s="92"/>
      <c r="H55" s="92" t="s">
        <v>808</v>
      </c>
      <c r="I55" s="92"/>
      <c r="J55" s="92"/>
      <c r="K55" s="92"/>
      <c r="L55" s="92"/>
      <c r="M55" s="92"/>
      <c r="N55" s="92"/>
      <c r="O55" s="92"/>
      <c r="P55" s="92"/>
      <c r="Q55" s="92"/>
      <c r="R55" s="92"/>
      <c r="S55" s="92"/>
      <c r="T55" s="92"/>
      <c r="U55" s="92"/>
      <c r="V55" s="92"/>
      <c r="W55" s="92"/>
      <c r="X55" s="92"/>
      <c r="Y55" s="92"/>
      <c r="Z55" s="92"/>
      <c r="AA55" s="92"/>
      <c r="AB55" s="92"/>
      <c r="AC55" s="92"/>
      <c r="AD55" s="92"/>
      <c r="AE55" s="89"/>
    </row>
    <row r="56" ht="15.75" customHeight="1">
      <c r="A56" s="91" t="s">
        <v>14</v>
      </c>
      <c r="B56" s="92" t="s">
        <v>197</v>
      </c>
      <c r="C56" s="93" t="s">
        <v>814</v>
      </c>
      <c r="D56" s="92"/>
      <c r="E56" s="92"/>
      <c r="F56" s="92"/>
      <c r="G56" s="92"/>
      <c r="H56" s="92" t="s">
        <v>817</v>
      </c>
      <c r="I56" s="92"/>
      <c r="J56" s="92"/>
      <c r="K56" s="92"/>
      <c r="L56" s="92"/>
      <c r="M56" s="92"/>
      <c r="N56" s="92"/>
      <c r="O56" s="92"/>
      <c r="P56" s="92"/>
      <c r="Q56" s="92"/>
      <c r="R56" s="92"/>
      <c r="S56" s="92"/>
      <c r="T56" s="92"/>
      <c r="U56" s="92"/>
      <c r="V56" s="92"/>
      <c r="W56" s="92"/>
      <c r="X56" s="92"/>
      <c r="Y56" s="92"/>
      <c r="Z56" s="92"/>
      <c r="AA56" s="92"/>
      <c r="AB56" s="92"/>
      <c r="AC56" s="92"/>
      <c r="AD56" s="92"/>
      <c r="AE56" s="89"/>
    </row>
    <row r="57" ht="15.75" customHeight="1">
      <c r="A57" s="91" t="s">
        <v>820</v>
      </c>
      <c r="B57" s="92" t="s">
        <v>197</v>
      </c>
      <c r="C57" s="93" t="s">
        <v>821</v>
      </c>
      <c r="D57" s="92"/>
      <c r="E57" s="92"/>
      <c r="F57" s="92"/>
      <c r="G57" s="92"/>
      <c r="H57" s="92"/>
      <c r="I57" s="92"/>
      <c r="J57" s="92"/>
      <c r="K57" s="92"/>
      <c r="L57" s="92"/>
      <c r="M57" s="92"/>
      <c r="N57" s="92"/>
      <c r="O57" s="92"/>
      <c r="P57" s="92"/>
      <c r="Q57" s="92"/>
      <c r="R57" s="92"/>
      <c r="S57" s="92"/>
      <c r="T57" s="92"/>
      <c r="U57" s="92"/>
      <c r="V57" s="92"/>
      <c r="W57" s="92"/>
      <c r="X57" s="92"/>
      <c r="Y57" s="92"/>
      <c r="Z57" s="92"/>
      <c r="AA57" s="92"/>
      <c r="AB57" s="92"/>
      <c r="AC57" s="92"/>
      <c r="AD57" s="92"/>
      <c r="AE57" s="89"/>
    </row>
    <row r="58" ht="15.75" customHeight="1">
      <c r="A58" s="91" t="s">
        <v>828</v>
      </c>
      <c r="B58" s="92" t="s">
        <v>197</v>
      </c>
      <c r="C58" s="93" t="s">
        <v>832</v>
      </c>
      <c r="D58" s="92"/>
      <c r="E58" s="92"/>
      <c r="F58" s="92"/>
      <c r="G58" s="92"/>
      <c r="H58" s="92"/>
      <c r="I58" s="92"/>
      <c r="J58" s="92"/>
      <c r="K58" s="92"/>
      <c r="L58" s="92"/>
      <c r="M58" s="92"/>
      <c r="N58" s="92"/>
      <c r="O58" s="92"/>
      <c r="P58" s="92"/>
      <c r="Q58" s="92"/>
      <c r="R58" s="92"/>
      <c r="S58" s="92"/>
      <c r="T58" s="92"/>
      <c r="U58" s="92"/>
      <c r="V58" s="92"/>
      <c r="W58" s="92"/>
      <c r="X58" s="92"/>
      <c r="Y58" s="92"/>
      <c r="Z58" s="92"/>
      <c r="AA58" s="92"/>
      <c r="AB58" s="92"/>
      <c r="AC58" s="92"/>
      <c r="AD58" s="92"/>
      <c r="AE58" s="89"/>
    </row>
    <row r="59" ht="15.75" customHeight="1">
      <c r="A59" s="91" t="s">
        <v>839</v>
      </c>
      <c r="B59" s="92" t="s">
        <v>197</v>
      </c>
      <c r="C59" s="93" t="s">
        <v>840</v>
      </c>
      <c r="D59" s="92"/>
      <c r="E59" s="92"/>
      <c r="F59" s="92"/>
      <c r="G59" s="92"/>
      <c r="H59" s="92"/>
      <c r="I59" s="92"/>
      <c r="J59" s="92"/>
      <c r="K59" s="92"/>
      <c r="L59" s="92"/>
      <c r="M59" s="92"/>
      <c r="N59" s="92"/>
      <c r="O59" s="92"/>
      <c r="P59" s="92"/>
      <c r="Q59" s="92"/>
      <c r="R59" s="92"/>
      <c r="S59" s="92"/>
      <c r="T59" s="92"/>
      <c r="U59" s="92"/>
      <c r="V59" s="92"/>
      <c r="W59" s="92"/>
      <c r="X59" s="92"/>
      <c r="Y59" s="92"/>
      <c r="Z59" s="92"/>
      <c r="AA59" s="92"/>
      <c r="AB59" s="92"/>
      <c r="AC59" s="92"/>
      <c r="AD59" s="92"/>
      <c r="AE59" s="89"/>
    </row>
    <row r="60" ht="15.75" customHeight="1">
      <c r="A60" s="91" t="s">
        <v>41</v>
      </c>
      <c r="B60" s="92" t="s">
        <v>197</v>
      </c>
      <c r="C60" s="93" t="s">
        <v>850</v>
      </c>
      <c r="D60" s="92"/>
      <c r="E60" s="92"/>
      <c r="F60" s="92"/>
      <c r="G60" s="92"/>
      <c r="H60" s="92"/>
      <c r="I60" s="92"/>
      <c r="J60" s="92"/>
      <c r="K60" s="92"/>
      <c r="L60" s="92"/>
      <c r="M60" s="92"/>
      <c r="N60" s="92"/>
      <c r="O60" s="92"/>
      <c r="P60" s="92"/>
      <c r="Q60" s="92"/>
      <c r="R60" s="92"/>
      <c r="S60" s="92"/>
      <c r="T60" s="92"/>
      <c r="U60" s="92"/>
      <c r="V60" s="92"/>
      <c r="W60" s="92"/>
      <c r="X60" s="92"/>
      <c r="Y60" s="92"/>
      <c r="Z60" s="92"/>
      <c r="AA60" s="92"/>
      <c r="AB60" s="92"/>
      <c r="AC60" s="92"/>
      <c r="AD60" s="92"/>
      <c r="AE60" s="89"/>
    </row>
    <row r="61" ht="15.75" customHeight="1">
      <c r="A61" s="91" t="s">
        <v>49</v>
      </c>
      <c r="B61" s="92" t="s">
        <v>197</v>
      </c>
      <c r="C61" s="93"/>
      <c r="D61" s="92"/>
      <c r="E61" s="92"/>
      <c r="F61" s="92"/>
      <c r="G61" s="92"/>
      <c r="H61" s="92"/>
      <c r="I61" s="92"/>
      <c r="J61" s="92"/>
      <c r="K61" s="92"/>
      <c r="L61" s="92"/>
      <c r="M61" s="92"/>
      <c r="N61" s="92"/>
      <c r="O61" s="92"/>
      <c r="P61" s="92"/>
      <c r="Q61" s="92"/>
      <c r="R61" s="92"/>
      <c r="S61" s="92"/>
      <c r="T61" s="92"/>
      <c r="U61" s="92"/>
      <c r="V61" s="92"/>
      <c r="W61" s="92"/>
      <c r="X61" s="92"/>
      <c r="Y61" s="92"/>
      <c r="Z61" s="92"/>
      <c r="AA61" s="92"/>
      <c r="AB61" s="92"/>
      <c r="AC61" s="92"/>
      <c r="AD61" s="92"/>
      <c r="AE61" s="89"/>
    </row>
    <row r="62" ht="15.75" customHeight="1">
      <c r="A62" s="91" t="s">
        <v>56</v>
      </c>
      <c r="B62" s="92" t="s">
        <v>197</v>
      </c>
      <c r="C62" s="93"/>
      <c r="D62" s="92"/>
      <c r="E62" s="92"/>
      <c r="F62" s="92"/>
      <c r="G62" s="92"/>
      <c r="H62" s="92"/>
      <c r="I62" s="92"/>
      <c r="J62" s="92"/>
      <c r="K62" s="92"/>
      <c r="L62" s="92"/>
      <c r="M62" s="92"/>
      <c r="N62" s="92"/>
      <c r="O62" s="92"/>
      <c r="P62" s="92"/>
      <c r="Q62" s="92"/>
      <c r="R62" s="92"/>
      <c r="S62" s="92"/>
      <c r="T62" s="92"/>
      <c r="U62" s="92"/>
      <c r="V62" s="92"/>
      <c r="W62" s="92"/>
      <c r="X62" s="92"/>
      <c r="Y62" s="92"/>
      <c r="Z62" s="92"/>
      <c r="AA62" s="92"/>
      <c r="AB62" s="92"/>
      <c r="AC62" s="92"/>
      <c r="AD62" s="92"/>
      <c r="AE62" s="89"/>
    </row>
    <row r="63" ht="15.75" customHeight="1">
      <c r="A63" s="91" t="s">
        <v>60</v>
      </c>
      <c r="B63" s="92" t="s">
        <v>197</v>
      </c>
      <c r="C63" s="93"/>
      <c r="D63" s="92"/>
      <c r="E63" s="92"/>
      <c r="F63" s="92"/>
      <c r="G63" s="92"/>
      <c r="H63" s="92"/>
      <c r="I63" s="92"/>
      <c r="J63" s="92"/>
      <c r="K63" s="92"/>
      <c r="L63" s="92"/>
      <c r="M63" s="92"/>
      <c r="N63" s="92"/>
      <c r="O63" s="92"/>
      <c r="P63" s="92"/>
      <c r="Q63" s="92"/>
      <c r="R63" s="92"/>
      <c r="S63" s="92"/>
      <c r="T63" s="92"/>
      <c r="U63" s="92"/>
      <c r="V63" s="92"/>
      <c r="W63" s="92"/>
      <c r="X63" s="92"/>
      <c r="Y63" s="92"/>
      <c r="Z63" s="92"/>
      <c r="AA63" s="92"/>
      <c r="AB63" s="92"/>
      <c r="AC63" s="92"/>
      <c r="AD63" s="92"/>
      <c r="AE63" s="89"/>
    </row>
    <row r="64" ht="15.75" customHeight="1">
      <c r="A64" s="91" t="s">
        <v>897</v>
      </c>
      <c r="B64" s="92" t="s">
        <v>197</v>
      </c>
      <c r="C64" s="93"/>
      <c r="D64" s="92"/>
      <c r="E64" s="92"/>
      <c r="F64" s="92"/>
      <c r="G64" s="92"/>
      <c r="H64" s="92"/>
      <c r="I64" s="92"/>
      <c r="J64" s="92"/>
      <c r="K64" s="92"/>
      <c r="L64" s="92"/>
      <c r="M64" s="92"/>
      <c r="N64" s="92"/>
      <c r="O64" s="92"/>
      <c r="P64" s="92"/>
      <c r="Q64" s="92"/>
      <c r="R64" s="92"/>
      <c r="S64" s="92"/>
      <c r="T64" s="92"/>
      <c r="U64" s="92"/>
      <c r="V64" s="92"/>
      <c r="W64" s="92"/>
      <c r="X64" s="92"/>
      <c r="Y64" s="92"/>
      <c r="Z64" s="92"/>
      <c r="AA64" s="92"/>
      <c r="AB64" s="92"/>
      <c r="AC64" s="92"/>
      <c r="AD64" s="92"/>
      <c r="AE64" s="89"/>
    </row>
    <row r="65" ht="15.75" customHeight="1">
      <c r="A65" s="91" t="s">
        <v>899</v>
      </c>
      <c r="B65" s="92" t="s">
        <v>197</v>
      </c>
      <c r="C65" s="93"/>
      <c r="D65" s="92"/>
      <c r="E65" s="92"/>
      <c r="F65" s="92"/>
      <c r="G65" s="92"/>
      <c r="H65" s="92"/>
      <c r="I65" s="92"/>
      <c r="J65" s="92"/>
      <c r="K65" s="92"/>
      <c r="L65" s="92"/>
      <c r="M65" s="92"/>
      <c r="N65" s="92"/>
      <c r="O65" s="92"/>
      <c r="P65" s="92"/>
      <c r="Q65" s="92"/>
      <c r="R65" s="92"/>
      <c r="S65" s="92"/>
      <c r="T65" s="92"/>
      <c r="U65" s="92"/>
      <c r="V65" s="92"/>
      <c r="W65" s="92"/>
      <c r="X65" s="92"/>
      <c r="Y65" s="92"/>
      <c r="Z65" s="92"/>
      <c r="AA65" s="92"/>
      <c r="AB65" s="92"/>
      <c r="AC65" s="92"/>
      <c r="AD65" s="92"/>
      <c r="AE65" s="89"/>
    </row>
    <row r="66" ht="15.75" customHeight="1">
      <c r="A66" s="222" t="s">
        <v>252</v>
      </c>
      <c r="B66" s="92" t="s">
        <v>197</v>
      </c>
      <c r="C66" s="93"/>
      <c r="D66" s="92"/>
      <c r="E66" s="92"/>
      <c r="F66" s="92"/>
      <c r="G66" s="92"/>
      <c r="H66" s="92"/>
      <c r="I66" s="92"/>
      <c r="J66" s="92"/>
      <c r="K66" s="92"/>
      <c r="L66" s="92"/>
      <c r="M66" s="92"/>
      <c r="N66" s="92"/>
      <c r="O66" s="92"/>
      <c r="P66" s="92"/>
      <c r="Q66" s="92"/>
      <c r="R66" s="92"/>
      <c r="S66" s="92"/>
      <c r="T66" s="92"/>
      <c r="U66" s="92"/>
      <c r="V66" s="92"/>
      <c r="W66" s="92"/>
      <c r="X66" s="92"/>
      <c r="Y66" s="92"/>
      <c r="Z66" s="92"/>
      <c r="AA66" s="92"/>
      <c r="AB66" s="92"/>
      <c r="AC66" s="92"/>
      <c r="AD66" s="92"/>
      <c r="AE66" s="89"/>
    </row>
    <row r="67" ht="15.75" customHeight="1">
      <c r="A67" s="91" t="s">
        <v>61</v>
      </c>
      <c r="B67" s="92" t="s">
        <v>197</v>
      </c>
      <c r="C67" s="93"/>
      <c r="D67" s="92"/>
      <c r="E67" s="92"/>
      <c r="F67" s="92"/>
      <c r="G67" s="92"/>
      <c r="H67" s="92"/>
      <c r="I67" s="92"/>
      <c r="J67" s="92"/>
      <c r="K67" s="92"/>
      <c r="L67" s="92"/>
      <c r="M67" s="92"/>
      <c r="N67" s="92"/>
      <c r="O67" s="92"/>
      <c r="P67" s="92"/>
      <c r="Q67" s="92"/>
      <c r="R67" s="92"/>
      <c r="S67" s="92"/>
      <c r="T67" s="92"/>
      <c r="U67" s="92"/>
      <c r="V67" s="92"/>
      <c r="W67" s="92"/>
      <c r="X67" s="92"/>
      <c r="Y67" s="92"/>
      <c r="Z67" s="92"/>
      <c r="AA67" s="92"/>
      <c r="AB67" s="92"/>
      <c r="AC67" s="92"/>
      <c r="AD67" s="92"/>
      <c r="AE67" s="89"/>
    </row>
    <row r="68" ht="15.75" customHeight="1">
      <c r="A68" s="91" t="s">
        <v>917</v>
      </c>
      <c r="B68" s="92" t="s">
        <v>197</v>
      </c>
      <c r="C68" s="93"/>
      <c r="D68" s="92"/>
      <c r="E68" s="92"/>
      <c r="F68" s="92"/>
      <c r="G68" s="92"/>
      <c r="H68" s="92"/>
      <c r="I68" s="92"/>
      <c r="J68" s="92"/>
      <c r="K68" s="92"/>
      <c r="L68" s="92"/>
      <c r="M68" s="92"/>
      <c r="N68" s="92"/>
      <c r="O68" s="92"/>
      <c r="P68" s="92"/>
      <c r="Q68" s="92"/>
      <c r="R68" s="92"/>
      <c r="S68" s="92"/>
      <c r="T68" s="92"/>
      <c r="U68" s="92"/>
      <c r="V68" s="92"/>
      <c r="W68" s="92"/>
      <c r="X68" s="92"/>
      <c r="Y68" s="92"/>
      <c r="Z68" s="92"/>
      <c r="AA68" s="92"/>
      <c r="AB68" s="92"/>
      <c r="AC68" s="92"/>
      <c r="AD68" s="92"/>
      <c r="AE68" s="89"/>
    </row>
    <row r="69" ht="15.75" customHeight="1">
      <c r="A69" s="91" t="s">
        <v>68</v>
      </c>
      <c r="B69" s="92" t="s">
        <v>197</v>
      </c>
      <c r="C69" s="93"/>
      <c r="D69" s="92"/>
      <c r="E69" s="92"/>
      <c r="F69" s="92"/>
      <c r="G69" s="92"/>
      <c r="H69" s="92"/>
      <c r="I69" s="92"/>
      <c r="J69" s="92"/>
      <c r="K69" s="92"/>
      <c r="L69" s="92"/>
      <c r="M69" s="92"/>
      <c r="N69" s="92"/>
      <c r="O69" s="92"/>
      <c r="P69" s="92"/>
      <c r="Q69" s="92"/>
      <c r="R69" s="92" t="s">
        <v>938</v>
      </c>
      <c r="S69" s="92"/>
      <c r="T69" s="92"/>
      <c r="U69" s="92"/>
      <c r="V69" s="92"/>
      <c r="W69" s="92"/>
      <c r="X69" s="92"/>
      <c r="Y69" s="92"/>
      <c r="Z69" s="92"/>
      <c r="AA69" s="92"/>
      <c r="AB69" s="92"/>
      <c r="AC69" s="92"/>
      <c r="AD69" s="92"/>
      <c r="AE69" s="89"/>
    </row>
    <row r="70" ht="15.75" customHeight="1">
      <c r="A70" s="91" t="s">
        <v>118</v>
      </c>
      <c r="B70" s="92" t="s">
        <v>197</v>
      </c>
      <c r="C70" s="93"/>
      <c r="D70" s="92"/>
      <c r="E70" s="92"/>
      <c r="F70" s="92"/>
      <c r="G70" s="92"/>
      <c r="H70" s="92"/>
      <c r="I70" s="92"/>
      <c r="J70" s="92"/>
      <c r="K70" s="92"/>
      <c r="L70" s="92"/>
      <c r="M70" s="92"/>
      <c r="N70" s="92"/>
      <c r="O70" s="92"/>
      <c r="P70" s="92"/>
      <c r="Q70" s="92"/>
      <c r="R70" s="92" t="s">
        <v>944</v>
      </c>
      <c r="S70" s="92"/>
      <c r="T70" s="92"/>
      <c r="U70" s="92"/>
      <c r="V70" s="92"/>
      <c r="W70" s="92"/>
      <c r="X70" s="92"/>
      <c r="Y70" s="92"/>
      <c r="Z70" s="92"/>
      <c r="AA70" s="92"/>
      <c r="AB70" s="92"/>
      <c r="AC70" s="92"/>
      <c r="AD70" s="92"/>
      <c r="AE70" s="89"/>
    </row>
    <row r="71" ht="15.75" customHeight="1">
      <c r="A71" s="91" t="s">
        <v>83</v>
      </c>
      <c r="B71" s="92" t="s">
        <v>197</v>
      </c>
      <c r="C71" s="93"/>
      <c r="D71" s="92"/>
      <c r="E71" s="92"/>
      <c r="F71" s="92"/>
      <c r="G71" s="92"/>
      <c r="H71" s="92" t="s">
        <v>953</v>
      </c>
      <c r="I71" s="92"/>
      <c r="J71" s="92"/>
      <c r="K71" s="92"/>
      <c r="L71" s="92"/>
      <c r="M71" s="92"/>
      <c r="N71" s="92"/>
      <c r="O71" s="92"/>
      <c r="P71" s="92"/>
      <c r="Q71" s="92"/>
      <c r="R71" s="92"/>
      <c r="S71" s="92"/>
      <c r="T71" s="92"/>
      <c r="U71" s="92"/>
      <c r="V71" s="92"/>
      <c r="W71" s="92"/>
      <c r="X71" s="92"/>
      <c r="Y71" s="92"/>
      <c r="Z71" s="92"/>
      <c r="AA71" s="92"/>
      <c r="AB71" s="92"/>
      <c r="AC71" s="92"/>
      <c r="AD71" s="92"/>
      <c r="AE71" s="89"/>
    </row>
    <row r="72" ht="15.75" customHeight="1">
      <c r="A72" s="92" t="s">
        <v>83</v>
      </c>
      <c r="B72" s="92" t="s">
        <v>197</v>
      </c>
      <c r="C72" s="93"/>
      <c r="D72" s="92"/>
      <c r="E72" s="92"/>
      <c r="F72" s="92"/>
      <c r="G72" s="92"/>
      <c r="H72" s="92" t="s">
        <v>967</v>
      </c>
      <c r="I72" s="92"/>
      <c r="J72" s="92"/>
      <c r="K72" s="92"/>
      <c r="L72" s="92"/>
      <c r="M72" s="92"/>
      <c r="N72" s="92"/>
      <c r="O72" s="92"/>
      <c r="P72" s="92"/>
      <c r="Q72" s="92"/>
      <c r="R72" s="92"/>
      <c r="S72" s="92"/>
      <c r="T72" s="92"/>
      <c r="U72" s="92"/>
      <c r="V72" s="92"/>
      <c r="W72" s="92"/>
      <c r="X72" s="92"/>
      <c r="Y72" s="92"/>
      <c r="Z72" s="92"/>
      <c r="AA72" s="92"/>
      <c r="AB72" s="92"/>
      <c r="AC72" s="92"/>
      <c r="AD72" s="92"/>
      <c r="AE72" s="89"/>
    </row>
    <row r="73" ht="15.75" customHeight="1">
      <c r="A73" s="91" t="s">
        <v>977</v>
      </c>
      <c r="B73" s="92" t="s">
        <v>197</v>
      </c>
      <c r="C73" s="93"/>
      <c r="D73" s="92"/>
      <c r="E73" s="92"/>
      <c r="F73" s="92"/>
      <c r="G73" s="92"/>
      <c r="H73" s="92" t="s">
        <v>983</v>
      </c>
      <c r="I73" s="92"/>
      <c r="J73" s="92"/>
      <c r="K73" s="92"/>
      <c r="L73" s="92"/>
      <c r="M73" s="92"/>
      <c r="N73" s="92"/>
      <c r="O73" s="92"/>
      <c r="P73" s="92"/>
      <c r="Q73" s="92"/>
      <c r="R73" s="92"/>
      <c r="S73" s="92"/>
      <c r="T73" s="92"/>
      <c r="U73" s="92"/>
      <c r="V73" s="92"/>
      <c r="W73" s="92"/>
      <c r="X73" s="92"/>
      <c r="Y73" s="92"/>
      <c r="Z73" s="92"/>
      <c r="AA73" s="92"/>
      <c r="AB73" s="92"/>
      <c r="AC73" s="92"/>
      <c r="AD73" s="92"/>
      <c r="AE73" s="89"/>
    </row>
    <row r="74" ht="15.75" customHeight="1">
      <c r="A74" s="91" t="s">
        <v>977</v>
      </c>
      <c r="B74" s="92" t="s">
        <v>197</v>
      </c>
      <c r="C74" s="93"/>
      <c r="D74" s="92"/>
      <c r="E74" s="92"/>
      <c r="F74" s="92"/>
      <c r="G74" s="92"/>
      <c r="H74" s="92" t="s">
        <v>993</v>
      </c>
      <c r="I74" s="92"/>
      <c r="J74" s="92"/>
      <c r="K74" s="92"/>
      <c r="L74" s="92"/>
      <c r="M74" s="92"/>
      <c r="N74" s="92"/>
      <c r="O74" s="92"/>
      <c r="P74" s="92"/>
      <c r="Q74" s="92"/>
      <c r="R74" s="92"/>
      <c r="S74" s="92"/>
      <c r="T74" s="92"/>
      <c r="U74" s="92"/>
      <c r="V74" s="92"/>
      <c r="W74" s="92"/>
      <c r="X74" s="92"/>
      <c r="Y74" s="92"/>
      <c r="Z74" s="92"/>
      <c r="AA74" s="92"/>
      <c r="AB74" s="92"/>
      <c r="AC74" s="92"/>
      <c r="AD74" s="92"/>
      <c r="AE74" s="89"/>
    </row>
    <row r="75" ht="15.75" customHeight="1">
      <c r="A75" s="91" t="s">
        <v>977</v>
      </c>
      <c r="B75" s="92" t="s">
        <v>197</v>
      </c>
      <c r="C75" s="93"/>
      <c r="D75" s="92"/>
      <c r="E75" s="92"/>
      <c r="F75" s="92"/>
      <c r="G75" s="92"/>
      <c r="H75" s="92" t="s">
        <v>1003</v>
      </c>
      <c r="I75" s="92"/>
      <c r="J75" s="92"/>
      <c r="K75" s="92"/>
      <c r="L75" s="92"/>
      <c r="M75" s="92"/>
      <c r="N75" s="92"/>
      <c r="O75" s="92"/>
      <c r="P75" s="92"/>
      <c r="Q75" s="92"/>
      <c r="R75" s="92"/>
      <c r="S75" s="92"/>
      <c r="T75" s="92"/>
      <c r="U75" s="92"/>
      <c r="V75" s="92"/>
      <c r="W75" s="92"/>
      <c r="X75" s="92"/>
      <c r="Y75" s="92"/>
      <c r="Z75" s="92"/>
      <c r="AA75" s="92"/>
      <c r="AB75" s="92"/>
      <c r="AC75" s="92"/>
      <c r="AD75" s="92"/>
      <c r="AE75" s="89"/>
    </row>
    <row r="76" ht="15.75" customHeight="1">
      <c r="A76" s="91" t="s">
        <v>107</v>
      </c>
      <c r="B76" s="92" t="s">
        <v>1015</v>
      </c>
      <c r="C76" s="93" t="s">
        <v>1018</v>
      </c>
      <c r="D76" s="92"/>
      <c r="E76" s="92"/>
      <c r="F76" s="92"/>
      <c r="G76" s="92"/>
      <c r="H76" s="92"/>
      <c r="I76" s="92"/>
      <c r="J76" s="92"/>
      <c r="K76" s="92"/>
      <c r="L76" s="92"/>
      <c r="M76" s="92"/>
      <c r="N76" s="92"/>
      <c r="O76" s="92"/>
      <c r="P76" s="92"/>
      <c r="Q76" s="92"/>
      <c r="R76" s="92"/>
      <c r="S76" s="92"/>
      <c r="T76" s="92"/>
      <c r="U76" s="92"/>
      <c r="V76" s="92"/>
      <c r="W76" s="92"/>
      <c r="X76" s="92"/>
      <c r="Y76" s="92"/>
      <c r="Z76" s="92"/>
      <c r="AA76" s="92"/>
      <c r="AB76" s="92"/>
      <c r="AC76" s="92"/>
      <c r="AD76" s="92"/>
      <c r="AE76" s="89"/>
    </row>
    <row r="77" ht="15.75" customHeight="1">
      <c r="A77" s="92" t="s">
        <v>1026</v>
      </c>
      <c r="B77" s="92"/>
      <c r="C77" s="93"/>
      <c r="D77" s="92"/>
      <c r="E77" s="92"/>
      <c r="F77" s="92"/>
      <c r="G77" s="92"/>
      <c r="H77" s="92"/>
      <c r="I77" s="92"/>
      <c r="J77" s="92"/>
      <c r="K77" s="92"/>
      <c r="L77" s="92"/>
      <c r="M77" s="92"/>
      <c r="N77" s="92"/>
      <c r="O77" s="92"/>
      <c r="P77" s="92"/>
      <c r="Q77" s="92"/>
      <c r="R77" s="92"/>
      <c r="S77" s="92"/>
      <c r="T77" s="92"/>
      <c r="U77" s="92"/>
      <c r="V77" s="92"/>
      <c r="W77" s="92"/>
      <c r="X77" s="92"/>
      <c r="Y77" s="92"/>
      <c r="Z77" s="92"/>
      <c r="AA77" s="92"/>
      <c r="AB77" s="92"/>
      <c r="AC77" s="92"/>
      <c r="AD77" s="92"/>
      <c r="AE77" s="89"/>
    </row>
    <row r="78" ht="15.75" customHeight="1">
      <c r="A78" s="92" t="s">
        <v>238</v>
      </c>
      <c r="B78" s="92" t="s">
        <v>1015</v>
      </c>
      <c r="C78" s="93"/>
      <c r="D78" s="92"/>
      <c r="E78" s="92"/>
      <c r="F78" s="92"/>
      <c r="G78" s="92"/>
      <c r="H78" s="92"/>
      <c r="I78" s="92"/>
      <c r="J78" s="92"/>
      <c r="K78" s="92"/>
      <c r="L78" s="92"/>
      <c r="M78" s="92"/>
      <c r="N78" s="92"/>
      <c r="O78" s="92"/>
      <c r="P78" s="92"/>
      <c r="Q78" s="92"/>
      <c r="R78" s="92"/>
      <c r="S78" s="92"/>
      <c r="T78" s="92"/>
      <c r="U78" s="92"/>
      <c r="V78" s="92"/>
      <c r="W78" s="92"/>
      <c r="X78" s="92"/>
      <c r="Y78" s="92"/>
      <c r="Z78" s="92"/>
      <c r="AA78" s="92"/>
      <c r="AB78" s="92"/>
      <c r="AC78" s="92"/>
      <c r="AD78" s="92"/>
      <c r="AE78" s="89"/>
    </row>
    <row r="79" ht="15.75" customHeight="1">
      <c r="A79" s="91" t="s">
        <v>1042</v>
      </c>
      <c r="B79" s="92" t="s">
        <v>1043</v>
      </c>
      <c r="C79" s="93" t="s">
        <v>1045</v>
      </c>
      <c r="D79" s="92"/>
      <c r="E79" s="92"/>
      <c r="F79" s="92"/>
      <c r="G79" s="92"/>
      <c r="H79" s="92"/>
      <c r="I79" s="92"/>
      <c r="J79" s="92"/>
      <c r="K79" s="92"/>
      <c r="L79" s="92"/>
      <c r="M79" s="92"/>
      <c r="N79" s="92"/>
      <c r="O79" s="92"/>
      <c r="P79" s="92"/>
      <c r="Q79" s="92"/>
      <c r="R79" s="92"/>
      <c r="S79" s="92"/>
      <c r="T79" s="92"/>
      <c r="U79" s="92"/>
      <c r="V79" s="92"/>
      <c r="W79" s="92"/>
      <c r="X79" s="92"/>
      <c r="Y79" s="92"/>
      <c r="Z79" s="92"/>
      <c r="AA79" s="92"/>
      <c r="AB79" s="92"/>
      <c r="AC79" s="92"/>
      <c r="AD79" s="92"/>
      <c r="AE79" s="89"/>
    </row>
    <row r="80" ht="15.75" customHeight="1">
      <c r="A80" s="92" t="s">
        <v>1026</v>
      </c>
      <c r="B80" s="92"/>
      <c r="C80" s="93"/>
      <c r="D80" s="92"/>
      <c r="E80" s="92"/>
      <c r="F80" s="92"/>
      <c r="G80" s="92"/>
      <c r="H80" s="92"/>
      <c r="I80" s="92"/>
      <c r="J80" s="92"/>
      <c r="K80" s="92"/>
      <c r="L80" s="92"/>
      <c r="M80" s="92"/>
      <c r="N80" s="92"/>
      <c r="O80" s="92"/>
      <c r="P80" s="92"/>
      <c r="Q80" s="92"/>
      <c r="R80" s="92"/>
      <c r="S80" s="92"/>
      <c r="T80" s="92"/>
      <c r="U80" s="92"/>
      <c r="V80" s="92"/>
      <c r="W80" s="92"/>
      <c r="X80" s="92"/>
      <c r="Y80" s="92"/>
      <c r="Z80" s="92"/>
      <c r="AA80" s="92"/>
      <c r="AB80" s="92"/>
      <c r="AC80" s="92"/>
      <c r="AD80" s="92"/>
      <c r="AE80" s="89"/>
    </row>
    <row r="81" ht="15.75" customHeight="1">
      <c r="A81" s="92" t="s">
        <v>1064</v>
      </c>
      <c r="B81" s="92" t="s">
        <v>1043</v>
      </c>
      <c r="C81" s="93"/>
      <c r="D81" s="92"/>
      <c r="E81" s="92"/>
      <c r="F81" s="92"/>
      <c r="G81" s="92"/>
      <c r="H81" s="92"/>
      <c r="I81" s="92"/>
      <c r="J81" s="92"/>
      <c r="K81" s="92"/>
      <c r="L81" s="92"/>
      <c r="M81" s="92"/>
      <c r="N81" s="92"/>
      <c r="O81" s="92"/>
      <c r="P81" s="92"/>
      <c r="Q81" s="92"/>
      <c r="R81" s="92"/>
      <c r="S81" s="92"/>
      <c r="T81" s="92"/>
      <c r="U81" s="92"/>
      <c r="V81" s="92"/>
      <c r="W81" s="92"/>
      <c r="X81" s="92"/>
      <c r="Y81" s="92"/>
      <c r="Z81" s="92"/>
      <c r="AA81" s="92"/>
      <c r="AB81" s="92"/>
      <c r="AC81" s="92"/>
      <c r="AD81" s="92"/>
      <c r="AE81" s="89"/>
    </row>
    <row r="82" ht="15.75" customHeight="1">
      <c r="A82" s="91" t="s">
        <v>1042</v>
      </c>
      <c r="B82" s="92" t="s">
        <v>1043</v>
      </c>
      <c r="C82" s="93" t="s">
        <v>1074</v>
      </c>
      <c r="D82" s="92"/>
      <c r="E82" s="92"/>
      <c r="F82" s="92"/>
      <c r="G82" s="92"/>
      <c r="H82" s="92"/>
      <c r="I82" s="92"/>
      <c r="J82" s="92"/>
      <c r="K82" s="92"/>
      <c r="L82" s="92"/>
      <c r="M82" s="92"/>
      <c r="N82" s="92"/>
      <c r="O82" s="92"/>
      <c r="P82" s="92"/>
      <c r="Q82" s="92"/>
      <c r="R82" s="92"/>
      <c r="S82" s="226">
        <v>3.0</v>
      </c>
      <c r="T82" s="92"/>
      <c r="U82" s="92"/>
      <c r="V82" s="92"/>
      <c r="W82" s="92"/>
      <c r="X82" s="92"/>
      <c r="Y82" s="92"/>
      <c r="Z82" s="92"/>
      <c r="AA82" s="92"/>
      <c r="AB82" s="92"/>
      <c r="AC82" s="92"/>
      <c r="AD82" s="92"/>
      <c r="AE82" s="89"/>
    </row>
    <row r="83" ht="15.75" customHeight="1">
      <c r="A83" s="92" t="s">
        <v>1026</v>
      </c>
      <c r="B83" s="92"/>
      <c r="C83" s="93"/>
      <c r="D83" s="92"/>
      <c r="E83" s="92"/>
      <c r="F83" s="92"/>
      <c r="G83" s="92"/>
      <c r="H83" s="92"/>
      <c r="I83" s="92"/>
      <c r="J83" s="92"/>
      <c r="K83" s="92"/>
      <c r="L83" s="92"/>
      <c r="M83" s="92"/>
      <c r="N83" s="92"/>
      <c r="O83" s="92"/>
      <c r="P83" s="92"/>
      <c r="Q83" s="92"/>
      <c r="R83" s="92"/>
      <c r="S83" s="92"/>
      <c r="T83" s="92"/>
      <c r="U83" s="92"/>
      <c r="V83" s="92"/>
      <c r="W83" s="92"/>
      <c r="X83" s="92"/>
      <c r="Y83" s="92"/>
      <c r="Z83" s="92"/>
      <c r="AA83" s="92"/>
      <c r="AB83" s="92"/>
      <c r="AC83" s="92"/>
      <c r="AD83" s="92"/>
      <c r="AE83" s="89"/>
    </row>
    <row r="84" ht="15.75" customHeight="1">
      <c r="A84" s="92" t="s">
        <v>1064</v>
      </c>
      <c r="B84" s="92" t="s">
        <v>1043</v>
      </c>
      <c r="C84" s="93"/>
      <c r="D84" s="92"/>
      <c r="E84" s="92"/>
      <c r="F84" s="92"/>
      <c r="G84" s="92"/>
      <c r="H84" s="92"/>
      <c r="I84" s="92"/>
      <c r="J84" s="92"/>
      <c r="K84" s="92"/>
      <c r="L84" s="92"/>
      <c r="M84" s="92"/>
      <c r="N84" s="92"/>
      <c r="O84" s="92"/>
      <c r="P84" s="92"/>
      <c r="Q84" s="92"/>
      <c r="R84" s="92"/>
      <c r="S84" s="92"/>
      <c r="T84" s="92"/>
      <c r="U84" s="92"/>
      <c r="V84" s="92"/>
      <c r="W84" s="92"/>
      <c r="X84" s="92"/>
      <c r="Y84" s="92"/>
      <c r="Z84" s="92"/>
      <c r="AA84" s="92"/>
      <c r="AB84" s="92"/>
      <c r="AC84" s="92"/>
      <c r="AD84" s="92"/>
      <c r="AE84" s="89"/>
    </row>
    <row r="85" ht="15.75" customHeight="1">
      <c r="A85" s="91" t="s">
        <v>1102</v>
      </c>
      <c r="B85" s="92" t="s">
        <v>197</v>
      </c>
      <c r="C85" s="93"/>
      <c r="D85" s="92"/>
      <c r="E85" s="92"/>
      <c r="F85" s="92"/>
      <c r="G85" s="92"/>
      <c r="H85" s="92"/>
      <c r="I85" s="92"/>
      <c r="J85" s="92"/>
      <c r="K85" s="92"/>
      <c r="L85" s="92"/>
      <c r="M85" s="92"/>
      <c r="N85" s="92"/>
      <c r="O85" s="92"/>
      <c r="P85" s="92"/>
      <c r="Q85" s="92"/>
      <c r="R85" s="92"/>
      <c r="S85" s="92"/>
      <c r="T85" s="92"/>
      <c r="U85" s="92"/>
      <c r="V85" s="92"/>
      <c r="W85" s="92"/>
      <c r="X85" s="92"/>
      <c r="Y85" s="92"/>
      <c r="Z85" s="92"/>
      <c r="AA85" s="92"/>
      <c r="AB85" s="92"/>
      <c r="AC85" s="92"/>
      <c r="AD85" s="92"/>
      <c r="AE85" s="89"/>
    </row>
    <row r="86" ht="15.75" customHeight="1">
      <c r="A86" s="91" t="s">
        <v>1109</v>
      </c>
      <c r="B86" s="92" t="s">
        <v>197</v>
      </c>
      <c r="C86" s="93"/>
      <c r="D86" s="92"/>
      <c r="E86" s="92"/>
      <c r="F86" s="92"/>
      <c r="G86" s="92"/>
      <c r="H86" s="92"/>
      <c r="I86" s="92"/>
      <c r="J86" s="92"/>
      <c r="K86" s="92"/>
      <c r="L86" s="92"/>
      <c r="M86" s="92"/>
      <c r="N86" s="92"/>
      <c r="O86" s="92"/>
      <c r="P86" s="92"/>
      <c r="Q86" s="92"/>
      <c r="R86" s="92"/>
      <c r="S86" s="92"/>
      <c r="T86" s="92"/>
      <c r="U86" s="92"/>
      <c r="V86" s="92"/>
      <c r="W86" s="92"/>
      <c r="X86" s="92"/>
      <c r="Y86" s="92"/>
      <c r="Z86" s="92"/>
      <c r="AA86" s="92"/>
      <c r="AB86" s="92"/>
      <c r="AC86" s="92"/>
      <c r="AD86" s="92"/>
      <c r="AE86" s="89"/>
    </row>
    <row r="87" ht="15.75" customHeight="1">
      <c r="A87" s="91" t="s">
        <v>1122</v>
      </c>
      <c r="B87" s="92" t="s">
        <v>197</v>
      </c>
      <c r="C87" s="93"/>
      <c r="D87" s="92"/>
      <c r="E87" s="92"/>
      <c r="F87" s="92"/>
      <c r="G87" s="92"/>
      <c r="H87" s="92" t="s">
        <v>1124</v>
      </c>
      <c r="I87" s="92"/>
      <c r="J87" s="92"/>
      <c r="K87" s="92"/>
      <c r="L87" s="92"/>
      <c r="M87" s="92"/>
      <c r="N87" s="92"/>
      <c r="O87" s="92"/>
      <c r="P87" s="92"/>
      <c r="Q87" s="92"/>
      <c r="R87" s="92"/>
      <c r="S87" s="92"/>
      <c r="T87" s="92"/>
      <c r="U87" s="92"/>
      <c r="V87" s="92"/>
      <c r="W87" s="92"/>
      <c r="X87" s="92"/>
      <c r="Y87" s="92"/>
      <c r="Z87" s="92"/>
      <c r="AA87" s="92"/>
      <c r="AB87" s="92"/>
      <c r="AC87" s="92"/>
      <c r="AD87" s="92"/>
      <c r="AE87" s="89"/>
    </row>
    <row r="88" ht="15.75" customHeight="1">
      <c r="A88" s="91" t="s">
        <v>1136</v>
      </c>
      <c r="B88" s="92" t="s">
        <v>197</v>
      </c>
      <c r="C88" s="93"/>
      <c r="D88" s="92"/>
      <c r="E88" s="92"/>
      <c r="F88" s="92"/>
      <c r="G88" s="92"/>
      <c r="H88" s="92" t="s">
        <v>1143</v>
      </c>
      <c r="I88" s="92"/>
      <c r="J88" s="92"/>
      <c r="K88" s="92"/>
      <c r="L88" s="92"/>
      <c r="M88" s="92"/>
      <c r="N88" s="92"/>
      <c r="O88" s="92"/>
      <c r="P88" s="92"/>
      <c r="Q88" s="92"/>
      <c r="R88" s="92"/>
      <c r="S88" s="92"/>
      <c r="T88" s="92"/>
      <c r="U88" s="92"/>
      <c r="V88" s="92"/>
      <c r="W88" s="92"/>
      <c r="X88" s="92"/>
      <c r="Y88" s="92"/>
      <c r="Z88" s="92"/>
      <c r="AA88" s="92"/>
      <c r="AB88" s="92"/>
      <c r="AC88" s="92"/>
      <c r="AD88" s="92"/>
      <c r="AE88" s="89"/>
    </row>
    <row r="89" ht="15.75" customHeight="1">
      <c r="A89" s="91" t="s">
        <v>1150</v>
      </c>
      <c r="B89" s="92" t="s">
        <v>197</v>
      </c>
      <c r="C89" s="93"/>
      <c r="D89" s="92"/>
      <c r="E89" s="92"/>
      <c r="F89" s="92"/>
      <c r="G89" s="92"/>
      <c r="H89" s="92" t="s">
        <v>1154</v>
      </c>
      <c r="I89" s="92"/>
      <c r="J89" s="92"/>
      <c r="K89" s="92"/>
      <c r="L89" s="92"/>
      <c r="M89" s="92"/>
      <c r="N89" s="92"/>
      <c r="O89" s="92"/>
      <c r="P89" s="92"/>
      <c r="Q89" s="92"/>
      <c r="R89" s="92"/>
      <c r="S89" s="92"/>
      <c r="T89" s="92"/>
      <c r="U89" s="92"/>
      <c r="V89" s="92"/>
      <c r="W89" s="92"/>
      <c r="X89" s="92"/>
      <c r="Y89" s="92"/>
      <c r="Z89" s="92"/>
      <c r="AA89" s="92"/>
      <c r="AB89" s="92"/>
      <c r="AC89" s="92"/>
      <c r="AD89" s="92"/>
      <c r="AE89" s="89"/>
    </row>
    <row r="90" ht="15.75" customHeight="1">
      <c r="C90" s="7"/>
    </row>
    <row r="91" ht="15.75" customHeight="1">
      <c r="A91" s="230" t="s">
        <v>1162</v>
      </c>
      <c r="B91" s="232"/>
      <c r="C91" s="233"/>
      <c r="D91" s="234"/>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row>
    <row r="92" ht="15.75" customHeight="1">
      <c r="A92" s="235" t="s">
        <v>1172</v>
      </c>
      <c r="B92" s="236"/>
      <c r="C92" s="232"/>
      <c r="D92" s="234"/>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row>
    <row r="93" ht="15.75" customHeight="1">
      <c r="C93" s="7"/>
    </row>
    <row r="94" ht="15.75" customHeight="1">
      <c r="A94" s="237" t="s">
        <v>1182</v>
      </c>
      <c r="B94" s="237" t="s">
        <v>1183</v>
      </c>
      <c r="C94" s="237" t="s">
        <v>1184</v>
      </c>
      <c r="D94" s="237" t="s">
        <v>1185</v>
      </c>
    </row>
    <row r="95" ht="15.75" customHeight="1">
      <c r="A95" s="238" t="s">
        <v>1186</v>
      </c>
      <c r="B95" s="238" t="s">
        <v>1187</v>
      </c>
      <c r="C95" s="238" t="s">
        <v>1188</v>
      </c>
      <c r="D95" s="238">
        <v>2.0</v>
      </c>
    </row>
    <row r="96" ht="15.75" customHeight="1">
      <c r="A96" s="238" t="s">
        <v>1189</v>
      </c>
      <c r="B96" s="238" t="s">
        <v>1191</v>
      </c>
      <c r="C96" s="239" t="str">
        <f>"3 - 2"</f>
        <v>3 - 2</v>
      </c>
      <c r="D96" s="238">
        <v>1.0</v>
      </c>
    </row>
    <row r="97" ht="15.75" customHeight="1">
      <c r="A97" s="238" t="s">
        <v>1193</v>
      </c>
      <c r="B97" s="238" t="s">
        <v>1194</v>
      </c>
      <c r="C97" s="238" t="s">
        <v>1196</v>
      </c>
      <c r="D97" s="238">
        <v>6.0</v>
      </c>
    </row>
    <row r="98" ht="15.75" customHeight="1">
      <c r="A98" s="238" t="s">
        <v>1198</v>
      </c>
      <c r="B98" s="238" t="s">
        <v>1199</v>
      </c>
      <c r="C98" s="238" t="s">
        <v>1200</v>
      </c>
      <c r="D98" s="238">
        <v>5.0</v>
      </c>
    </row>
    <row r="99" ht="15.75" customHeight="1">
      <c r="A99" s="238" t="s">
        <v>1201</v>
      </c>
      <c r="B99" s="238" t="s">
        <v>1203</v>
      </c>
      <c r="C99" s="238" t="s">
        <v>1204</v>
      </c>
      <c r="D99" s="238">
        <v>1.0</v>
      </c>
    </row>
    <row r="100" ht="15.75" customHeight="1">
      <c r="A100" s="238" t="s">
        <v>1205</v>
      </c>
      <c r="B100" s="238" t="s">
        <v>1206</v>
      </c>
      <c r="C100" s="238" t="s">
        <v>1207</v>
      </c>
      <c r="D100" s="238" t="s">
        <v>1208</v>
      </c>
    </row>
    <row r="101" ht="15.75" customHeight="1">
      <c r="A101" s="238" t="s">
        <v>1209</v>
      </c>
      <c r="B101" s="238" t="s">
        <v>1211</v>
      </c>
      <c r="C101" s="238" t="s">
        <v>1213</v>
      </c>
      <c r="D101" s="238" t="s">
        <v>1208</v>
      </c>
    </row>
    <row r="102" ht="15.75" customHeight="1">
      <c r="A102" s="238" t="s">
        <v>1215</v>
      </c>
      <c r="B102" s="238" t="s">
        <v>1216</v>
      </c>
      <c r="C102" s="238" t="s">
        <v>1217</v>
      </c>
      <c r="D102" s="238" t="s">
        <v>1208</v>
      </c>
    </row>
    <row r="103" ht="15.75" customHeight="1">
      <c r="A103" s="238" t="s">
        <v>1221</v>
      </c>
      <c r="B103" s="238" t="s">
        <v>1222</v>
      </c>
      <c r="C103" s="238" t="s">
        <v>1223</v>
      </c>
      <c r="D103" s="238" t="s">
        <v>1208</v>
      </c>
    </row>
    <row r="104" ht="15.75" customHeight="1">
      <c r="A104" s="238" t="s">
        <v>1224</v>
      </c>
      <c r="B104" s="238" t="s">
        <v>1225</v>
      </c>
      <c r="C104" s="238" t="s">
        <v>1226</v>
      </c>
      <c r="D104" s="238" t="s">
        <v>1208</v>
      </c>
    </row>
    <row r="105" ht="15.75" customHeight="1">
      <c r="A105" s="238" t="s">
        <v>1228</v>
      </c>
      <c r="B105" s="238" t="s">
        <v>1230</v>
      </c>
      <c r="C105" s="238" t="s">
        <v>1231</v>
      </c>
      <c r="D105" s="238" t="s">
        <v>1208</v>
      </c>
    </row>
    <row r="106" ht="15.75" customHeight="1">
      <c r="A106" s="238" t="s">
        <v>1234</v>
      </c>
      <c r="B106" s="238" t="s">
        <v>1236</v>
      </c>
      <c r="C106" s="238" t="s">
        <v>1237</v>
      </c>
      <c r="D106" s="238" t="s">
        <v>1208</v>
      </c>
    </row>
    <row r="107" ht="15.75" customHeight="1">
      <c r="A107" s="238" t="s">
        <v>1238</v>
      </c>
      <c r="B107" s="238" t="s">
        <v>1239</v>
      </c>
      <c r="C107" s="238" t="s">
        <v>1240</v>
      </c>
      <c r="D107" s="238" t="s">
        <v>1208</v>
      </c>
    </row>
    <row r="108" ht="15.75" customHeight="1">
      <c r="A108" s="238" t="s">
        <v>1241</v>
      </c>
      <c r="B108" s="238" t="s">
        <v>1243</v>
      </c>
      <c r="C108" s="238" t="s">
        <v>1245</v>
      </c>
      <c r="D108" s="238" t="s">
        <v>1247</v>
      </c>
    </row>
    <row r="109" ht="15.75" customHeight="1">
      <c r="A109" s="240"/>
      <c r="B109" s="240"/>
      <c r="C109" s="241"/>
      <c r="D109" s="240"/>
    </row>
    <row r="110" ht="15.75" customHeight="1">
      <c r="A110" s="240"/>
      <c r="B110" s="237" t="s">
        <v>1251</v>
      </c>
      <c r="C110" s="237" t="s">
        <v>1184</v>
      </c>
      <c r="D110" s="240"/>
    </row>
    <row r="111" ht="15.75" customHeight="1">
      <c r="A111" s="240"/>
      <c r="B111" s="238" t="s">
        <v>1255</v>
      </c>
      <c r="C111" s="238" t="s">
        <v>1256</v>
      </c>
      <c r="D111" s="240"/>
    </row>
    <row r="112" ht="15.75" customHeight="1">
      <c r="A112" s="240"/>
      <c r="B112" s="238" t="s">
        <v>1260</v>
      </c>
      <c r="C112" s="242" t="s">
        <v>1261</v>
      </c>
      <c r="D112" s="240"/>
    </row>
    <row r="113" ht="15.75" customHeight="1">
      <c r="A113" s="240"/>
      <c r="B113" s="243" t="s">
        <v>1262</v>
      </c>
      <c r="C113" s="244" t="s">
        <v>1263</v>
      </c>
      <c r="D113" s="240"/>
    </row>
    <row r="114" ht="15.75" customHeight="1">
      <c r="A114" s="240"/>
      <c r="B114" s="244" t="s">
        <v>1263</v>
      </c>
      <c r="C114" s="244" t="s">
        <v>1263</v>
      </c>
      <c r="D114" s="240"/>
    </row>
    <row r="115" ht="15.75" customHeight="1">
      <c r="A115" s="240"/>
      <c r="B115" s="244" t="s">
        <v>1269</v>
      </c>
      <c r="C115" s="244" t="s">
        <v>1270</v>
      </c>
      <c r="D115" s="240"/>
    </row>
    <row r="116" ht="15.75" customHeight="1">
      <c r="A116" s="240"/>
      <c r="B116" s="244" t="s">
        <v>1271</v>
      </c>
      <c r="C116" s="244" t="s">
        <v>1272</v>
      </c>
      <c r="D116" s="240"/>
    </row>
    <row r="117" ht="15.75" customHeight="1">
      <c r="A117" s="240"/>
      <c r="B117" s="244" t="s">
        <v>1275</v>
      </c>
      <c r="C117" s="244" t="s">
        <v>1276</v>
      </c>
      <c r="D117" s="240"/>
    </row>
    <row r="118" ht="15.75" customHeight="1">
      <c r="A118" s="240"/>
      <c r="B118" s="244" t="s">
        <v>1277</v>
      </c>
      <c r="C118" s="244" t="s">
        <v>1278</v>
      </c>
      <c r="D118" s="240"/>
    </row>
    <row r="119" ht="15.75" customHeight="1">
      <c r="A119" s="240"/>
      <c r="B119" s="244" t="s">
        <v>1279</v>
      </c>
      <c r="C119" s="244" t="s">
        <v>1280</v>
      </c>
      <c r="D119" s="240"/>
    </row>
    <row r="120" ht="15.75" customHeight="1">
      <c r="A120" s="240"/>
      <c r="B120" s="244" t="s">
        <v>1284</v>
      </c>
      <c r="C120" s="244" t="s">
        <v>1286</v>
      </c>
      <c r="D120" s="240"/>
    </row>
    <row r="121" ht="15.75" customHeight="1">
      <c r="A121" s="240"/>
      <c r="B121" s="244" t="s">
        <v>1288</v>
      </c>
      <c r="C121" s="244" t="s">
        <v>1289</v>
      </c>
      <c r="D121" s="240"/>
    </row>
    <row r="122" ht="15.75" customHeight="1">
      <c r="A122" s="240"/>
      <c r="B122" s="244" t="s">
        <v>1290</v>
      </c>
      <c r="C122" s="244" t="s">
        <v>1290</v>
      </c>
      <c r="D122" s="240"/>
    </row>
    <row r="123" ht="15.75" customHeight="1">
      <c r="A123" s="240"/>
      <c r="B123" s="244" t="s">
        <v>1294</v>
      </c>
      <c r="C123" s="244" t="s">
        <v>1295</v>
      </c>
      <c r="D123" s="240"/>
    </row>
    <row r="124" ht="15.75" customHeight="1">
      <c r="A124" s="240"/>
      <c r="B124" s="244" t="s">
        <v>1298</v>
      </c>
      <c r="C124" s="244" t="s">
        <v>1300</v>
      </c>
      <c r="D124" s="240"/>
    </row>
    <row r="125" ht="15.75" customHeight="1">
      <c r="A125" s="240"/>
      <c r="B125" s="244" t="s">
        <v>1303</v>
      </c>
      <c r="C125" s="244" t="s">
        <v>1304</v>
      </c>
      <c r="D125" s="240"/>
    </row>
    <row r="126" ht="15.75" customHeight="1">
      <c r="A126" s="240"/>
      <c r="B126" s="244" t="s">
        <v>1305</v>
      </c>
      <c r="C126" s="244" t="s">
        <v>1306</v>
      </c>
      <c r="D126" s="240"/>
    </row>
    <row r="127" ht="15.75" customHeight="1">
      <c r="A127" s="240"/>
      <c r="B127" s="244" t="s">
        <v>1309</v>
      </c>
      <c r="C127" s="244" t="s">
        <v>1312</v>
      </c>
      <c r="D127" s="240"/>
    </row>
    <row r="128" ht="15.75" customHeight="1">
      <c r="A128" s="240"/>
      <c r="B128" s="244" t="s">
        <v>1315</v>
      </c>
      <c r="C128" s="244" t="s">
        <v>1316</v>
      </c>
      <c r="D128" s="240"/>
    </row>
    <row r="129" ht="15.75" customHeight="1">
      <c r="A129" s="240"/>
      <c r="B129" s="244" t="s">
        <v>1317</v>
      </c>
      <c r="C129" s="244" t="s">
        <v>1320</v>
      </c>
      <c r="D129" s="240"/>
    </row>
    <row r="130" ht="15.75" customHeight="1">
      <c r="A130" s="240"/>
      <c r="B130" s="244" t="s">
        <v>1322</v>
      </c>
      <c r="C130" s="244" t="s">
        <v>1323</v>
      </c>
      <c r="D130" s="240"/>
    </row>
    <row r="131" ht="15.75" customHeight="1">
      <c r="A131" s="240"/>
      <c r="B131" s="244" t="s">
        <v>1324</v>
      </c>
      <c r="C131" s="244" t="s">
        <v>1326</v>
      </c>
      <c r="D131" s="240"/>
    </row>
    <row r="132" ht="15.75" customHeight="1">
      <c r="A132" s="240"/>
      <c r="B132" s="244" t="s">
        <v>1332</v>
      </c>
      <c r="C132" s="244" t="s">
        <v>1333</v>
      </c>
      <c r="D132" s="240"/>
    </row>
    <row r="133" ht="15.75" customHeight="1">
      <c r="A133" s="240"/>
      <c r="B133" s="244" t="s">
        <v>1334</v>
      </c>
      <c r="C133" s="244" t="s">
        <v>1335</v>
      </c>
      <c r="D133" s="240"/>
    </row>
    <row r="134" ht="15.75" customHeight="1">
      <c r="A134" s="240"/>
      <c r="B134" s="245" t="s">
        <v>1339</v>
      </c>
      <c r="C134" s="245" t="s">
        <v>1340</v>
      </c>
      <c r="D134" s="240"/>
    </row>
    <row r="135" ht="15.75" customHeight="1">
      <c r="A135" s="240"/>
      <c r="B135" s="245" t="s">
        <v>1342</v>
      </c>
      <c r="C135" s="245" t="s">
        <v>944</v>
      </c>
      <c r="D135" s="240"/>
    </row>
    <row r="136" ht="15.75" customHeight="1">
      <c r="A136" s="240"/>
      <c r="B136" s="245" t="s">
        <v>1348</v>
      </c>
      <c r="C136" s="245" t="s">
        <v>1348</v>
      </c>
      <c r="D136" s="240"/>
    </row>
    <row r="137" ht="15.75" customHeight="1">
      <c r="A137" s="240"/>
      <c r="B137" s="245" t="s">
        <v>77</v>
      </c>
      <c r="C137" s="245" t="s">
        <v>77</v>
      </c>
      <c r="D137" s="240"/>
    </row>
    <row r="138" ht="15.75" customHeight="1">
      <c r="A138" s="240"/>
      <c r="B138" s="245" t="s">
        <v>1349</v>
      </c>
      <c r="C138" s="245" t="s">
        <v>1350</v>
      </c>
      <c r="D138" s="240"/>
    </row>
    <row r="139" ht="15.75" customHeight="1">
      <c r="A139" s="240"/>
      <c r="B139" s="245" t="s">
        <v>1351</v>
      </c>
      <c r="C139" s="245" t="s">
        <v>1352</v>
      </c>
      <c r="D139" s="240"/>
    </row>
    <row r="140" ht="15.75" customHeight="1">
      <c r="A140" s="240"/>
      <c r="B140" s="245" t="s">
        <v>1354</v>
      </c>
      <c r="C140" s="245" t="s">
        <v>1355</v>
      </c>
      <c r="D140" s="240"/>
    </row>
    <row r="141" ht="15.75" customHeight="1">
      <c r="A141" s="240"/>
      <c r="B141" s="245" t="s">
        <v>1356</v>
      </c>
      <c r="C141" s="245" t="s">
        <v>1357</v>
      </c>
      <c r="D141" s="240"/>
    </row>
    <row r="142" ht="15.75" customHeight="1">
      <c r="A142" s="240"/>
      <c r="B142" s="245" t="s">
        <v>1361</v>
      </c>
      <c r="C142" s="245" t="s">
        <v>1364</v>
      </c>
      <c r="D142" s="240"/>
    </row>
    <row r="143" ht="15.75" customHeight="1">
      <c r="A143" s="240"/>
      <c r="B143" s="245" t="s">
        <v>1365</v>
      </c>
      <c r="C143" s="245" t="s">
        <v>1365</v>
      </c>
      <c r="D143" s="240"/>
    </row>
    <row r="144" ht="15.75" customHeight="1">
      <c r="A144" s="250"/>
      <c r="B144" s="251" t="s">
        <v>1366</v>
      </c>
      <c r="C144" s="251" t="s">
        <v>1367</v>
      </c>
      <c r="D144" s="250"/>
    </row>
    <row r="145" ht="15.75" customHeight="1">
      <c r="A145" s="11"/>
      <c r="B145" s="252"/>
      <c r="C145" s="252"/>
      <c r="D145" s="11"/>
      <c r="E145" s="11"/>
    </row>
    <row r="146" ht="15.75" customHeight="1">
      <c r="A146" s="11"/>
      <c r="B146" s="252"/>
      <c r="C146" s="252"/>
      <c r="D146" s="11"/>
      <c r="E146" s="11"/>
    </row>
    <row r="147" ht="15.75" customHeight="1">
      <c r="A147" s="11"/>
      <c r="B147" s="252"/>
      <c r="C147" s="252"/>
      <c r="D147" s="11"/>
      <c r="E147" s="11"/>
    </row>
    <row r="148" ht="15.75" customHeight="1">
      <c r="A148" s="11"/>
      <c r="B148" s="252"/>
      <c r="C148" s="252"/>
      <c r="D148" s="11"/>
      <c r="E148" s="11"/>
    </row>
    <row r="149" ht="15.75" customHeight="1">
      <c r="A149" s="11"/>
      <c r="B149" s="252"/>
      <c r="C149" s="252"/>
      <c r="D149" s="11"/>
      <c r="E149" s="11"/>
    </row>
    <row r="150" ht="15.75" customHeight="1">
      <c r="A150" s="11"/>
      <c r="B150" s="252"/>
      <c r="C150" s="252"/>
      <c r="D150" s="11"/>
      <c r="E150" s="11"/>
    </row>
    <row r="151" ht="15.75" customHeight="1">
      <c r="A151" s="11"/>
      <c r="B151" s="252"/>
      <c r="C151" s="252"/>
      <c r="D151" s="11"/>
      <c r="E151" s="11"/>
    </row>
    <row r="152" ht="15.75" customHeight="1">
      <c r="A152" s="11"/>
      <c r="B152" s="252"/>
      <c r="C152" s="252"/>
      <c r="D152" s="11"/>
      <c r="E152" s="11"/>
    </row>
    <row r="153" ht="15.75" customHeight="1">
      <c r="A153" s="11"/>
      <c r="B153" s="252"/>
      <c r="C153" s="252"/>
      <c r="D153" s="11"/>
      <c r="E153" s="11"/>
    </row>
    <row r="154" ht="15.75" customHeight="1">
      <c r="A154" s="11"/>
      <c r="B154" s="252"/>
      <c r="C154" s="252"/>
      <c r="D154" s="11"/>
      <c r="E154" s="11"/>
    </row>
    <row r="155" ht="15.75" customHeight="1">
      <c r="A155" s="11"/>
      <c r="B155" s="252"/>
      <c r="C155" s="252"/>
      <c r="D155" s="11"/>
      <c r="E155" s="11"/>
    </row>
    <row r="156" ht="15.75" customHeight="1">
      <c r="A156" s="11"/>
      <c r="B156" s="11"/>
      <c r="C156" s="7"/>
      <c r="D156" s="11"/>
      <c r="E156" s="11"/>
    </row>
    <row r="157" ht="15.75" customHeight="1">
      <c r="A157" s="11"/>
      <c r="B157" s="11"/>
      <c r="C157" s="7"/>
      <c r="D157" s="11"/>
      <c r="E157" s="11"/>
    </row>
    <row r="158" ht="15.75" customHeight="1">
      <c r="A158" s="11"/>
      <c r="B158" s="11"/>
      <c r="C158" s="7"/>
      <c r="D158" s="11"/>
      <c r="E158" s="11"/>
    </row>
    <row r="159" ht="15.75" customHeight="1">
      <c r="A159" s="11"/>
      <c r="B159" s="11"/>
      <c r="C159" s="7"/>
      <c r="D159" s="11"/>
      <c r="E159" s="11"/>
    </row>
    <row r="160" ht="15.75" customHeight="1">
      <c r="A160" s="11"/>
      <c r="B160" s="11"/>
      <c r="C160" s="7"/>
      <c r="D160" s="11"/>
      <c r="E160" s="11"/>
    </row>
    <row r="161" ht="15.75" customHeight="1">
      <c r="C161" s="7"/>
    </row>
    <row r="162" ht="15.75" customHeight="1">
      <c r="C162" s="7"/>
    </row>
    <row r="163" ht="15.75" customHeight="1">
      <c r="C163" s="7"/>
    </row>
    <row r="164" ht="15.75" customHeight="1">
      <c r="C164" s="7"/>
    </row>
    <row r="165" ht="15.75" customHeight="1">
      <c r="C165" s="7"/>
    </row>
    <row r="166" ht="15.75" customHeight="1">
      <c r="C166" s="7"/>
    </row>
    <row r="167" ht="15.75" customHeight="1">
      <c r="C167" s="7"/>
    </row>
    <row r="168" ht="15.75" customHeight="1">
      <c r="C168" s="7"/>
    </row>
    <row r="169" ht="15.75" customHeight="1">
      <c r="C169" s="7"/>
    </row>
    <row r="170" ht="15.75" customHeight="1">
      <c r="C170" s="7"/>
    </row>
    <row r="171" ht="15.75" customHeight="1">
      <c r="C171" s="7"/>
    </row>
    <row r="172" ht="15.75" customHeight="1">
      <c r="C172" s="7"/>
    </row>
    <row r="173" ht="15.75" customHeight="1">
      <c r="C173" s="7"/>
    </row>
    <row r="174" ht="15.75" customHeight="1">
      <c r="C174" s="7"/>
    </row>
    <row r="175" ht="15.75" customHeight="1">
      <c r="C175" s="7"/>
    </row>
    <row r="176" ht="15.75" customHeight="1">
      <c r="C176" s="7"/>
    </row>
    <row r="177" ht="15.75" customHeight="1">
      <c r="C177" s="7"/>
    </row>
    <row r="178" ht="15.75" customHeight="1">
      <c r="C178" s="7"/>
    </row>
    <row r="179" ht="15.75" customHeight="1">
      <c r="C179" s="7"/>
    </row>
    <row r="180" ht="15.75" customHeight="1">
      <c r="C180" s="7"/>
    </row>
    <row r="181" ht="15.75" customHeight="1">
      <c r="C181" s="7"/>
    </row>
    <row r="182" ht="15.75" customHeight="1">
      <c r="C182" s="7"/>
    </row>
    <row r="183" ht="15.75" customHeight="1">
      <c r="C183" s="7"/>
    </row>
    <row r="184" ht="15.75" customHeight="1">
      <c r="C184" s="7"/>
    </row>
    <row r="185" ht="15.75" customHeight="1">
      <c r="C185" s="7"/>
    </row>
    <row r="186" ht="15.75" customHeight="1">
      <c r="C186" s="7"/>
    </row>
    <row r="187" ht="15.75" customHeight="1">
      <c r="C187" s="7"/>
    </row>
    <row r="188" ht="15.75" customHeight="1">
      <c r="C188" s="7"/>
    </row>
    <row r="189" ht="15.75" customHeight="1">
      <c r="C189" s="7"/>
    </row>
    <row r="190" ht="15.75" customHeight="1">
      <c r="C190" s="7"/>
    </row>
    <row r="191" ht="15.75" customHeight="1">
      <c r="C191" s="7"/>
    </row>
    <row r="192" ht="15.75" customHeight="1">
      <c r="C192" s="7"/>
    </row>
    <row r="193" ht="15.75" customHeight="1">
      <c r="C193" s="7"/>
    </row>
    <row r="194" ht="15.75" customHeight="1">
      <c r="C194" s="7"/>
    </row>
    <row r="195" ht="15.75" customHeight="1">
      <c r="C195" s="7"/>
    </row>
    <row r="196" ht="15.75" customHeight="1">
      <c r="C196" s="7"/>
    </row>
    <row r="197" ht="15.75" customHeight="1">
      <c r="C197" s="7"/>
    </row>
    <row r="198" ht="15.75" customHeight="1">
      <c r="C198" s="7"/>
    </row>
    <row r="199" ht="15.75" customHeight="1">
      <c r="C199" s="7"/>
    </row>
    <row r="200" ht="15.75" customHeight="1">
      <c r="C200" s="7"/>
    </row>
    <row r="201" ht="15.75" customHeight="1">
      <c r="C201" s="7"/>
    </row>
    <row r="202" ht="15.75" customHeight="1">
      <c r="C202" s="7"/>
    </row>
    <row r="203" ht="15.75" customHeight="1">
      <c r="C203" s="7"/>
    </row>
    <row r="204" ht="15.75" customHeight="1">
      <c r="C204" s="7"/>
    </row>
    <row r="205" ht="15.75" customHeight="1">
      <c r="C205" s="7"/>
    </row>
    <row r="206" ht="15.75" customHeight="1">
      <c r="C206" s="7"/>
    </row>
    <row r="207" ht="15.75" customHeight="1">
      <c r="C207" s="7"/>
    </row>
    <row r="208" ht="15.75" customHeight="1">
      <c r="C208" s="7"/>
    </row>
    <row r="209" ht="15.75" customHeight="1">
      <c r="C209" s="7"/>
    </row>
    <row r="210" ht="15.75" customHeight="1">
      <c r="C210" s="7"/>
    </row>
    <row r="211" ht="15.75" customHeight="1">
      <c r="C211" s="7"/>
    </row>
    <row r="212" ht="15.75" customHeight="1">
      <c r="C212" s="7"/>
    </row>
    <row r="213" ht="15.75" customHeight="1">
      <c r="C213" s="7"/>
    </row>
    <row r="214" ht="15.75" customHeight="1">
      <c r="C214" s="7"/>
    </row>
    <row r="215" ht="15.75" customHeight="1">
      <c r="C215" s="7"/>
    </row>
    <row r="216" ht="15.75" customHeight="1">
      <c r="C216" s="7"/>
    </row>
    <row r="217" ht="15.75" customHeight="1">
      <c r="C217" s="7"/>
    </row>
    <row r="218" ht="15.75" customHeight="1">
      <c r="C218" s="7"/>
    </row>
    <row r="219" ht="15.75" customHeight="1">
      <c r="C219" s="7"/>
    </row>
    <row r="220" ht="15.75" customHeight="1">
      <c r="C220" s="7"/>
    </row>
    <row r="221" ht="15.75" customHeight="1">
      <c r="C221" s="7"/>
    </row>
    <row r="222" ht="15.75" customHeight="1">
      <c r="C222" s="7"/>
    </row>
    <row r="223" ht="15.75" customHeight="1">
      <c r="C223" s="7"/>
    </row>
    <row r="224" ht="15.75" customHeight="1">
      <c r="C224" s="7"/>
    </row>
    <row r="225" ht="15.75" customHeight="1">
      <c r="C225" s="7"/>
    </row>
    <row r="226" ht="15.75" customHeight="1">
      <c r="C226" s="7"/>
    </row>
    <row r="227" ht="15.75" customHeight="1">
      <c r="C227" s="7"/>
    </row>
    <row r="228" ht="15.75" customHeight="1">
      <c r="C228" s="7"/>
    </row>
    <row r="229" ht="15.75" customHeight="1">
      <c r="C229" s="7"/>
    </row>
    <row r="230" ht="15.75" customHeight="1">
      <c r="C230" s="7"/>
    </row>
    <row r="231" ht="15.75" customHeight="1">
      <c r="C231" s="7"/>
    </row>
    <row r="232" ht="15.75" customHeight="1">
      <c r="C232" s="7"/>
    </row>
    <row r="233" ht="15.75" customHeight="1">
      <c r="C233" s="7"/>
    </row>
    <row r="234" ht="15.75" customHeight="1">
      <c r="C234" s="7"/>
    </row>
    <row r="235" ht="15.75" customHeight="1">
      <c r="C235" s="7"/>
    </row>
    <row r="236" ht="15.75" customHeight="1">
      <c r="C236" s="7"/>
    </row>
    <row r="237" ht="15.75" customHeight="1">
      <c r="C237" s="7"/>
    </row>
    <row r="238" ht="15.75" customHeight="1">
      <c r="C238" s="7"/>
    </row>
    <row r="239" ht="15.75" customHeight="1">
      <c r="C239" s="7"/>
    </row>
    <row r="240" ht="15.75" customHeight="1">
      <c r="C240" s="7"/>
    </row>
    <row r="241" ht="15.75" customHeight="1">
      <c r="C241" s="7"/>
    </row>
    <row r="242" ht="15.75" customHeight="1">
      <c r="C242" s="7"/>
    </row>
    <row r="243" ht="15.75" customHeight="1">
      <c r="C243" s="7"/>
    </row>
    <row r="244" ht="15.75" customHeight="1">
      <c r="C244" s="7"/>
    </row>
    <row r="245" ht="15.75" customHeight="1">
      <c r="C245" s="7"/>
    </row>
    <row r="246" ht="15.75" customHeight="1">
      <c r="C246" s="7"/>
    </row>
    <row r="247" ht="15.75" customHeight="1">
      <c r="C247" s="7"/>
    </row>
    <row r="248" ht="15.75" customHeight="1">
      <c r="C248" s="7"/>
    </row>
    <row r="249" ht="15.75" customHeight="1">
      <c r="C249" s="7"/>
    </row>
    <row r="250" ht="15.75" customHeight="1">
      <c r="C250" s="7"/>
    </row>
    <row r="251" ht="15.75" customHeight="1">
      <c r="C251" s="7"/>
    </row>
    <row r="252" ht="15.75" customHeight="1">
      <c r="C252" s="7"/>
    </row>
    <row r="253" ht="15.75" customHeight="1">
      <c r="C253" s="7"/>
    </row>
    <row r="254" ht="15.75" customHeight="1">
      <c r="C254" s="7"/>
    </row>
    <row r="255" ht="15.75" customHeight="1">
      <c r="C255" s="7"/>
    </row>
    <row r="256" ht="15.75" customHeight="1">
      <c r="C256" s="7"/>
    </row>
    <row r="257" ht="15.75" customHeight="1">
      <c r="C257" s="7"/>
    </row>
    <row r="258" ht="15.75" customHeight="1">
      <c r="C258" s="7"/>
    </row>
    <row r="259" ht="15.75" customHeight="1">
      <c r="C259" s="7"/>
    </row>
    <row r="260" ht="15.75" customHeight="1">
      <c r="C260" s="7"/>
    </row>
    <row r="261" ht="15.75" customHeight="1">
      <c r="C261" s="7"/>
    </row>
    <row r="262" ht="15.75" customHeight="1">
      <c r="C262" s="7"/>
    </row>
    <row r="263" ht="15.75" customHeight="1">
      <c r="C263" s="7"/>
    </row>
    <row r="264" ht="15.75" customHeight="1">
      <c r="C264" s="7"/>
    </row>
    <row r="265" ht="15.75" customHeight="1">
      <c r="C265" s="7"/>
    </row>
    <row r="266" ht="15.75" customHeight="1">
      <c r="C266" s="7"/>
    </row>
    <row r="267" ht="15.75" customHeight="1">
      <c r="C267" s="7"/>
    </row>
    <row r="268" ht="15.75" customHeight="1">
      <c r="C268" s="7"/>
    </row>
    <row r="269" ht="15.75" customHeight="1">
      <c r="C269" s="7"/>
    </row>
    <row r="270" ht="15.75" customHeight="1">
      <c r="C270" s="7"/>
    </row>
    <row r="271" ht="15.75" customHeight="1">
      <c r="C271" s="7"/>
    </row>
    <row r="272" ht="15.75" customHeight="1">
      <c r="C272" s="7"/>
    </row>
    <row r="273" ht="15.75" customHeight="1">
      <c r="C273" s="7"/>
    </row>
    <row r="274" ht="15.75" customHeight="1">
      <c r="C274" s="7"/>
    </row>
    <row r="275" ht="15.75" customHeight="1">
      <c r="C275" s="7"/>
    </row>
    <row r="276" ht="15.75" customHeight="1">
      <c r="C276" s="7"/>
    </row>
    <row r="277" ht="15.75" customHeight="1">
      <c r="C277" s="7"/>
    </row>
    <row r="278" ht="15.75" customHeight="1">
      <c r="C278" s="7"/>
    </row>
    <row r="279" ht="15.75" customHeight="1">
      <c r="C279" s="7"/>
    </row>
    <row r="280" ht="15.75" customHeight="1">
      <c r="C280" s="7"/>
    </row>
    <row r="281" ht="15.75" customHeight="1">
      <c r="C281" s="7"/>
    </row>
    <row r="282" ht="15.75" customHeight="1">
      <c r="C282" s="7"/>
    </row>
    <row r="283" ht="15.75" customHeight="1">
      <c r="C283" s="7"/>
    </row>
    <row r="284" ht="15.75" customHeight="1">
      <c r="C284" s="7"/>
    </row>
    <row r="285" ht="15.75" customHeight="1">
      <c r="C285" s="7"/>
    </row>
    <row r="286" ht="15.75" customHeight="1">
      <c r="C286" s="7"/>
    </row>
    <row r="287" ht="15.75" customHeight="1">
      <c r="C287" s="7"/>
    </row>
    <row r="288" ht="15.75" customHeight="1">
      <c r="C288" s="7"/>
    </row>
    <row r="289" ht="15.75" customHeight="1">
      <c r="C289" s="7"/>
    </row>
    <row r="290" ht="15.75" customHeight="1">
      <c r="C290" s="7"/>
    </row>
    <row r="291" ht="15.75" customHeight="1">
      <c r="C291" s="7"/>
    </row>
    <row r="292" ht="15.75" customHeight="1">
      <c r="C292" s="7"/>
    </row>
    <row r="293" ht="15.75" customHeight="1">
      <c r="C293" s="7"/>
    </row>
    <row r="294" ht="15.75" customHeight="1">
      <c r="C294" s="7"/>
    </row>
    <row r="295" ht="15.75" customHeight="1">
      <c r="C295" s="7"/>
    </row>
    <row r="296" ht="15.75" customHeight="1">
      <c r="C296" s="7"/>
    </row>
    <row r="297" ht="15.75" customHeight="1">
      <c r="C297" s="7"/>
    </row>
    <row r="298" ht="15.75" customHeight="1">
      <c r="C298" s="7"/>
    </row>
    <row r="299" ht="15.75" customHeight="1">
      <c r="C299" s="7"/>
    </row>
    <row r="300" ht="15.75" customHeight="1">
      <c r="C300" s="7"/>
    </row>
    <row r="301" ht="15.75" customHeight="1">
      <c r="C301" s="7"/>
    </row>
    <row r="302" ht="15.75" customHeight="1">
      <c r="C302" s="7"/>
    </row>
    <row r="303" ht="15.75" customHeight="1">
      <c r="C303" s="7"/>
    </row>
    <row r="304" ht="15.75" customHeight="1">
      <c r="C304" s="7"/>
    </row>
    <row r="305" ht="15.75" customHeight="1">
      <c r="C305" s="7"/>
    </row>
    <row r="306" ht="15.75" customHeight="1">
      <c r="C306" s="7"/>
    </row>
    <row r="307" ht="15.75" customHeight="1">
      <c r="C307" s="7"/>
    </row>
    <row r="308" ht="15.75" customHeight="1">
      <c r="C308" s="7"/>
    </row>
    <row r="309" ht="15.75" customHeight="1">
      <c r="C309" s="7"/>
    </row>
    <row r="310" ht="15.75" customHeight="1">
      <c r="C310" s="7"/>
    </row>
    <row r="311" ht="15.75" customHeight="1">
      <c r="C311" s="7"/>
    </row>
    <row r="312" ht="15.75" customHeight="1">
      <c r="C312" s="7"/>
    </row>
    <row r="313" ht="15.75" customHeight="1">
      <c r="C313" s="7"/>
    </row>
    <row r="314" ht="15.75" customHeight="1">
      <c r="C314" s="7"/>
    </row>
    <row r="315" ht="15.75" customHeight="1">
      <c r="C315" s="7"/>
    </row>
    <row r="316" ht="15.75" customHeight="1">
      <c r="C316" s="7"/>
    </row>
    <row r="317" ht="15.75" customHeight="1">
      <c r="C317" s="7"/>
    </row>
    <row r="318" ht="15.75" customHeight="1">
      <c r="C318" s="7"/>
    </row>
    <row r="319" ht="15.75" customHeight="1">
      <c r="C319" s="7"/>
    </row>
    <row r="320" ht="15.75" customHeight="1">
      <c r="C320" s="7"/>
    </row>
    <row r="321" ht="15.75" customHeight="1">
      <c r="C321" s="7"/>
    </row>
    <row r="322" ht="15.75" customHeight="1">
      <c r="C322" s="7"/>
    </row>
    <row r="323" ht="15.75" customHeight="1">
      <c r="C323" s="7"/>
    </row>
    <row r="324" ht="15.75" customHeight="1">
      <c r="C324" s="7"/>
    </row>
    <row r="325" ht="15.75" customHeight="1">
      <c r="C325" s="7"/>
    </row>
    <row r="326" ht="15.75" customHeight="1">
      <c r="C326" s="7"/>
    </row>
    <row r="327" ht="15.75" customHeight="1">
      <c r="C327" s="7"/>
    </row>
    <row r="328" ht="15.75" customHeight="1">
      <c r="C328" s="7"/>
    </row>
    <row r="329" ht="15.75" customHeight="1">
      <c r="C329" s="7"/>
    </row>
    <row r="330" ht="15.75" customHeight="1">
      <c r="C330" s="7"/>
    </row>
    <row r="331" ht="15.75" customHeight="1">
      <c r="C331" s="7"/>
    </row>
    <row r="332" ht="15.75" customHeight="1">
      <c r="C332" s="7"/>
    </row>
    <row r="333" ht="15.75" customHeight="1">
      <c r="C333" s="7"/>
    </row>
    <row r="334" ht="15.75" customHeight="1">
      <c r="C334" s="7"/>
    </row>
    <row r="335" ht="15.75" customHeight="1">
      <c r="C335" s="7"/>
    </row>
    <row r="336" ht="15.75" customHeight="1">
      <c r="C336" s="7"/>
    </row>
    <row r="337" ht="15.75" customHeight="1">
      <c r="C337" s="7"/>
    </row>
    <row r="338" ht="15.75" customHeight="1">
      <c r="C338" s="7"/>
    </row>
    <row r="339" ht="15.75" customHeight="1">
      <c r="C339" s="7"/>
    </row>
    <row r="340" ht="15.75" customHeight="1">
      <c r="C340" s="7"/>
    </row>
    <row r="341" ht="15.75" customHeight="1">
      <c r="C341" s="7"/>
    </row>
    <row r="342" ht="15.75" customHeight="1">
      <c r="C342" s="7"/>
    </row>
    <row r="343" ht="15.75" customHeight="1">
      <c r="C343" s="7"/>
    </row>
    <row r="344" ht="15.75" customHeight="1">
      <c r="C344" s="7"/>
    </row>
    <row r="345" ht="15.75" customHeight="1">
      <c r="C345" s="7"/>
    </row>
    <row r="346" ht="15.75" customHeight="1">
      <c r="C346" s="7"/>
    </row>
    <row r="347" ht="15.75" customHeight="1">
      <c r="C347" s="7"/>
    </row>
    <row r="348" ht="15.75" customHeight="1">
      <c r="C348" s="7"/>
    </row>
    <row r="349" ht="15.75" customHeight="1">
      <c r="C349" s="7"/>
    </row>
    <row r="350" ht="15.75" customHeight="1">
      <c r="C350" s="7"/>
    </row>
    <row r="351" ht="15.75" customHeight="1">
      <c r="C351" s="7"/>
    </row>
    <row r="352" ht="15.75" customHeight="1">
      <c r="C352" s="7"/>
    </row>
    <row r="353" ht="15.75" customHeight="1">
      <c r="C353" s="7"/>
    </row>
    <row r="354" ht="15.75" customHeight="1">
      <c r="C354" s="7"/>
    </row>
    <row r="355" ht="15.75" customHeight="1">
      <c r="C355" s="7"/>
    </row>
    <row r="356" ht="15.75" customHeight="1">
      <c r="C356" s="7"/>
    </row>
    <row r="357" ht="15.75" customHeight="1">
      <c r="C357" s="7"/>
    </row>
    <row r="358" ht="15.75" customHeight="1">
      <c r="C358" s="7"/>
    </row>
    <row r="359" ht="15.75" customHeight="1">
      <c r="C359" s="7"/>
    </row>
    <row r="360" ht="15.75" customHeight="1">
      <c r="C360" s="7"/>
    </row>
    <row r="361" ht="15.75" customHeight="1">
      <c r="C361" s="7"/>
    </row>
    <row r="362" ht="15.75" customHeight="1">
      <c r="C362" s="7"/>
    </row>
    <row r="363" ht="15.75" customHeight="1">
      <c r="C363" s="7"/>
    </row>
    <row r="364" ht="15.75" customHeight="1">
      <c r="C364" s="7"/>
    </row>
    <row r="365" ht="15.75" customHeight="1">
      <c r="C365" s="7"/>
    </row>
    <row r="366" ht="15.75" customHeight="1">
      <c r="C366" s="7"/>
    </row>
    <row r="367" ht="15.75" customHeight="1">
      <c r="C367" s="7"/>
    </row>
    <row r="368" ht="15.75" customHeight="1">
      <c r="C368" s="7"/>
    </row>
    <row r="369" ht="15.75" customHeight="1">
      <c r="C369" s="7"/>
    </row>
    <row r="370" ht="15.75" customHeight="1">
      <c r="C370" s="7"/>
    </row>
    <row r="371" ht="15.75" customHeight="1">
      <c r="C371" s="7"/>
    </row>
    <row r="372" ht="15.75" customHeight="1">
      <c r="C372" s="7"/>
    </row>
    <row r="373" ht="15.75" customHeight="1">
      <c r="C373" s="7"/>
    </row>
    <row r="374" ht="15.75" customHeight="1">
      <c r="C374" s="7"/>
    </row>
    <row r="375" ht="15.75" customHeight="1">
      <c r="C375" s="7"/>
    </row>
    <row r="376" ht="15.75" customHeight="1">
      <c r="C376" s="7"/>
    </row>
    <row r="377" ht="15.75" customHeight="1">
      <c r="C377" s="7"/>
    </row>
    <row r="378" ht="15.75" customHeight="1">
      <c r="C378" s="7"/>
    </row>
    <row r="379" ht="15.75" customHeight="1">
      <c r="C379" s="7"/>
    </row>
    <row r="380" ht="15.75" customHeight="1">
      <c r="C380" s="7"/>
    </row>
    <row r="381" ht="15.75" customHeight="1">
      <c r="C381" s="7"/>
    </row>
    <row r="382" ht="15.75" customHeight="1">
      <c r="C382" s="7"/>
    </row>
    <row r="383" ht="15.75" customHeight="1">
      <c r="C383" s="7"/>
    </row>
    <row r="384" ht="15.75" customHeight="1">
      <c r="C384" s="7"/>
    </row>
    <row r="385" ht="15.75" customHeight="1">
      <c r="C385" s="7"/>
    </row>
    <row r="386" ht="15.75" customHeight="1">
      <c r="C386" s="7"/>
    </row>
    <row r="387" ht="15.75" customHeight="1">
      <c r="C387" s="7"/>
    </row>
    <row r="388" ht="15.75" customHeight="1">
      <c r="C388" s="7"/>
    </row>
    <row r="389" ht="15.75" customHeight="1">
      <c r="C389" s="7"/>
    </row>
    <row r="390" ht="15.75" customHeight="1">
      <c r="C390" s="7"/>
    </row>
    <row r="391" ht="15.75" customHeight="1">
      <c r="C391" s="7"/>
    </row>
    <row r="392" ht="15.75" customHeight="1">
      <c r="C392" s="7"/>
    </row>
    <row r="393" ht="15.75" customHeight="1">
      <c r="C393" s="7"/>
    </row>
    <row r="394" ht="15.75" customHeight="1">
      <c r="C394" s="7"/>
    </row>
    <row r="395" ht="15.75" customHeight="1">
      <c r="C395" s="7"/>
    </row>
    <row r="396" ht="15.75" customHeight="1">
      <c r="C396" s="7"/>
    </row>
    <row r="397" ht="15.75" customHeight="1">
      <c r="C397" s="7"/>
    </row>
    <row r="398" ht="15.75" customHeight="1">
      <c r="C398" s="7"/>
    </row>
    <row r="399" ht="15.75" customHeight="1">
      <c r="C399" s="7"/>
    </row>
    <row r="400" ht="15.75" customHeight="1">
      <c r="C400" s="7"/>
    </row>
    <row r="401" ht="15.75" customHeight="1">
      <c r="C401" s="7"/>
    </row>
    <row r="402" ht="15.75" customHeight="1">
      <c r="C402" s="7"/>
    </row>
    <row r="403" ht="15.75" customHeight="1">
      <c r="C403" s="7"/>
    </row>
    <row r="404" ht="15.75" customHeight="1">
      <c r="C404" s="7"/>
    </row>
    <row r="405" ht="15.75" customHeight="1">
      <c r="C405" s="7"/>
    </row>
    <row r="406" ht="15.75" customHeight="1">
      <c r="C406" s="7"/>
    </row>
    <row r="407" ht="15.75" customHeight="1">
      <c r="C407" s="7"/>
    </row>
    <row r="408" ht="15.75" customHeight="1">
      <c r="C408" s="7"/>
    </row>
    <row r="409" ht="15.75" customHeight="1">
      <c r="C409" s="7"/>
    </row>
    <row r="410" ht="15.75" customHeight="1">
      <c r="C410" s="7"/>
    </row>
    <row r="411" ht="15.75" customHeight="1">
      <c r="C411" s="7"/>
    </row>
    <row r="412" ht="15.75" customHeight="1">
      <c r="C412" s="7"/>
    </row>
    <row r="413" ht="15.75" customHeight="1">
      <c r="C413" s="7"/>
    </row>
    <row r="414" ht="15.75" customHeight="1">
      <c r="C414" s="7"/>
    </row>
    <row r="415" ht="15.75" customHeight="1">
      <c r="C415" s="7"/>
    </row>
    <row r="416" ht="15.75" customHeight="1">
      <c r="C416" s="7"/>
    </row>
    <row r="417" ht="15.75" customHeight="1">
      <c r="C417" s="7"/>
    </row>
    <row r="418" ht="15.75" customHeight="1">
      <c r="C418" s="7"/>
    </row>
    <row r="419" ht="15.75" customHeight="1">
      <c r="C419" s="7"/>
    </row>
    <row r="420" ht="15.75" customHeight="1">
      <c r="C420" s="7"/>
    </row>
    <row r="421" ht="15.75" customHeight="1">
      <c r="C421" s="7"/>
    </row>
    <row r="422" ht="15.75" customHeight="1">
      <c r="C422" s="7"/>
    </row>
    <row r="423" ht="15.75" customHeight="1">
      <c r="C423" s="7"/>
    </row>
    <row r="424" ht="15.75" customHeight="1">
      <c r="C424" s="7"/>
    </row>
    <row r="425" ht="15.75" customHeight="1">
      <c r="C425" s="7"/>
    </row>
    <row r="426" ht="15.75" customHeight="1">
      <c r="C426" s="7"/>
    </row>
    <row r="427" ht="15.75" customHeight="1">
      <c r="C427" s="7"/>
    </row>
    <row r="428" ht="15.75" customHeight="1">
      <c r="C428" s="7"/>
    </row>
    <row r="429" ht="15.75" customHeight="1">
      <c r="C429" s="7"/>
    </row>
    <row r="430" ht="15.75" customHeight="1">
      <c r="C430" s="7"/>
    </row>
    <row r="431" ht="15.75" customHeight="1">
      <c r="C431" s="7"/>
    </row>
    <row r="432" ht="15.75" customHeight="1">
      <c r="C432" s="7"/>
    </row>
    <row r="433" ht="15.75" customHeight="1">
      <c r="C433" s="7"/>
    </row>
    <row r="434" ht="15.75" customHeight="1">
      <c r="C434" s="7"/>
    </row>
    <row r="435" ht="15.75" customHeight="1">
      <c r="C435" s="7"/>
    </row>
    <row r="436" ht="15.75" customHeight="1">
      <c r="C436" s="7"/>
    </row>
    <row r="437" ht="15.75" customHeight="1">
      <c r="C437" s="7"/>
    </row>
    <row r="438" ht="15.75" customHeight="1">
      <c r="C438" s="7"/>
    </row>
    <row r="439" ht="15.75" customHeight="1">
      <c r="C439" s="7"/>
    </row>
    <row r="440" ht="15.75" customHeight="1">
      <c r="C440" s="7"/>
    </row>
    <row r="441" ht="15.75" customHeight="1">
      <c r="C441" s="7"/>
    </row>
    <row r="442" ht="15.75" customHeight="1">
      <c r="C442" s="7"/>
    </row>
    <row r="443" ht="15.75" customHeight="1">
      <c r="C443" s="7"/>
    </row>
    <row r="444" ht="15.75" customHeight="1">
      <c r="C444" s="7"/>
    </row>
    <row r="445" ht="15.75" customHeight="1">
      <c r="C445" s="7"/>
    </row>
    <row r="446" ht="15.75" customHeight="1">
      <c r="C446" s="7"/>
    </row>
    <row r="447" ht="15.75" customHeight="1">
      <c r="C447" s="7"/>
    </row>
    <row r="448" ht="15.75" customHeight="1">
      <c r="C448" s="7"/>
    </row>
    <row r="449" ht="15.75" customHeight="1">
      <c r="C449" s="7"/>
    </row>
    <row r="450" ht="15.75" customHeight="1">
      <c r="C450" s="7"/>
    </row>
    <row r="451" ht="15.75" customHeight="1">
      <c r="C451" s="7"/>
    </row>
    <row r="452" ht="15.75" customHeight="1">
      <c r="C452" s="7"/>
    </row>
    <row r="453" ht="15.75" customHeight="1">
      <c r="C453" s="7"/>
    </row>
    <row r="454" ht="15.75" customHeight="1">
      <c r="C454" s="7"/>
    </row>
    <row r="455" ht="15.75" customHeight="1">
      <c r="C455" s="7"/>
    </row>
    <row r="456" ht="15.75" customHeight="1">
      <c r="C456" s="7"/>
    </row>
    <row r="457" ht="15.75" customHeight="1">
      <c r="C457" s="7"/>
    </row>
    <row r="458" ht="15.75" customHeight="1">
      <c r="C458" s="7"/>
    </row>
    <row r="459" ht="15.75" customHeight="1">
      <c r="C459" s="7"/>
    </row>
    <row r="460" ht="15.75" customHeight="1">
      <c r="C460" s="7"/>
    </row>
    <row r="461" ht="15.75" customHeight="1">
      <c r="C461" s="7"/>
    </row>
    <row r="462" ht="15.75" customHeight="1">
      <c r="C462" s="7"/>
    </row>
    <row r="463" ht="15.75" customHeight="1">
      <c r="C463" s="7"/>
    </row>
    <row r="464" ht="15.75" customHeight="1">
      <c r="C464" s="7"/>
    </row>
    <row r="465" ht="15.75" customHeight="1">
      <c r="C465" s="7"/>
    </row>
    <row r="466" ht="15.75" customHeight="1">
      <c r="C466" s="7"/>
    </row>
    <row r="467" ht="15.75" customHeight="1">
      <c r="C467" s="7"/>
    </row>
    <row r="468" ht="15.75" customHeight="1">
      <c r="C468" s="7"/>
    </row>
    <row r="469" ht="15.75" customHeight="1">
      <c r="C469" s="7"/>
    </row>
    <row r="470" ht="15.75" customHeight="1">
      <c r="C470" s="7"/>
    </row>
    <row r="471" ht="15.75" customHeight="1">
      <c r="C471" s="7"/>
    </row>
    <row r="472" ht="15.75" customHeight="1">
      <c r="C472" s="7"/>
    </row>
    <row r="473" ht="15.75" customHeight="1">
      <c r="C473" s="7"/>
    </row>
    <row r="474" ht="15.75" customHeight="1">
      <c r="C474" s="7"/>
    </row>
    <row r="475" ht="15.75" customHeight="1">
      <c r="C475" s="7"/>
    </row>
    <row r="476" ht="15.75" customHeight="1">
      <c r="C476" s="7"/>
    </row>
    <row r="477" ht="15.75" customHeight="1">
      <c r="C477" s="7"/>
    </row>
    <row r="478" ht="15.75" customHeight="1">
      <c r="C478" s="7"/>
    </row>
    <row r="479" ht="15.75" customHeight="1">
      <c r="C479" s="7"/>
    </row>
    <row r="480" ht="15.75" customHeight="1">
      <c r="C480" s="7"/>
    </row>
    <row r="481" ht="15.75" customHeight="1">
      <c r="C481" s="7"/>
    </row>
    <row r="482" ht="15.75" customHeight="1">
      <c r="C482" s="7"/>
    </row>
    <row r="483" ht="15.75" customHeight="1">
      <c r="C483" s="7"/>
    </row>
    <row r="484" ht="15.75" customHeight="1">
      <c r="C484" s="7"/>
    </row>
    <row r="485" ht="15.75" customHeight="1">
      <c r="C485" s="7"/>
    </row>
    <row r="486" ht="15.75" customHeight="1">
      <c r="C486" s="7"/>
    </row>
    <row r="487" ht="15.75" customHeight="1">
      <c r="C487" s="7"/>
    </row>
    <row r="488" ht="15.75" customHeight="1">
      <c r="C488" s="7"/>
    </row>
    <row r="489" ht="15.75" customHeight="1">
      <c r="C489" s="7"/>
    </row>
    <row r="490" ht="15.75" customHeight="1">
      <c r="C490" s="7"/>
    </row>
    <row r="491" ht="15.75" customHeight="1">
      <c r="C491" s="7"/>
    </row>
    <row r="492" ht="15.75" customHeight="1">
      <c r="C492" s="7"/>
    </row>
    <row r="493" ht="15.75" customHeight="1">
      <c r="C493" s="7"/>
    </row>
    <row r="494" ht="15.75" customHeight="1">
      <c r="C494" s="7"/>
    </row>
    <row r="495" ht="15.75" customHeight="1">
      <c r="C495" s="7"/>
    </row>
    <row r="496" ht="15.75" customHeight="1">
      <c r="C496" s="7"/>
    </row>
    <row r="497" ht="15.75" customHeight="1">
      <c r="C497" s="7"/>
    </row>
    <row r="498" ht="15.75" customHeight="1">
      <c r="C498" s="7"/>
    </row>
    <row r="499" ht="15.75" customHeight="1">
      <c r="C499" s="7"/>
    </row>
    <row r="500" ht="15.75" customHeight="1">
      <c r="C500" s="7"/>
    </row>
    <row r="501" ht="15.75" customHeight="1">
      <c r="C501" s="7"/>
    </row>
    <row r="502" ht="15.75" customHeight="1">
      <c r="C502" s="7"/>
    </row>
    <row r="503" ht="15.75" customHeight="1">
      <c r="C503" s="7"/>
    </row>
    <row r="504" ht="15.75" customHeight="1">
      <c r="C504" s="7"/>
    </row>
    <row r="505" ht="15.75" customHeight="1">
      <c r="C505" s="7"/>
    </row>
    <row r="506" ht="15.75" customHeight="1">
      <c r="C506" s="7"/>
    </row>
    <row r="507" ht="15.75" customHeight="1">
      <c r="C507" s="7"/>
    </row>
    <row r="508" ht="15.75" customHeight="1">
      <c r="C508" s="7"/>
    </row>
    <row r="509" ht="15.75" customHeight="1">
      <c r="C509" s="7"/>
    </row>
    <row r="510" ht="15.75" customHeight="1">
      <c r="C510" s="7"/>
    </row>
    <row r="511" ht="15.75" customHeight="1">
      <c r="C511" s="7"/>
    </row>
    <row r="512" ht="15.75" customHeight="1">
      <c r="C512" s="7"/>
    </row>
    <row r="513" ht="15.75" customHeight="1">
      <c r="C513" s="7"/>
    </row>
    <row r="514" ht="15.75" customHeight="1">
      <c r="C514" s="7"/>
    </row>
    <row r="515" ht="15.75" customHeight="1">
      <c r="C515" s="7"/>
    </row>
    <row r="516" ht="15.75" customHeight="1">
      <c r="C516" s="7"/>
    </row>
    <row r="517" ht="15.75" customHeight="1">
      <c r="C517" s="7"/>
    </row>
    <row r="518" ht="15.75" customHeight="1">
      <c r="C518" s="7"/>
    </row>
    <row r="519" ht="15.75" customHeight="1">
      <c r="C519" s="7"/>
    </row>
    <row r="520" ht="15.75" customHeight="1">
      <c r="C520" s="7"/>
    </row>
    <row r="521" ht="15.75" customHeight="1">
      <c r="C521" s="7"/>
    </row>
    <row r="522" ht="15.75" customHeight="1">
      <c r="C522" s="7"/>
    </row>
    <row r="523" ht="15.75" customHeight="1">
      <c r="C523" s="7"/>
    </row>
    <row r="524" ht="15.75" customHeight="1">
      <c r="C524" s="7"/>
    </row>
    <row r="525" ht="15.75" customHeight="1">
      <c r="C525" s="7"/>
    </row>
    <row r="526" ht="15.75" customHeight="1">
      <c r="C526" s="7"/>
    </row>
    <row r="527" ht="15.75" customHeight="1">
      <c r="C527" s="7"/>
    </row>
    <row r="528" ht="15.75" customHeight="1">
      <c r="C528" s="7"/>
    </row>
    <row r="529" ht="15.75" customHeight="1">
      <c r="C529" s="7"/>
    </row>
    <row r="530" ht="15.75" customHeight="1">
      <c r="C530" s="7"/>
    </row>
    <row r="531" ht="15.75" customHeight="1">
      <c r="C531" s="7"/>
    </row>
    <row r="532" ht="15.75" customHeight="1">
      <c r="C532" s="7"/>
    </row>
    <row r="533" ht="15.75" customHeight="1">
      <c r="C533" s="7"/>
    </row>
    <row r="534" ht="15.75" customHeight="1">
      <c r="C534" s="7"/>
    </row>
    <row r="535" ht="15.75" customHeight="1">
      <c r="C535" s="7"/>
    </row>
    <row r="536" ht="15.75" customHeight="1">
      <c r="C536" s="7"/>
    </row>
    <row r="537" ht="15.75" customHeight="1">
      <c r="C537" s="7"/>
    </row>
    <row r="538" ht="15.75" customHeight="1">
      <c r="C538" s="7"/>
    </row>
    <row r="539" ht="15.75" customHeight="1">
      <c r="C539" s="7"/>
    </row>
    <row r="540" ht="15.75" customHeight="1">
      <c r="C540" s="7"/>
    </row>
    <row r="541" ht="15.75" customHeight="1">
      <c r="C541" s="7"/>
    </row>
    <row r="542" ht="15.75" customHeight="1">
      <c r="C542" s="7"/>
    </row>
    <row r="543" ht="15.75" customHeight="1">
      <c r="C543" s="7"/>
    </row>
    <row r="544" ht="15.75" customHeight="1">
      <c r="C544" s="7"/>
    </row>
    <row r="545" ht="15.75" customHeight="1">
      <c r="C545" s="7"/>
    </row>
    <row r="546" ht="15.75" customHeight="1">
      <c r="C546" s="7"/>
    </row>
    <row r="547" ht="15.75" customHeight="1">
      <c r="C547" s="7"/>
    </row>
    <row r="548" ht="15.75" customHeight="1">
      <c r="C548" s="7"/>
    </row>
    <row r="549" ht="15.75" customHeight="1">
      <c r="C549" s="7"/>
    </row>
    <row r="550" ht="15.75" customHeight="1">
      <c r="C550" s="7"/>
    </row>
    <row r="551" ht="15.75" customHeight="1">
      <c r="C551" s="7"/>
    </row>
    <row r="552" ht="15.75" customHeight="1">
      <c r="C552" s="7"/>
    </row>
    <row r="553" ht="15.75" customHeight="1">
      <c r="C553" s="7"/>
    </row>
    <row r="554" ht="15.75" customHeight="1">
      <c r="C554" s="7"/>
    </row>
    <row r="555" ht="15.75" customHeight="1">
      <c r="C555" s="7"/>
    </row>
    <row r="556" ht="15.75" customHeight="1">
      <c r="C556" s="7"/>
    </row>
    <row r="557" ht="15.75" customHeight="1">
      <c r="C557" s="7"/>
    </row>
    <row r="558" ht="15.75" customHeight="1">
      <c r="C558" s="7"/>
    </row>
    <row r="559" ht="15.75" customHeight="1">
      <c r="C559" s="7"/>
    </row>
    <row r="560" ht="15.75" customHeight="1">
      <c r="C560" s="7"/>
    </row>
    <row r="561" ht="15.75" customHeight="1">
      <c r="C561" s="7"/>
    </row>
    <row r="562" ht="15.75" customHeight="1">
      <c r="C562" s="7"/>
    </row>
    <row r="563" ht="15.75" customHeight="1">
      <c r="C563" s="7"/>
    </row>
    <row r="564" ht="15.75" customHeight="1">
      <c r="C564" s="7"/>
    </row>
    <row r="565" ht="15.75" customHeight="1">
      <c r="C565" s="7"/>
    </row>
    <row r="566" ht="15.75" customHeight="1">
      <c r="C566" s="7"/>
    </row>
    <row r="567" ht="15.75" customHeight="1">
      <c r="C567" s="7"/>
    </row>
    <row r="568" ht="15.75" customHeight="1">
      <c r="C568" s="7"/>
    </row>
    <row r="569" ht="15.75" customHeight="1">
      <c r="C569" s="7"/>
    </row>
    <row r="570" ht="15.75" customHeight="1">
      <c r="C570" s="7"/>
    </row>
    <row r="571" ht="15.75" customHeight="1">
      <c r="C571" s="7"/>
    </row>
    <row r="572" ht="15.75" customHeight="1">
      <c r="C572" s="7"/>
    </row>
    <row r="573" ht="15.75" customHeight="1">
      <c r="C573" s="7"/>
    </row>
    <row r="574" ht="15.75" customHeight="1">
      <c r="C574" s="7"/>
    </row>
    <row r="575" ht="15.75" customHeight="1">
      <c r="C575" s="7"/>
    </row>
    <row r="576" ht="15.75" customHeight="1">
      <c r="C576" s="7"/>
    </row>
    <row r="577" ht="15.75" customHeight="1">
      <c r="C577" s="7"/>
    </row>
    <row r="578" ht="15.75" customHeight="1">
      <c r="C578" s="7"/>
    </row>
    <row r="579" ht="15.75" customHeight="1">
      <c r="C579" s="7"/>
    </row>
    <row r="580" ht="15.75" customHeight="1">
      <c r="C580" s="7"/>
    </row>
    <row r="581" ht="15.75" customHeight="1">
      <c r="C581" s="7"/>
    </row>
    <row r="582" ht="15.75" customHeight="1">
      <c r="C582" s="7"/>
    </row>
    <row r="583" ht="15.75" customHeight="1">
      <c r="C583" s="7"/>
    </row>
    <row r="584" ht="15.75" customHeight="1">
      <c r="C584" s="7"/>
    </row>
    <row r="585" ht="15.75" customHeight="1">
      <c r="C585" s="7"/>
    </row>
    <row r="586" ht="15.75" customHeight="1">
      <c r="C586" s="7"/>
    </row>
    <row r="587" ht="15.75" customHeight="1">
      <c r="C587" s="7"/>
    </row>
    <row r="588" ht="15.75" customHeight="1">
      <c r="C588" s="7"/>
    </row>
    <row r="589" ht="15.75" customHeight="1">
      <c r="C589" s="7"/>
    </row>
    <row r="590" ht="15.75" customHeight="1">
      <c r="C590" s="7"/>
    </row>
    <row r="591" ht="15.75" customHeight="1">
      <c r="C591" s="7"/>
    </row>
    <row r="592" ht="15.75" customHeight="1">
      <c r="C592" s="7"/>
    </row>
    <row r="593" ht="15.75" customHeight="1">
      <c r="C593" s="7"/>
    </row>
    <row r="594" ht="15.75" customHeight="1">
      <c r="C594" s="7"/>
    </row>
    <row r="595" ht="15.75" customHeight="1">
      <c r="C595" s="7"/>
    </row>
    <row r="596" ht="15.75" customHeight="1">
      <c r="C596" s="7"/>
    </row>
    <row r="597" ht="15.75" customHeight="1">
      <c r="C597" s="7"/>
    </row>
    <row r="598" ht="15.75" customHeight="1">
      <c r="C598" s="7"/>
    </row>
    <row r="599" ht="15.75" customHeight="1">
      <c r="C599" s="7"/>
    </row>
    <row r="600" ht="15.75" customHeight="1">
      <c r="C600" s="7"/>
    </row>
    <row r="601" ht="15.75" customHeight="1">
      <c r="C601" s="7"/>
    </row>
    <row r="602" ht="15.75" customHeight="1">
      <c r="C602" s="7"/>
    </row>
    <row r="603" ht="15.75" customHeight="1">
      <c r="C603" s="7"/>
    </row>
    <row r="604" ht="15.75" customHeight="1">
      <c r="C604" s="7"/>
    </row>
    <row r="605" ht="15.75" customHeight="1">
      <c r="C605" s="7"/>
    </row>
    <row r="606" ht="15.75" customHeight="1">
      <c r="C606" s="7"/>
    </row>
    <row r="607" ht="15.75" customHeight="1">
      <c r="C607" s="7"/>
    </row>
    <row r="608" ht="15.75" customHeight="1">
      <c r="C608" s="7"/>
    </row>
    <row r="609" ht="15.75" customHeight="1">
      <c r="C609" s="7"/>
    </row>
    <row r="610" ht="15.75" customHeight="1">
      <c r="C610" s="7"/>
    </row>
    <row r="611" ht="15.75" customHeight="1">
      <c r="C611" s="7"/>
    </row>
    <row r="612" ht="15.75" customHeight="1">
      <c r="C612" s="7"/>
    </row>
    <row r="613" ht="15.75" customHeight="1">
      <c r="C613" s="7"/>
    </row>
    <row r="614" ht="15.75" customHeight="1">
      <c r="C614" s="7"/>
    </row>
    <row r="615" ht="15.75" customHeight="1">
      <c r="C615" s="7"/>
    </row>
    <row r="616" ht="15.75" customHeight="1">
      <c r="C616" s="7"/>
    </row>
    <row r="617" ht="15.75" customHeight="1">
      <c r="C617" s="7"/>
    </row>
    <row r="618" ht="15.75" customHeight="1">
      <c r="C618" s="7"/>
    </row>
    <row r="619" ht="15.75" customHeight="1">
      <c r="C619" s="7"/>
    </row>
    <row r="620" ht="15.75" customHeight="1">
      <c r="C620" s="7"/>
    </row>
    <row r="621" ht="15.75" customHeight="1">
      <c r="C621" s="7"/>
    </row>
    <row r="622" ht="15.75" customHeight="1">
      <c r="C622" s="7"/>
    </row>
    <row r="623" ht="15.75" customHeight="1">
      <c r="C623" s="7"/>
    </row>
    <row r="624" ht="15.75" customHeight="1">
      <c r="C624" s="7"/>
    </row>
    <row r="625" ht="15.75" customHeight="1">
      <c r="C625" s="7"/>
    </row>
    <row r="626" ht="15.75" customHeight="1">
      <c r="C626" s="7"/>
    </row>
    <row r="627" ht="15.75" customHeight="1">
      <c r="C627" s="7"/>
    </row>
    <row r="628" ht="15.75" customHeight="1">
      <c r="C628" s="7"/>
    </row>
    <row r="629" ht="15.75" customHeight="1">
      <c r="C629" s="7"/>
    </row>
    <row r="630" ht="15.75" customHeight="1">
      <c r="C630" s="7"/>
    </row>
    <row r="631" ht="15.75" customHeight="1">
      <c r="C631" s="7"/>
    </row>
    <row r="632" ht="15.75" customHeight="1">
      <c r="C632" s="7"/>
    </row>
    <row r="633" ht="15.75" customHeight="1">
      <c r="C633" s="7"/>
    </row>
    <row r="634" ht="15.75" customHeight="1">
      <c r="C634" s="7"/>
    </row>
    <row r="635" ht="15.75" customHeight="1">
      <c r="C635" s="7"/>
    </row>
    <row r="636" ht="15.75" customHeight="1">
      <c r="C636" s="7"/>
    </row>
    <row r="637" ht="15.75" customHeight="1">
      <c r="C637" s="7"/>
    </row>
    <row r="638" ht="15.75" customHeight="1">
      <c r="C638" s="7"/>
    </row>
    <row r="639" ht="15.75" customHeight="1">
      <c r="C639" s="7"/>
    </row>
    <row r="640" ht="15.75" customHeight="1">
      <c r="C640" s="7"/>
    </row>
    <row r="641" ht="15.75" customHeight="1">
      <c r="C641" s="7"/>
    </row>
    <row r="642" ht="15.75" customHeight="1">
      <c r="C642" s="7"/>
    </row>
    <row r="643" ht="15.75" customHeight="1">
      <c r="C643" s="7"/>
    </row>
    <row r="644" ht="15.75" customHeight="1">
      <c r="C644" s="7"/>
    </row>
    <row r="645" ht="15.75" customHeight="1">
      <c r="C645" s="7"/>
    </row>
    <row r="646" ht="15.75" customHeight="1">
      <c r="C646" s="7"/>
    </row>
    <row r="647" ht="15.75" customHeight="1">
      <c r="C647" s="7"/>
    </row>
    <row r="648" ht="15.75" customHeight="1">
      <c r="C648" s="7"/>
    </row>
    <row r="649" ht="15.75" customHeight="1">
      <c r="C649" s="7"/>
    </row>
    <row r="650" ht="15.75" customHeight="1">
      <c r="C650" s="7"/>
    </row>
    <row r="651" ht="15.75" customHeight="1">
      <c r="C651" s="7"/>
    </row>
    <row r="652" ht="15.75" customHeight="1">
      <c r="C652" s="7"/>
    </row>
    <row r="653" ht="15.75" customHeight="1">
      <c r="C653" s="7"/>
    </row>
    <row r="654" ht="15.75" customHeight="1">
      <c r="C654" s="7"/>
    </row>
    <row r="655" ht="15.75" customHeight="1">
      <c r="C655" s="7"/>
    </row>
    <row r="656" ht="15.75" customHeight="1">
      <c r="C656" s="7"/>
    </row>
    <row r="657" ht="15.75" customHeight="1">
      <c r="C657" s="7"/>
    </row>
    <row r="658" ht="15.75" customHeight="1">
      <c r="C658" s="7"/>
    </row>
    <row r="659" ht="15.75" customHeight="1">
      <c r="C659" s="7"/>
    </row>
    <row r="660" ht="15.75" customHeight="1">
      <c r="C660" s="7"/>
    </row>
    <row r="661" ht="15.75" customHeight="1">
      <c r="C661" s="7"/>
    </row>
    <row r="662" ht="15.75" customHeight="1">
      <c r="C662" s="7"/>
    </row>
    <row r="663" ht="15.75" customHeight="1">
      <c r="C663" s="7"/>
    </row>
    <row r="664" ht="15.75" customHeight="1">
      <c r="C664" s="7"/>
    </row>
    <row r="665" ht="15.75" customHeight="1">
      <c r="C665" s="7"/>
    </row>
    <row r="666" ht="15.75" customHeight="1">
      <c r="C666" s="7"/>
    </row>
    <row r="667" ht="15.75" customHeight="1">
      <c r="C667" s="7"/>
    </row>
    <row r="668" ht="15.75" customHeight="1">
      <c r="C668" s="7"/>
    </row>
    <row r="669" ht="15.75" customHeight="1">
      <c r="C669" s="7"/>
    </row>
    <row r="670" ht="15.75" customHeight="1">
      <c r="C670" s="7"/>
    </row>
    <row r="671" ht="15.75" customHeight="1">
      <c r="C671" s="7"/>
    </row>
    <row r="672" ht="15.75" customHeight="1">
      <c r="C672" s="7"/>
    </row>
    <row r="673" ht="15.75" customHeight="1">
      <c r="C673" s="7"/>
    </row>
    <row r="674" ht="15.75" customHeight="1">
      <c r="C674" s="7"/>
    </row>
    <row r="675" ht="15.75" customHeight="1">
      <c r="C675" s="7"/>
    </row>
    <row r="676" ht="15.75" customHeight="1">
      <c r="C676" s="7"/>
    </row>
    <row r="677" ht="15.75" customHeight="1">
      <c r="C677" s="7"/>
    </row>
    <row r="678" ht="15.75" customHeight="1">
      <c r="C678" s="7"/>
    </row>
    <row r="679" ht="15.75" customHeight="1">
      <c r="C679" s="7"/>
    </row>
    <row r="680" ht="15.75" customHeight="1">
      <c r="C680" s="7"/>
    </row>
    <row r="681" ht="15.75" customHeight="1">
      <c r="C681" s="7"/>
    </row>
    <row r="682" ht="15.75" customHeight="1">
      <c r="C682" s="7"/>
    </row>
    <row r="683" ht="15.75" customHeight="1">
      <c r="C683" s="7"/>
    </row>
    <row r="684" ht="15.75" customHeight="1">
      <c r="C684" s="7"/>
    </row>
    <row r="685" ht="15.75" customHeight="1">
      <c r="C685" s="7"/>
    </row>
    <row r="686" ht="15.75" customHeight="1">
      <c r="C686" s="7"/>
    </row>
    <row r="687" ht="15.75" customHeight="1">
      <c r="C687" s="7"/>
    </row>
    <row r="688" ht="15.75" customHeight="1">
      <c r="C688" s="7"/>
    </row>
    <row r="689" ht="15.75" customHeight="1">
      <c r="C689" s="7"/>
    </row>
    <row r="690" ht="15.75" customHeight="1">
      <c r="C690" s="7"/>
    </row>
    <row r="691" ht="15.75" customHeight="1">
      <c r="C691" s="7"/>
    </row>
    <row r="692" ht="15.75" customHeight="1">
      <c r="C692" s="7"/>
    </row>
    <row r="693" ht="15.75" customHeight="1">
      <c r="C693" s="7"/>
    </row>
    <row r="694" ht="15.75" customHeight="1">
      <c r="C694" s="7"/>
    </row>
    <row r="695" ht="15.75" customHeight="1">
      <c r="C695" s="7"/>
    </row>
    <row r="696" ht="15.75" customHeight="1">
      <c r="C696" s="7"/>
    </row>
    <row r="697" ht="15.75" customHeight="1">
      <c r="C697" s="7"/>
    </row>
    <row r="698" ht="15.75" customHeight="1">
      <c r="C698" s="7"/>
    </row>
    <row r="699" ht="15.75" customHeight="1">
      <c r="C699" s="7"/>
    </row>
    <row r="700" ht="15.75" customHeight="1">
      <c r="C700" s="7"/>
    </row>
    <row r="701" ht="15.75" customHeight="1">
      <c r="C701" s="7"/>
    </row>
    <row r="702" ht="15.75" customHeight="1">
      <c r="C702" s="7"/>
    </row>
    <row r="703" ht="15.75" customHeight="1">
      <c r="C703" s="7"/>
    </row>
    <row r="704" ht="15.75" customHeight="1">
      <c r="C704" s="7"/>
    </row>
    <row r="705" ht="15.75" customHeight="1">
      <c r="C705" s="7"/>
    </row>
    <row r="706" ht="15.75" customHeight="1">
      <c r="C706" s="7"/>
    </row>
    <row r="707" ht="15.75" customHeight="1">
      <c r="C707" s="7"/>
    </row>
    <row r="708" ht="15.75" customHeight="1">
      <c r="C708" s="7"/>
    </row>
    <row r="709" ht="15.75" customHeight="1">
      <c r="C709" s="7"/>
    </row>
    <row r="710" ht="15.75" customHeight="1">
      <c r="C710" s="7"/>
    </row>
    <row r="711" ht="15.75" customHeight="1">
      <c r="C711" s="7"/>
    </row>
    <row r="712" ht="15.75" customHeight="1">
      <c r="C712" s="7"/>
    </row>
    <row r="713" ht="15.75" customHeight="1">
      <c r="C713" s="7"/>
    </row>
    <row r="714" ht="15.75" customHeight="1">
      <c r="C714" s="7"/>
    </row>
    <row r="715" ht="15.75" customHeight="1">
      <c r="C715" s="7"/>
    </row>
    <row r="716" ht="15.75" customHeight="1">
      <c r="C716" s="7"/>
    </row>
    <row r="717" ht="15.75" customHeight="1">
      <c r="C717" s="7"/>
    </row>
    <row r="718" ht="15.75" customHeight="1">
      <c r="C718" s="7"/>
    </row>
    <row r="719" ht="15.75" customHeight="1">
      <c r="C719" s="7"/>
    </row>
    <row r="720" ht="15.75" customHeight="1">
      <c r="C720" s="7"/>
    </row>
    <row r="721" ht="15.75" customHeight="1">
      <c r="C721" s="7"/>
    </row>
    <row r="722" ht="15.75" customHeight="1">
      <c r="C722" s="7"/>
    </row>
    <row r="723" ht="15.75" customHeight="1">
      <c r="C723" s="7"/>
    </row>
    <row r="724" ht="15.75" customHeight="1">
      <c r="C724" s="7"/>
    </row>
    <row r="725" ht="15.75" customHeight="1">
      <c r="C725" s="7"/>
    </row>
    <row r="726" ht="15.75" customHeight="1">
      <c r="C726" s="7"/>
    </row>
    <row r="727" ht="15.75" customHeight="1">
      <c r="C727" s="7"/>
    </row>
    <row r="728" ht="15.75" customHeight="1">
      <c r="C728" s="7"/>
    </row>
    <row r="729" ht="15.75" customHeight="1">
      <c r="C729" s="7"/>
    </row>
    <row r="730" ht="15.75" customHeight="1">
      <c r="C730" s="7"/>
    </row>
    <row r="731" ht="15.75" customHeight="1">
      <c r="C731" s="7"/>
    </row>
    <row r="732" ht="15.75" customHeight="1">
      <c r="C732" s="7"/>
    </row>
    <row r="733" ht="15.75" customHeight="1">
      <c r="C733" s="7"/>
    </row>
    <row r="734" ht="15.75" customHeight="1">
      <c r="C734" s="7"/>
    </row>
    <row r="735" ht="15.75" customHeight="1">
      <c r="C735" s="7"/>
    </row>
    <row r="736" ht="15.75" customHeight="1">
      <c r="C736" s="7"/>
    </row>
    <row r="737" ht="15.75" customHeight="1">
      <c r="C737" s="7"/>
    </row>
    <row r="738" ht="15.75" customHeight="1">
      <c r="C738" s="7"/>
    </row>
    <row r="739" ht="15.75" customHeight="1">
      <c r="C739" s="7"/>
    </row>
    <row r="740" ht="15.75" customHeight="1">
      <c r="C740" s="7"/>
    </row>
    <row r="741" ht="15.75" customHeight="1">
      <c r="C741" s="7"/>
    </row>
    <row r="742" ht="15.75" customHeight="1">
      <c r="C742" s="7"/>
    </row>
    <row r="743" ht="15.75" customHeight="1">
      <c r="C743" s="7"/>
    </row>
    <row r="744" ht="15.75" customHeight="1">
      <c r="C744" s="7"/>
    </row>
    <row r="745" ht="15.75" customHeight="1">
      <c r="C745" s="7"/>
    </row>
    <row r="746" ht="15.75" customHeight="1">
      <c r="C746" s="7"/>
    </row>
    <row r="747" ht="15.75" customHeight="1">
      <c r="C747" s="7"/>
    </row>
    <row r="748" ht="15.75" customHeight="1">
      <c r="C748" s="7"/>
    </row>
    <row r="749" ht="15.75" customHeight="1">
      <c r="C749" s="7"/>
    </row>
    <row r="750" ht="15.75" customHeight="1">
      <c r="C750" s="7"/>
    </row>
    <row r="751" ht="15.75" customHeight="1">
      <c r="C751" s="7"/>
    </row>
    <row r="752" ht="15.75" customHeight="1">
      <c r="C752" s="7"/>
    </row>
    <row r="753" ht="15.75" customHeight="1">
      <c r="C753" s="7"/>
    </row>
    <row r="754" ht="15.75" customHeight="1">
      <c r="C754" s="7"/>
    </row>
    <row r="755" ht="15.75" customHeight="1">
      <c r="C755" s="7"/>
    </row>
    <row r="756" ht="15.75" customHeight="1">
      <c r="C756" s="7"/>
    </row>
    <row r="757" ht="15.75" customHeight="1">
      <c r="C757" s="7"/>
    </row>
    <row r="758" ht="15.75" customHeight="1">
      <c r="C758" s="7"/>
    </row>
    <row r="759" ht="15.75" customHeight="1">
      <c r="C759" s="7"/>
    </row>
    <row r="760" ht="15.75" customHeight="1">
      <c r="C760" s="7"/>
    </row>
    <row r="761" ht="15.75" customHeight="1">
      <c r="C761" s="7"/>
    </row>
    <row r="762" ht="15.75" customHeight="1">
      <c r="C762" s="7"/>
    </row>
    <row r="763" ht="15.75" customHeight="1">
      <c r="C763" s="7"/>
    </row>
    <row r="764" ht="15.75" customHeight="1">
      <c r="C764" s="7"/>
    </row>
    <row r="765" ht="15.75" customHeight="1">
      <c r="C765" s="7"/>
    </row>
    <row r="766" ht="15.75" customHeight="1">
      <c r="C766" s="7"/>
    </row>
    <row r="767" ht="15.75" customHeight="1">
      <c r="C767" s="7"/>
    </row>
    <row r="768" ht="15.75" customHeight="1">
      <c r="C768" s="7"/>
    </row>
    <row r="769" ht="15.75" customHeight="1">
      <c r="C769" s="7"/>
    </row>
    <row r="770" ht="15.75" customHeight="1">
      <c r="C770" s="7"/>
    </row>
    <row r="771" ht="15.75" customHeight="1">
      <c r="C771" s="7"/>
    </row>
    <row r="772" ht="15.75" customHeight="1">
      <c r="C772" s="7"/>
    </row>
    <row r="773" ht="15.75" customHeight="1">
      <c r="C773" s="7"/>
    </row>
    <row r="774" ht="15.75" customHeight="1">
      <c r="C774" s="7"/>
    </row>
    <row r="775" ht="15.75" customHeight="1">
      <c r="C775" s="7"/>
    </row>
    <row r="776" ht="15.75" customHeight="1">
      <c r="C776" s="7"/>
    </row>
    <row r="777" ht="15.75" customHeight="1">
      <c r="C777" s="7"/>
    </row>
    <row r="778" ht="15.75" customHeight="1">
      <c r="C778" s="7"/>
    </row>
    <row r="779" ht="15.75" customHeight="1">
      <c r="C779" s="7"/>
    </row>
    <row r="780" ht="15.75" customHeight="1">
      <c r="C780" s="7"/>
    </row>
    <row r="781" ht="15.75" customHeight="1">
      <c r="C781" s="7"/>
    </row>
    <row r="782" ht="15.75" customHeight="1">
      <c r="C782" s="7"/>
    </row>
    <row r="783" ht="15.75" customHeight="1">
      <c r="C783" s="7"/>
    </row>
    <row r="784" ht="15.75" customHeight="1">
      <c r="C784" s="7"/>
    </row>
    <row r="785" ht="15.75" customHeight="1">
      <c r="C785" s="7"/>
    </row>
    <row r="786" ht="15.75" customHeight="1">
      <c r="C786" s="7"/>
    </row>
    <row r="787" ht="15.75" customHeight="1">
      <c r="C787" s="7"/>
    </row>
    <row r="788" ht="15.75" customHeight="1">
      <c r="C788" s="7"/>
    </row>
    <row r="789" ht="15.75" customHeight="1">
      <c r="C789" s="7"/>
    </row>
    <row r="790" ht="15.75" customHeight="1">
      <c r="C790" s="7"/>
    </row>
    <row r="791" ht="15.75" customHeight="1">
      <c r="C791" s="7"/>
    </row>
    <row r="792" ht="15.75" customHeight="1">
      <c r="C792" s="7"/>
    </row>
    <row r="793" ht="15.75" customHeight="1">
      <c r="C793" s="7"/>
    </row>
    <row r="794" ht="15.75" customHeight="1">
      <c r="C794" s="7"/>
    </row>
    <row r="795" ht="15.75" customHeight="1">
      <c r="C795" s="7"/>
    </row>
    <row r="796" ht="15.75" customHeight="1">
      <c r="C796" s="7"/>
    </row>
    <row r="797" ht="15.75" customHeight="1">
      <c r="C797" s="7"/>
    </row>
    <row r="798" ht="15.75" customHeight="1">
      <c r="C798" s="7"/>
    </row>
    <row r="799" ht="15.75" customHeight="1">
      <c r="C799" s="7"/>
    </row>
    <row r="800" ht="15.75" customHeight="1">
      <c r="C800" s="7"/>
    </row>
    <row r="801" ht="15.75" customHeight="1">
      <c r="C801" s="7"/>
    </row>
    <row r="802" ht="15.75" customHeight="1">
      <c r="C802" s="7"/>
    </row>
    <row r="803" ht="15.75" customHeight="1">
      <c r="C803" s="7"/>
    </row>
    <row r="804" ht="15.75" customHeight="1">
      <c r="C804" s="7"/>
    </row>
    <row r="805" ht="15.75" customHeight="1">
      <c r="C805" s="7"/>
    </row>
    <row r="806" ht="15.75" customHeight="1">
      <c r="C806" s="7"/>
    </row>
    <row r="807" ht="15.75" customHeight="1">
      <c r="C807" s="7"/>
    </row>
    <row r="808" ht="15.75" customHeight="1">
      <c r="C808" s="7"/>
    </row>
    <row r="809" ht="15.75" customHeight="1">
      <c r="C809" s="7"/>
    </row>
    <row r="810" ht="15.75" customHeight="1">
      <c r="C810" s="7"/>
    </row>
    <row r="811" ht="15.75" customHeight="1">
      <c r="C811" s="7"/>
    </row>
    <row r="812" ht="15.75" customHeight="1">
      <c r="C812" s="7"/>
    </row>
    <row r="813" ht="15.75" customHeight="1">
      <c r="C813" s="7"/>
    </row>
    <row r="814" ht="15.75" customHeight="1">
      <c r="C814" s="7"/>
    </row>
    <row r="815" ht="15.75" customHeight="1">
      <c r="C815" s="7"/>
    </row>
    <row r="816" ht="15.75" customHeight="1">
      <c r="C816" s="7"/>
    </row>
    <row r="817" ht="15.75" customHeight="1">
      <c r="C817" s="7"/>
    </row>
    <row r="818" ht="15.75" customHeight="1">
      <c r="C818" s="7"/>
    </row>
    <row r="819" ht="15.75" customHeight="1">
      <c r="C819" s="7"/>
    </row>
    <row r="820" ht="15.75" customHeight="1">
      <c r="C820" s="7"/>
    </row>
    <row r="821" ht="15.75" customHeight="1">
      <c r="C821" s="7"/>
    </row>
    <row r="822" ht="15.75" customHeight="1">
      <c r="C822" s="7"/>
    </row>
    <row r="823" ht="15.75" customHeight="1">
      <c r="C823" s="7"/>
    </row>
    <row r="824" ht="15.75" customHeight="1">
      <c r="C824" s="7"/>
    </row>
    <row r="825" ht="15.75" customHeight="1">
      <c r="C825" s="7"/>
    </row>
    <row r="826" ht="15.75" customHeight="1">
      <c r="C826" s="7"/>
    </row>
    <row r="827" ht="15.75" customHeight="1">
      <c r="C827" s="7"/>
    </row>
    <row r="828" ht="15.75" customHeight="1">
      <c r="C828" s="7"/>
    </row>
    <row r="829" ht="15.75" customHeight="1">
      <c r="C829" s="7"/>
    </row>
    <row r="830" ht="15.75" customHeight="1">
      <c r="C830" s="7"/>
    </row>
    <row r="831" ht="15.75" customHeight="1">
      <c r="C831" s="7"/>
    </row>
    <row r="832" ht="15.75" customHeight="1">
      <c r="C832" s="7"/>
    </row>
    <row r="833" ht="15.75" customHeight="1">
      <c r="C833" s="7"/>
    </row>
    <row r="834" ht="15.75" customHeight="1">
      <c r="C834" s="7"/>
    </row>
    <row r="835" ht="15.75" customHeight="1">
      <c r="C835" s="7"/>
    </row>
    <row r="836" ht="15.75" customHeight="1">
      <c r="C836" s="7"/>
    </row>
    <row r="837" ht="15.75" customHeight="1">
      <c r="C837" s="7"/>
    </row>
    <row r="838" ht="15.75" customHeight="1">
      <c r="C838" s="7"/>
    </row>
    <row r="839" ht="15.75" customHeight="1">
      <c r="C839" s="7"/>
    </row>
    <row r="840" ht="15.75" customHeight="1">
      <c r="C840" s="7"/>
    </row>
    <row r="841" ht="15.75" customHeight="1">
      <c r="C841" s="7"/>
    </row>
    <row r="842" ht="15.75" customHeight="1">
      <c r="C842" s="7"/>
    </row>
    <row r="843" ht="15.75" customHeight="1">
      <c r="C843" s="7"/>
    </row>
    <row r="844" ht="15.75" customHeight="1">
      <c r="C844" s="7"/>
    </row>
    <row r="845" ht="15.75" customHeight="1">
      <c r="C845" s="7"/>
    </row>
    <row r="846" ht="15.75" customHeight="1">
      <c r="C846" s="7"/>
    </row>
    <row r="847" ht="15.75" customHeight="1">
      <c r="C847" s="7"/>
    </row>
    <row r="848" ht="15.75" customHeight="1">
      <c r="C848" s="7"/>
    </row>
    <row r="849" ht="15.75" customHeight="1">
      <c r="C849" s="7"/>
    </row>
    <row r="850" ht="15.75" customHeight="1">
      <c r="C850" s="7"/>
    </row>
    <row r="851" ht="15.75" customHeight="1">
      <c r="C851" s="7"/>
    </row>
    <row r="852" ht="15.75" customHeight="1">
      <c r="C852" s="7"/>
    </row>
    <row r="853" ht="15.75" customHeight="1">
      <c r="C853" s="7"/>
    </row>
    <row r="854" ht="15.75" customHeight="1">
      <c r="C854" s="7"/>
    </row>
    <row r="855" ht="15.75" customHeight="1">
      <c r="C855" s="7"/>
    </row>
    <row r="856" ht="15.75" customHeight="1">
      <c r="C856" s="7"/>
    </row>
    <row r="857" ht="15.75" customHeight="1">
      <c r="C857" s="7"/>
    </row>
    <row r="858" ht="15.75" customHeight="1">
      <c r="C858" s="7"/>
    </row>
    <row r="859" ht="15.75" customHeight="1">
      <c r="C859" s="7"/>
    </row>
    <row r="860" ht="15.75" customHeight="1">
      <c r="C860" s="7"/>
    </row>
    <row r="861" ht="15.75" customHeight="1">
      <c r="C861" s="7"/>
    </row>
    <row r="862" ht="15.75" customHeight="1">
      <c r="C862" s="7"/>
    </row>
    <row r="863" ht="15.75" customHeight="1">
      <c r="C863" s="7"/>
    </row>
    <row r="864" ht="15.75" customHeight="1">
      <c r="C864" s="7"/>
    </row>
    <row r="865" ht="15.75" customHeight="1">
      <c r="C865" s="7"/>
    </row>
    <row r="866" ht="15.75" customHeight="1">
      <c r="C866" s="7"/>
    </row>
    <row r="867" ht="15.75" customHeight="1">
      <c r="C867" s="7"/>
    </row>
    <row r="868" ht="15.75" customHeight="1">
      <c r="C868" s="7"/>
    </row>
    <row r="869" ht="15.75" customHeight="1">
      <c r="C869" s="7"/>
    </row>
    <row r="870" ht="15.75" customHeight="1">
      <c r="C870" s="7"/>
    </row>
    <row r="871" ht="15.75" customHeight="1">
      <c r="C871" s="7"/>
    </row>
    <row r="872" ht="15.75" customHeight="1">
      <c r="C872" s="7"/>
    </row>
    <row r="873" ht="15.75" customHeight="1">
      <c r="C873" s="7"/>
    </row>
    <row r="874" ht="15.75" customHeight="1">
      <c r="C874" s="7"/>
    </row>
    <row r="875" ht="15.75" customHeight="1">
      <c r="C875" s="7"/>
    </row>
    <row r="876" ht="15.75" customHeight="1">
      <c r="C876" s="7"/>
    </row>
    <row r="877" ht="15.75" customHeight="1">
      <c r="C877" s="7"/>
    </row>
    <row r="878" ht="15.75" customHeight="1">
      <c r="C878" s="7"/>
    </row>
    <row r="879" ht="15.75" customHeight="1">
      <c r="C879" s="7"/>
    </row>
    <row r="880" ht="15.75" customHeight="1">
      <c r="C880" s="7"/>
    </row>
    <row r="881" ht="15.75" customHeight="1">
      <c r="C881" s="7"/>
    </row>
    <row r="882" ht="15.75" customHeight="1">
      <c r="C882" s="7"/>
    </row>
    <row r="883" ht="15.75" customHeight="1">
      <c r="C883" s="7"/>
    </row>
    <row r="884" ht="15.75" customHeight="1">
      <c r="C884" s="7"/>
    </row>
    <row r="885" ht="15.75" customHeight="1">
      <c r="C885" s="7"/>
    </row>
    <row r="886" ht="15.75" customHeight="1">
      <c r="C886" s="7"/>
    </row>
    <row r="887" ht="15.75" customHeight="1">
      <c r="C887" s="7"/>
    </row>
    <row r="888" ht="15.75" customHeight="1">
      <c r="C888" s="7"/>
    </row>
    <row r="889" ht="15.75" customHeight="1">
      <c r="C889" s="7"/>
    </row>
    <row r="890" ht="15.75" customHeight="1">
      <c r="C890" s="7"/>
    </row>
    <row r="891" ht="15.75" customHeight="1">
      <c r="C891" s="7"/>
    </row>
    <row r="892" ht="15.75" customHeight="1">
      <c r="C892" s="7"/>
    </row>
    <row r="893" ht="15.75" customHeight="1">
      <c r="C893" s="7"/>
    </row>
    <row r="894" ht="15.75" customHeight="1">
      <c r="C894" s="7"/>
    </row>
    <row r="895" ht="15.75" customHeight="1">
      <c r="C895" s="7"/>
    </row>
    <row r="896" ht="15.75" customHeight="1">
      <c r="C896" s="7"/>
    </row>
    <row r="897" ht="15.75" customHeight="1">
      <c r="C897" s="7"/>
    </row>
    <row r="898" ht="15.75" customHeight="1">
      <c r="C898" s="7"/>
    </row>
    <row r="899" ht="15.75" customHeight="1">
      <c r="C899" s="7"/>
    </row>
    <row r="900" ht="15.75" customHeight="1">
      <c r="C900" s="7"/>
    </row>
    <row r="901" ht="15.75" customHeight="1">
      <c r="C901" s="7"/>
    </row>
    <row r="902" ht="15.75" customHeight="1">
      <c r="C902" s="7"/>
    </row>
    <row r="903" ht="15.75" customHeight="1">
      <c r="C903" s="7"/>
    </row>
    <row r="904" ht="15.75" customHeight="1">
      <c r="C904" s="7"/>
    </row>
    <row r="905" ht="15.75" customHeight="1">
      <c r="C905" s="7"/>
    </row>
    <row r="906" ht="15.75" customHeight="1">
      <c r="C906" s="7"/>
    </row>
    <row r="907" ht="15.75" customHeight="1">
      <c r="C907" s="7"/>
    </row>
    <row r="908" ht="15.75" customHeight="1">
      <c r="C908" s="7"/>
    </row>
    <row r="909" ht="15.75" customHeight="1">
      <c r="C909" s="7"/>
    </row>
    <row r="910" ht="15.75" customHeight="1">
      <c r="C910" s="7"/>
    </row>
    <row r="911" ht="15.75" customHeight="1">
      <c r="C911" s="7"/>
    </row>
    <row r="912" ht="15.75" customHeight="1">
      <c r="C912" s="7"/>
    </row>
    <row r="913" ht="15.75" customHeight="1">
      <c r="C913" s="7"/>
    </row>
    <row r="914" ht="15.75" customHeight="1">
      <c r="C914" s="7"/>
    </row>
    <row r="915" ht="15.75" customHeight="1">
      <c r="C915" s="7"/>
    </row>
    <row r="916" ht="15.75" customHeight="1">
      <c r="C916" s="7"/>
    </row>
    <row r="917" ht="15.75" customHeight="1">
      <c r="C917" s="7"/>
    </row>
    <row r="918" ht="15.75" customHeight="1">
      <c r="C918" s="7"/>
    </row>
    <row r="919" ht="15.75" customHeight="1">
      <c r="C919" s="7"/>
    </row>
    <row r="920" ht="15.75" customHeight="1">
      <c r="C920" s="7"/>
    </row>
    <row r="921" ht="15.75" customHeight="1">
      <c r="C921" s="7"/>
    </row>
    <row r="922" ht="15.75" customHeight="1">
      <c r="C922" s="7"/>
    </row>
    <row r="923" ht="15.75" customHeight="1">
      <c r="C923" s="7"/>
    </row>
    <row r="924" ht="15.75" customHeight="1">
      <c r="C924" s="7"/>
    </row>
    <row r="925" ht="15.75" customHeight="1">
      <c r="C925" s="7"/>
    </row>
    <row r="926" ht="15.75" customHeight="1">
      <c r="C926" s="7"/>
    </row>
    <row r="927" ht="15.75" customHeight="1">
      <c r="C927" s="7"/>
    </row>
    <row r="928" ht="15.75" customHeight="1">
      <c r="C928" s="7"/>
    </row>
    <row r="929" ht="15.75" customHeight="1">
      <c r="C929" s="7"/>
    </row>
    <row r="930" ht="15.75" customHeight="1">
      <c r="C930" s="7"/>
    </row>
    <row r="931" ht="15.75" customHeight="1">
      <c r="C931" s="7"/>
    </row>
    <row r="932" ht="15.75" customHeight="1">
      <c r="C932" s="7"/>
    </row>
    <row r="933" ht="15.75" customHeight="1">
      <c r="C933" s="7"/>
    </row>
    <row r="934" ht="15.75" customHeight="1">
      <c r="C934" s="7"/>
    </row>
    <row r="935" ht="15.75" customHeight="1">
      <c r="C935" s="7"/>
    </row>
    <row r="936" ht="15.75" customHeight="1">
      <c r="C936" s="7"/>
    </row>
    <row r="937" ht="15.75" customHeight="1">
      <c r="C937" s="7"/>
    </row>
    <row r="938" ht="15.75" customHeight="1">
      <c r="C938" s="7"/>
    </row>
    <row r="939" ht="15.75" customHeight="1">
      <c r="C939" s="7"/>
    </row>
    <row r="940" ht="15.75" customHeight="1">
      <c r="C940" s="7"/>
    </row>
    <row r="941" ht="15.75" customHeight="1">
      <c r="C941" s="7"/>
    </row>
    <row r="942" ht="15.75" customHeight="1">
      <c r="C942" s="7"/>
    </row>
    <row r="943" ht="15.75" customHeight="1">
      <c r="C943" s="7"/>
    </row>
    <row r="944" ht="15.75" customHeight="1">
      <c r="C944" s="7"/>
    </row>
    <row r="945" ht="15.75" customHeight="1">
      <c r="C945" s="7"/>
    </row>
    <row r="946" ht="15.75" customHeight="1">
      <c r="C946" s="7"/>
    </row>
    <row r="947" ht="15.75" customHeight="1">
      <c r="C947" s="7"/>
    </row>
    <row r="948" ht="15.75" customHeight="1">
      <c r="C948" s="7"/>
    </row>
    <row r="949" ht="15.75" customHeight="1">
      <c r="C949" s="7"/>
    </row>
    <row r="950" ht="15.75" customHeight="1">
      <c r="C950" s="7"/>
    </row>
    <row r="951" ht="15.75" customHeight="1">
      <c r="C951" s="7"/>
    </row>
    <row r="952" ht="15.75" customHeight="1">
      <c r="C952" s="7"/>
    </row>
    <row r="953" ht="15.75" customHeight="1">
      <c r="C953" s="7"/>
    </row>
    <row r="954" ht="15.75" customHeight="1">
      <c r="C954" s="7"/>
    </row>
    <row r="955" ht="15.75" customHeight="1">
      <c r="C955" s="7"/>
    </row>
    <row r="956" ht="15.75" customHeight="1">
      <c r="C956" s="7"/>
    </row>
    <row r="957" ht="15.75" customHeight="1">
      <c r="C957" s="7"/>
    </row>
    <row r="958" ht="15.75" customHeight="1">
      <c r="C958" s="7"/>
    </row>
    <row r="959" ht="15.75" customHeight="1">
      <c r="C959" s="7"/>
    </row>
    <row r="960" ht="15.75" customHeight="1">
      <c r="C960" s="7"/>
    </row>
    <row r="961" ht="15.75" customHeight="1">
      <c r="C961" s="7"/>
    </row>
    <row r="962" ht="15.75" customHeight="1">
      <c r="C962" s="7"/>
    </row>
    <row r="963" ht="15.75" customHeight="1">
      <c r="C963" s="7"/>
    </row>
    <row r="964" ht="15.75" customHeight="1">
      <c r="C964" s="7"/>
    </row>
    <row r="965" ht="15.75" customHeight="1">
      <c r="C965" s="7"/>
    </row>
    <row r="966" ht="15.75" customHeight="1">
      <c r="C966" s="7"/>
    </row>
    <row r="967" ht="15.75" customHeight="1">
      <c r="C967" s="7"/>
    </row>
    <row r="968" ht="15.75" customHeight="1">
      <c r="C968" s="7"/>
    </row>
    <row r="969" ht="15.75" customHeight="1">
      <c r="C969" s="7"/>
    </row>
    <row r="970" ht="15.75" customHeight="1">
      <c r="C970" s="7"/>
    </row>
    <row r="971" ht="15.75" customHeight="1">
      <c r="C971" s="7"/>
    </row>
    <row r="972" ht="15.75" customHeight="1">
      <c r="C972" s="7"/>
    </row>
    <row r="973" ht="15.75" customHeight="1">
      <c r="C973" s="7"/>
    </row>
    <row r="974" ht="15.75" customHeight="1">
      <c r="C974" s="7"/>
    </row>
    <row r="975" ht="15.75" customHeight="1">
      <c r="C975" s="7"/>
    </row>
    <row r="976" ht="15.75" customHeight="1">
      <c r="C976" s="7"/>
    </row>
    <row r="977" ht="15.75" customHeight="1">
      <c r="C977" s="7"/>
    </row>
    <row r="978" ht="15.75" customHeight="1">
      <c r="C978" s="7"/>
    </row>
    <row r="979" ht="15.75" customHeight="1">
      <c r="C979" s="7"/>
    </row>
    <row r="980" ht="15.75" customHeight="1">
      <c r="C980" s="7"/>
    </row>
    <row r="981" ht="15.75" customHeight="1">
      <c r="C981" s="7"/>
    </row>
    <row r="982" ht="15.75" customHeight="1">
      <c r="C982" s="7"/>
    </row>
    <row r="983" ht="15.75" customHeight="1">
      <c r="C983" s="7"/>
    </row>
    <row r="984" ht="15.75" customHeight="1">
      <c r="C984" s="7"/>
    </row>
    <row r="985" ht="15.75" customHeight="1">
      <c r="C985" s="7"/>
    </row>
    <row r="986" ht="15.75" customHeight="1">
      <c r="C986" s="7"/>
    </row>
    <row r="987" ht="15.75" customHeight="1">
      <c r="C987" s="7"/>
    </row>
    <row r="988" ht="15.75" customHeight="1">
      <c r="C988" s="7"/>
    </row>
    <row r="989" ht="15.75" customHeight="1">
      <c r="C989" s="7"/>
    </row>
    <row r="990" ht="15.75" customHeight="1">
      <c r="C990" s="7"/>
    </row>
    <row r="991" ht="15.75" customHeight="1">
      <c r="C991" s="7"/>
    </row>
    <row r="992" ht="15.75" customHeight="1">
      <c r="C992" s="7"/>
    </row>
    <row r="993" ht="15.75" customHeight="1">
      <c r="C993" s="7"/>
    </row>
    <row r="994" ht="15.75" customHeight="1">
      <c r="C994" s="7"/>
    </row>
    <row r="995" ht="15.75" customHeight="1">
      <c r="C995" s="7"/>
    </row>
    <row r="996" ht="15.75" customHeight="1">
      <c r="C996" s="7"/>
    </row>
    <row r="997" ht="15.75" customHeight="1">
      <c r="C997" s="7"/>
    </row>
    <row r="998" ht="15.75" customHeight="1">
      <c r="C998" s="7"/>
    </row>
    <row r="999" ht="15.75" customHeight="1">
      <c r="C999" s="7"/>
    </row>
    <row r="1000" ht="15.75" customHeight="1">
      <c r="C1000" s="7"/>
    </row>
  </sheetData>
  <mergeCells count="7">
    <mergeCell ref="A1:B1"/>
    <mergeCell ref="A2:B2"/>
    <mergeCell ref="A3:B3"/>
    <mergeCell ref="A4:B4"/>
    <mergeCell ref="A10:B10"/>
    <mergeCell ref="A91:B91"/>
    <mergeCell ref="A92:C92"/>
  </mergeCells>
  <conditionalFormatting sqref="B6:C6 H6 L6">
    <cfRule type="expression" dxfId="0" priority="1" stopIfTrue="1">
      <formula>$A6="begin group"</formula>
    </cfRule>
  </conditionalFormatting>
  <conditionalFormatting sqref="B6:C6 L6 S6">
    <cfRule type="expression" dxfId="1" priority="2" stopIfTrue="1">
      <formula>$A6="begin repeat"</formula>
    </cfRule>
  </conditionalFormatting>
  <conditionalFormatting sqref="B6:F6 H6">
    <cfRule type="expression" dxfId="2" priority="3" stopIfTrue="1">
      <formula>$A6="text"</formula>
    </cfRule>
  </conditionalFormatting>
  <conditionalFormatting sqref="B6:F6 I6:J6">
    <cfRule type="expression" dxfId="3" priority="4" stopIfTrue="1">
      <formula>$A6="integer"</formula>
    </cfRule>
  </conditionalFormatting>
  <conditionalFormatting sqref="B6:F6 I6:J6">
    <cfRule type="expression" dxfId="4" priority="5" stopIfTrue="1">
      <formula>$A6="decimal"</formula>
    </cfRule>
  </conditionalFormatting>
  <conditionalFormatting sqref="B6:C6 H6">
    <cfRule type="expression" dxfId="5" priority="6" stopIfTrue="1">
      <formula>OR(AND(LEFT($A6, 16)="select_multiple ", LEN($A6)&gt;16, NOT(ISNUMBER(SEARCH(" ", $A6, 17)))), AND(LEFT($A6, 11)="select_one ", LEN($A6)&gt;11, NOT(ISNUMBER(SEARCH(" ", $A6, 12)))))</formula>
    </cfRule>
  </conditionalFormatting>
  <conditionalFormatting sqref="B6 H6">
    <cfRule type="expression" dxfId="6" priority="7" stopIfTrue="1">
      <formula>OR($A6="audio audit", $A6="text audit")</formula>
    </cfRule>
  </conditionalFormatting>
  <conditionalFormatting sqref="B6:C6">
    <cfRule type="expression" dxfId="7" priority="8" stopIfTrue="1">
      <formula>$A6="note"</formula>
    </cfRule>
  </conditionalFormatting>
  <conditionalFormatting sqref="B6:C6">
    <cfRule type="expression" dxfId="8" priority="9" stopIfTrue="1">
      <formula>$A6="barcode"</formula>
    </cfRule>
  </conditionalFormatting>
  <conditionalFormatting sqref="B6:C6">
    <cfRule type="expression" dxfId="9" priority="10" stopIfTrue="1">
      <formula>$A6="geopoint"</formula>
    </cfRule>
  </conditionalFormatting>
  <conditionalFormatting sqref="B6 R6">
    <cfRule type="expression" dxfId="10" priority="11" stopIfTrue="1">
      <formula>OR($A6="calculate", $A6="calculate_here")</formula>
    </cfRule>
  </conditionalFormatting>
  <conditionalFormatting sqref="B6:C6 H6">
    <cfRule type="expression" dxfId="11" priority="12" stopIfTrue="1">
      <formula>OR($A6="date", $A6="datetime")</formula>
    </cfRule>
  </conditionalFormatting>
  <conditionalFormatting sqref="B6:C6 H6">
    <cfRule type="expression" dxfId="12" priority="13" stopIfTrue="1">
      <formula>$A6="image"</formula>
    </cfRule>
  </conditionalFormatting>
  <conditionalFormatting sqref="B6:C6">
    <cfRule type="expression" dxfId="13" priority="14" stopIfTrue="1">
      <formula>OR($A6="audio", $A6="video")</formula>
    </cfRule>
  </conditionalFormatting>
  <conditionalFormatting sqref="A6:J6 L6:O6 Q6:S6 W6:AD6">
    <cfRule type="expression" dxfId="14" priority="15" stopIfTrue="1">
      <formula>$A6="comments"</formula>
    </cfRule>
  </conditionalFormatting>
  <conditionalFormatting sqref="A6:J6 L6:O6 Q6:S6 W6:AD6">
    <cfRule type="expression" dxfId="15" priority="16" stopIfTrue="1">
      <formula>OR($A6="audio", $A6="video")</formula>
    </cfRule>
  </conditionalFormatting>
  <conditionalFormatting sqref="A6:J6 L6:O6 Q6:S6 W6:AD6">
    <cfRule type="expression" dxfId="16" priority="17" stopIfTrue="1">
      <formula>$A6="image"</formula>
    </cfRule>
  </conditionalFormatting>
  <conditionalFormatting sqref="A6:J6 L6:O6 Q6:S6 W6:AD6">
    <cfRule type="expression" dxfId="17" priority="18" stopIfTrue="1">
      <formula>OR($A6="date", $A6="datetime")</formula>
    </cfRule>
  </conditionalFormatting>
  <conditionalFormatting sqref="A6:J6 L6:O6 Q6:S6 W6:AD6">
    <cfRule type="expression" dxfId="18" priority="19" stopIfTrue="1">
      <formula>OR($A6="calculate", $A6="calculate_here")</formula>
    </cfRule>
  </conditionalFormatting>
  <conditionalFormatting sqref="A6:J6 L6:O6 Q6:S6 W6:AD6">
    <cfRule type="expression" dxfId="19" priority="20" stopIfTrue="1">
      <formula>$A6="note"</formula>
    </cfRule>
  </conditionalFormatting>
  <conditionalFormatting sqref="A6:J6 L6:O6 Q6:S6 W6:AD6">
    <cfRule type="expression" dxfId="20" priority="21" stopIfTrue="1">
      <formula>$A6="barcode"</formula>
    </cfRule>
  </conditionalFormatting>
  <conditionalFormatting sqref="A6:J6 L6:O6 Q6:S6 W6:AD6">
    <cfRule type="expression" dxfId="21" priority="22" stopIfTrue="1">
      <formula>$A6="geopoint"</formula>
    </cfRule>
  </conditionalFormatting>
  <conditionalFormatting sqref="A6:J6 L6:O6 Q6:S6 W6:AD6">
    <cfRule type="expression" dxfId="22" priority="23" stopIfTrue="1">
      <formula>OR($A6="audio audit", $A6="text audit")</formula>
    </cfRule>
  </conditionalFormatting>
  <conditionalFormatting sqref="A6:J6 L6:O6 Q6:S6 W6:AD6">
    <cfRule type="expression" dxfId="23" priority="24" stopIfTrue="1">
      <formula>OR($A6="phonenumber", $A6="start", $A6="end", $A6="deviceid", $A6="subscriberid", $A6="simserial")</formula>
    </cfRule>
  </conditionalFormatting>
  <conditionalFormatting sqref="A6:J6 L6:O6 Q6:S6 W6:AD6">
    <cfRule type="expression" dxfId="24" priority="25" stopIfTrue="1">
      <formula>OR(AND(LEFT($A6, 16)="select_multiple ", LEN($A6)&gt;16, NOT(ISNUMBER(SEARCH(" ", $A6, 17)))), AND(LEFT($A6, 11)="select_one ", LEN($A6)&gt;11, NOT(ISNUMBER(SEARCH(" ", $A6, 12)))))</formula>
    </cfRule>
  </conditionalFormatting>
  <conditionalFormatting sqref="A6:J6 L6:O6 Q6:S6 W6:AD6">
    <cfRule type="expression" dxfId="25" priority="26" stopIfTrue="1">
      <formula>$A6="decimal"</formula>
    </cfRule>
  </conditionalFormatting>
  <conditionalFormatting sqref="A6:J6 L6:O6 Q6:S6 W6:AD6">
    <cfRule type="expression" dxfId="26" priority="27" stopIfTrue="1">
      <formula>$A6="integer"</formula>
    </cfRule>
  </conditionalFormatting>
  <conditionalFormatting sqref="A6:J6 L6:O6 Q6:S6 W6:AD6">
    <cfRule type="expression" dxfId="27" priority="28" stopIfTrue="1">
      <formula>$A6="text"</formula>
    </cfRule>
  </conditionalFormatting>
  <conditionalFormatting sqref="A6:J6 L6:O6 Q6:S6 W6:AD6">
    <cfRule type="expression" dxfId="28" priority="29" stopIfTrue="1">
      <formula>$A6="end repeat"</formula>
    </cfRule>
  </conditionalFormatting>
  <conditionalFormatting sqref="A6:J6 L6:O6 Q6:S6 W6:AD6">
    <cfRule type="expression" dxfId="28" priority="30" stopIfTrue="1">
      <formula>$A6="begin repeat"</formula>
    </cfRule>
  </conditionalFormatting>
  <conditionalFormatting sqref="A6:J6 L6:O6 Q6:S6 W6:AD6">
    <cfRule type="expression" dxfId="29" priority="31" stopIfTrue="1">
      <formula>$A6="end group"</formula>
    </cfRule>
  </conditionalFormatting>
  <conditionalFormatting sqref="A6:J6 L6:O6 Q6:S6 W6:AD6">
    <cfRule type="expression" dxfId="29" priority="32" stopIfTrue="1">
      <formula>$A6="begin group"</formula>
    </cfRule>
  </conditionalFormatting>
  <conditionalFormatting sqref="B6">
    <cfRule type="expression" dxfId="30" priority="33" stopIfTrue="1">
      <formula>$A6="comments"</formula>
    </cfRule>
  </conditionalFormatting>
  <conditionalFormatting sqref="T6:V6">
    <cfRule type="expression" dxfId="14" priority="34" stopIfTrue="1">
      <formula>$A6="comments"</formula>
    </cfRule>
  </conditionalFormatting>
  <conditionalFormatting sqref="T6:V6">
    <cfRule type="expression" dxfId="15" priority="35" stopIfTrue="1">
      <formula>OR($A6="audio", $A6="video")</formula>
    </cfRule>
  </conditionalFormatting>
  <conditionalFormatting sqref="T6:V6">
    <cfRule type="expression" dxfId="16" priority="36" stopIfTrue="1">
      <formula>$A6="image"</formula>
    </cfRule>
  </conditionalFormatting>
  <conditionalFormatting sqref="T6:V6">
    <cfRule type="expression" dxfId="17" priority="37" stopIfTrue="1">
      <formula>OR($A6="date", $A6="datetime")</formula>
    </cfRule>
  </conditionalFormatting>
  <conditionalFormatting sqref="T6:V6">
    <cfRule type="expression" dxfId="18" priority="38" stopIfTrue="1">
      <formula>OR($A6="calculate", $A6="calculate_here")</formula>
    </cfRule>
  </conditionalFormatting>
  <conditionalFormatting sqref="T6:V6">
    <cfRule type="expression" dxfId="19" priority="39" stopIfTrue="1">
      <formula>$A6="note"</formula>
    </cfRule>
  </conditionalFormatting>
  <conditionalFormatting sqref="T6:V6">
    <cfRule type="expression" dxfId="20" priority="40" stopIfTrue="1">
      <formula>$A6="barcode"</formula>
    </cfRule>
  </conditionalFormatting>
  <conditionalFormatting sqref="T6:V6">
    <cfRule type="expression" dxfId="21" priority="41" stopIfTrue="1">
      <formula>$A6="geopoint"</formula>
    </cfRule>
  </conditionalFormatting>
  <conditionalFormatting sqref="T6:V6">
    <cfRule type="expression" dxfId="22" priority="42" stopIfTrue="1">
      <formula>OR($A6="audio audit", $A6="text audit")</formula>
    </cfRule>
  </conditionalFormatting>
  <conditionalFormatting sqref="T6:V6">
    <cfRule type="expression" dxfId="23" priority="43" stopIfTrue="1">
      <formula>OR($A6="phonenumber", $A6="start", $A6="end", $A6="deviceid", $A6="subscriberid", $A6="simserial")</formula>
    </cfRule>
  </conditionalFormatting>
  <conditionalFormatting sqref="T6:V6">
    <cfRule type="expression" dxfId="24" priority="44" stopIfTrue="1">
      <formula>OR(AND(LEFT($A6, 16)="select_multiple ", LEN($A6)&gt;16, NOT(ISNUMBER(SEARCH(" ", $A6, 17)))), AND(LEFT($A6, 11)="select_one ", LEN($A6)&gt;11, NOT(ISNUMBER(SEARCH(" ", $A6, 12)))))</formula>
    </cfRule>
  </conditionalFormatting>
  <conditionalFormatting sqref="T6:V6">
    <cfRule type="expression" dxfId="25" priority="45" stopIfTrue="1">
      <formula>$A6="decimal"</formula>
    </cfRule>
  </conditionalFormatting>
  <conditionalFormatting sqref="T6:V6">
    <cfRule type="expression" dxfId="26" priority="46" stopIfTrue="1">
      <formula>$A6="integer"</formula>
    </cfRule>
  </conditionalFormatting>
  <conditionalFormatting sqref="T6:V6">
    <cfRule type="expression" dxfId="27" priority="47" stopIfTrue="1">
      <formula>$A6="text"</formula>
    </cfRule>
  </conditionalFormatting>
  <conditionalFormatting sqref="T6:V6">
    <cfRule type="expression" dxfId="28" priority="48" stopIfTrue="1">
      <formula>$A6="end repeat"</formula>
    </cfRule>
  </conditionalFormatting>
  <conditionalFormatting sqref="T6:V6">
    <cfRule type="expression" dxfId="28" priority="49" stopIfTrue="1">
      <formula>$A6="begin repeat"</formula>
    </cfRule>
  </conditionalFormatting>
  <conditionalFormatting sqref="T6:V6">
    <cfRule type="expression" dxfId="29" priority="50" stopIfTrue="1">
      <formula>$A6="end group"</formula>
    </cfRule>
  </conditionalFormatting>
  <conditionalFormatting sqref="T6:V6">
    <cfRule type="expression" dxfId="29" priority="51" stopIfTrue="1">
      <formula>$A6="begin group"</formula>
    </cfRule>
  </conditionalFormatting>
  <conditionalFormatting sqref="D6">
    <cfRule type="expression" dxfId="0" priority="52" stopIfTrue="1">
      <formula>$A6="begin group"</formula>
    </cfRule>
  </conditionalFormatting>
  <conditionalFormatting sqref="D6">
    <cfRule type="expression" dxfId="1" priority="53" stopIfTrue="1">
      <formula>$A6="begin repeat"</formula>
    </cfRule>
  </conditionalFormatting>
  <conditionalFormatting sqref="D6">
    <cfRule type="expression" dxfId="5" priority="54" stopIfTrue="1">
      <formula>OR(AND(LEFT($A6, 16)="select_multiple ", LEN($A6)&gt;16, NOT(ISNUMBER(SEARCH(" ", $A6, 17)))), AND(LEFT($A6, 11)="select_one ", LEN($A6)&gt;11, NOT(ISNUMBER(SEARCH(" ", $A6, 12)))))</formula>
    </cfRule>
  </conditionalFormatting>
  <conditionalFormatting sqref="D6">
    <cfRule type="expression" dxfId="7" priority="55" stopIfTrue="1">
      <formula>$A6="note"</formula>
    </cfRule>
  </conditionalFormatting>
  <conditionalFormatting sqref="D6">
    <cfRule type="expression" dxfId="8" priority="56" stopIfTrue="1">
      <formula>$A6="barcode"</formula>
    </cfRule>
  </conditionalFormatting>
  <conditionalFormatting sqref="D6">
    <cfRule type="expression" dxfId="9" priority="57" stopIfTrue="1">
      <formula>$A6="geopoint"</formula>
    </cfRule>
  </conditionalFormatting>
  <conditionalFormatting sqref="D6">
    <cfRule type="expression" dxfId="11" priority="58" stopIfTrue="1">
      <formula>OR($A6="date", $A6="datetime")</formula>
    </cfRule>
  </conditionalFormatting>
  <conditionalFormatting sqref="D6">
    <cfRule type="expression" dxfId="12" priority="59" stopIfTrue="1">
      <formula>$A6="image"</formula>
    </cfRule>
  </conditionalFormatting>
  <conditionalFormatting sqref="D6">
    <cfRule type="expression" dxfId="13" priority="60" stopIfTrue="1">
      <formula>OR($A6="audio", $A6="video")</formula>
    </cfRule>
  </conditionalFormatting>
  <conditionalFormatting sqref="K6">
    <cfRule type="expression" dxfId="3" priority="61" stopIfTrue="1">
      <formula>$A6="integer"</formula>
    </cfRule>
  </conditionalFormatting>
  <conditionalFormatting sqref="K6">
    <cfRule type="expression" dxfId="4" priority="62" stopIfTrue="1">
      <formula>$A6="decimal"</formula>
    </cfRule>
  </conditionalFormatting>
  <conditionalFormatting sqref="K6">
    <cfRule type="expression" dxfId="14" priority="63" stopIfTrue="1">
      <formula>$A6="comments"</formula>
    </cfRule>
  </conditionalFormatting>
  <conditionalFormatting sqref="K6">
    <cfRule type="expression" dxfId="15" priority="64" stopIfTrue="1">
      <formula>OR($A6="audio", $A6="video")</formula>
    </cfRule>
  </conditionalFormatting>
  <conditionalFormatting sqref="K6">
    <cfRule type="expression" dxfId="16" priority="65" stopIfTrue="1">
      <formula>$A6="image"</formula>
    </cfRule>
  </conditionalFormatting>
  <conditionalFormatting sqref="K6">
    <cfRule type="expression" dxfId="17" priority="66" stopIfTrue="1">
      <formula>OR($A6="date", $A6="datetime")</formula>
    </cfRule>
  </conditionalFormatting>
  <conditionalFormatting sqref="K6">
    <cfRule type="expression" dxfId="18" priority="67" stopIfTrue="1">
      <formula>OR($A6="calculate", $A6="calculate_here")</formula>
    </cfRule>
  </conditionalFormatting>
  <conditionalFormatting sqref="K6">
    <cfRule type="expression" dxfId="19" priority="68" stopIfTrue="1">
      <formula>$A6="note"</formula>
    </cfRule>
  </conditionalFormatting>
  <conditionalFormatting sqref="K6">
    <cfRule type="expression" dxfId="20" priority="69" stopIfTrue="1">
      <formula>$A6="barcode"</formula>
    </cfRule>
  </conditionalFormatting>
  <conditionalFormatting sqref="K6">
    <cfRule type="expression" dxfId="21" priority="70" stopIfTrue="1">
      <formula>$A6="geopoint"</formula>
    </cfRule>
  </conditionalFormatting>
  <conditionalFormatting sqref="K6">
    <cfRule type="expression" dxfId="22" priority="71" stopIfTrue="1">
      <formula>OR($A6="audio audit", $A6="text audit")</formula>
    </cfRule>
  </conditionalFormatting>
  <conditionalFormatting sqref="K6">
    <cfRule type="expression" dxfId="23" priority="72" stopIfTrue="1">
      <formula>OR($A6="phonenumber", $A6="start", $A6="end", $A6="deviceid", $A6="subscriberid", $A6="simserial")</formula>
    </cfRule>
  </conditionalFormatting>
  <conditionalFormatting sqref="K6">
    <cfRule type="expression" dxfId="24" priority="73" stopIfTrue="1">
      <formula>OR(AND(LEFT($A6, 16)="select_multiple ", LEN($A6)&gt;16, NOT(ISNUMBER(SEARCH(" ", $A6, 17)))), AND(LEFT($A6, 11)="select_one ", LEN($A6)&gt;11, NOT(ISNUMBER(SEARCH(" ", $A6, 12)))))</formula>
    </cfRule>
  </conditionalFormatting>
  <conditionalFormatting sqref="K6">
    <cfRule type="expression" dxfId="25" priority="74" stopIfTrue="1">
      <formula>$A6="decimal"</formula>
    </cfRule>
  </conditionalFormatting>
  <conditionalFormatting sqref="K6">
    <cfRule type="expression" dxfId="26" priority="75" stopIfTrue="1">
      <formula>$A6="integer"</formula>
    </cfRule>
  </conditionalFormatting>
  <conditionalFormatting sqref="K6">
    <cfRule type="expression" dxfId="27" priority="76" stopIfTrue="1">
      <formula>$A6="text"</formula>
    </cfRule>
  </conditionalFormatting>
  <conditionalFormatting sqref="K6">
    <cfRule type="expression" dxfId="28" priority="77" stopIfTrue="1">
      <formula>$A6="end repeat"</formula>
    </cfRule>
  </conditionalFormatting>
  <conditionalFormatting sqref="K6">
    <cfRule type="expression" dxfId="28" priority="78" stopIfTrue="1">
      <formula>$A6="begin repeat"</formula>
    </cfRule>
  </conditionalFormatting>
  <conditionalFormatting sqref="K6">
    <cfRule type="expression" dxfId="29" priority="79" stopIfTrue="1">
      <formula>$A6="end group"</formula>
    </cfRule>
  </conditionalFormatting>
  <conditionalFormatting sqref="K6">
    <cfRule type="expression" dxfId="29" priority="80" stopIfTrue="1">
      <formula>$A6="begin group"</formula>
    </cfRule>
  </conditionalFormatting>
  <conditionalFormatting sqref="P6">
    <cfRule type="expression" dxfId="14" priority="81" stopIfTrue="1">
      <formula>$A6="comments"</formula>
    </cfRule>
  </conditionalFormatting>
  <conditionalFormatting sqref="P6">
    <cfRule type="expression" dxfId="15" priority="82" stopIfTrue="1">
      <formula>OR($A6="audio", $A6="video")</formula>
    </cfRule>
  </conditionalFormatting>
  <conditionalFormatting sqref="P6">
    <cfRule type="expression" dxfId="16" priority="83" stopIfTrue="1">
      <formula>$A6="image"</formula>
    </cfRule>
  </conditionalFormatting>
  <conditionalFormatting sqref="P6">
    <cfRule type="expression" dxfId="17" priority="84" stopIfTrue="1">
      <formula>OR($A6="date", $A6="datetime")</formula>
    </cfRule>
  </conditionalFormatting>
  <conditionalFormatting sqref="P6">
    <cfRule type="expression" dxfId="18" priority="85" stopIfTrue="1">
      <formula>OR($A6="calculate", $A6="calculate_here")</formula>
    </cfRule>
  </conditionalFormatting>
  <conditionalFormatting sqref="P6">
    <cfRule type="expression" dxfId="19" priority="86" stopIfTrue="1">
      <formula>$A6="note"</formula>
    </cfRule>
  </conditionalFormatting>
  <conditionalFormatting sqref="P6">
    <cfRule type="expression" dxfId="20" priority="87" stopIfTrue="1">
      <formula>$A6="barcode"</formula>
    </cfRule>
  </conditionalFormatting>
  <conditionalFormatting sqref="P6">
    <cfRule type="expression" dxfId="21" priority="88" stopIfTrue="1">
      <formula>$A6="geopoint"</formula>
    </cfRule>
  </conditionalFormatting>
  <conditionalFormatting sqref="P6">
    <cfRule type="expression" dxfId="22" priority="89" stopIfTrue="1">
      <formula>OR($A6="audio audit", $A6="text audit")</formula>
    </cfRule>
  </conditionalFormatting>
  <conditionalFormatting sqref="P6">
    <cfRule type="expression" dxfId="23" priority="90" stopIfTrue="1">
      <formula>OR($A6="phonenumber", $A6="start", $A6="end", $A6="deviceid", $A6="subscriberid", $A6="simserial")</formula>
    </cfRule>
  </conditionalFormatting>
  <conditionalFormatting sqref="P6">
    <cfRule type="expression" dxfId="24" priority="91" stopIfTrue="1">
      <formula>OR(AND(LEFT($A6, 16)="select_multiple ", LEN($A6)&gt;16, NOT(ISNUMBER(SEARCH(" ", $A6, 17)))), AND(LEFT($A6, 11)="select_one ", LEN($A6)&gt;11, NOT(ISNUMBER(SEARCH(" ", $A6, 12)))))</formula>
    </cfRule>
  </conditionalFormatting>
  <conditionalFormatting sqref="P6">
    <cfRule type="expression" dxfId="25" priority="92" stopIfTrue="1">
      <formula>$A6="decimal"</formula>
    </cfRule>
  </conditionalFormatting>
  <conditionalFormatting sqref="P6">
    <cfRule type="expression" dxfId="26" priority="93" stopIfTrue="1">
      <formula>$A6="integer"</formula>
    </cfRule>
  </conditionalFormatting>
  <conditionalFormatting sqref="P6">
    <cfRule type="expression" dxfId="27" priority="94" stopIfTrue="1">
      <formula>$A6="text"</formula>
    </cfRule>
  </conditionalFormatting>
  <conditionalFormatting sqref="P6">
    <cfRule type="expression" dxfId="28" priority="95" stopIfTrue="1">
      <formula>$A6="end repeat"</formula>
    </cfRule>
  </conditionalFormatting>
  <conditionalFormatting sqref="P6">
    <cfRule type="expression" dxfId="28" priority="96" stopIfTrue="1">
      <formula>$A6="begin repeat"</formula>
    </cfRule>
  </conditionalFormatting>
  <conditionalFormatting sqref="P6">
    <cfRule type="expression" dxfId="29" priority="97" stopIfTrue="1">
      <formula>$A6="end group"</formula>
    </cfRule>
  </conditionalFormatting>
  <conditionalFormatting sqref="P6">
    <cfRule type="expression" dxfId="29" priority="98" stopIfTrue="1">
      <formula>$A6="begin group"</formula>
    </cfRule>
  </conditionalFormatting>
  <hyperlinks>
    <hyperlink r:id="rId1" ref="D8"/>
    <hyperlink r:id="rId2" ref="F8"/>
    <hyperlink r:id="rId3" ref="G8"/>
    <hyperlink r:id="rId4" ref="I8"/>
    <hyperlink r:id="rId5" ref="J8"/>
    <hyperlink r:id="rId6" ref="L8"/>
    <hyperlink r:id="rId7" ref="M8"/>
    <hyperlink r:id="rId8" ref="N8"/>
    <hyperlink r:id="rId9" ref="O8"/>
    <hyperlink r:id="rId10" ref="Q8"/>
    <hyperlink r:id="rId11" ref="R8"/>
    <hyperlink r:id="rId12" ref="S8"/>
    <hyperlink r:id="rId13" ref="T8"/>
    <hyperlink r:id="rId14" ref="U8"/>
    <hyperlink r:id="rId15" ref="V8"/>
    <hyperlink r:id="rId16" ref="W8"/>
    <hyperlink r:id="rId17" ref="X8"/>
    <hyperlink r:id="rId18" ref="Y8"/>
    <hyperlink r:id="rId19" ref="Z8"/>
    <hyperlink r:id="rId20" ref="AA8"/>
    <hyperlink r:id="rId21" ref="AB8"/>
    <hyperlink r:id="rId22" ref="AC8"/>
    <hyperlink r:id="rId23" ref="AD8"/>
    <hyperlink r:id="rId24" ref="A12"/>
    <hyperlink r:id="rId25" ref="A13"/>
    <hyperlink r:id="rId26" ref="A14"/>
    <hyperlink r:id="rId27" ref="A15"/>
    <hyperlink r:id="rId28" ref="A18"/>
    <hyperlink r:id="rId29" ref="A19"/>
    <hyperlink r:id="rId30" ref="A44"/>
    <hyperlink r:id="rId31" ref="A45"/>
    <hyperlink r:id="rId32" ref="A46"/>
    <hyperlink r:id="rId33" ref="A47"/>
    <hyperlink r:id="rId34" ref="A57"/>
    <hyperlink r:id="rId35" ref="A58"/>
    <hyperlink r:id="rId36" ref="A59"/>
    <hyperlink r:id="rId37" ref="A60"/>
    <hyperlink r:id="rId38" ref="A61"/>
    <hyperlink r:id="rId39" ref="A62"/>
    <hyperlink r:id="rId40" ref="A63"/>
    <hyperlink r:id="rId41" ref="A64"/>
    <hyperlink r:id="rId42" ref="A65"/>
    <hyperlink r:id="rId43" ref="A66"/>
    <hyperlink r:id="rId44" ref="A67"/>
    <hyperlink r:id="rId45" ref="A68"/>
    <hyperlink r:id="rId46" ref="A71"/>
    <hyperlink r:id="rId47" ref="A76"/>
    <hyperlink r:id="rId48" ref="A79"/>
    <hyperlink r:id="rId49" ref="A82"/>
    <hyperlink r:id="rId50" ref="A88"/>
    <hyperlink r:id="rId51" ref="A89"/>
    <hyperlink r:id="rId52" ref="A92"/>
  </hyperlinks>
  <printOptions/>
  <pageMargins bottom="1.0" footer="0.0" header="0.0" left="0.75" right="0.75" top="1.0"/>
  <pageSetup orientation="portrait"/>
  <drawing r:id="rId5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7" width="36.0"/>
    <col customWidth="1" min="8" max="26" width="10.56"/>
  </cols>
  <sheetData>
    <row r="1" ht="15.75" customHeight="1">
      <c r="A1" s="2" t="s">
        <v>166</v>
      </c>
      <c r="B1" s="3"/>
      <c r="C1" s="11"/>
      <c r="D1" s="11"/>
      <c r="E1" s="11"/>
      <c r="F1" s="11"/>
      <c r="G1" s="11"/>
      <c r="H1" s="11"/>
      <c r="I1" s="11"/>
      <c r="J1" s="11"/>
      <c r="K1" s="11"/>
      <c r="L1" s="11"/>
      <c r="M1" s="11"/>
      <c r="N1" s="11"/>
      <c r="O1" s="11"/>
      <c r="P1" s="11"/>
      <c r="Q1" s="11"/>
      <c r="R1" s="11"/>
      <c r="S1" s="11"/>
      <c r="T1" s="11"/>
      <c r="U1" s="11"/>
      <c r="V1" s="11"/>
      <c r="W1" s="11"/>
      <c r="X1" s="11"/>
      <c r="Y1" s="11"/>
      <c r="Z1" s="11"/>
    </row>
    <row r="2" ht="18.0" customHeight="1">
      <c r="A2" s="78"/>
      <c r="B2" s="79"/>
      <c r="C2" s="11"/>
      <c r="D2" s="11"/>
      <c r="E2" s="11"/>
      <c r="F2" s="11"/>
      <c r="G2" s="11"/>
      <c r="H2" s="11"/>
      <c r="I2" s="11"/>
      <c r="J2" s="11"/>
      <c r="K2" s="11"/>
      <c r="L2" s="11"/>
      <c r="M2" s="11"/>
      <c r="N2" s="11"/>
      <c r="O2" s="11"/>
      <c r="P2" s="11"/>
      <c r="Q2" s="11"/>
      <c r="R2" s="11"/>
      <c r="S2" s="11"/>
      <c r="T2" s="11"/>
      <c r="U2" s="11"/>
      <c r="V2" s="11"/>
      <c r="W2" s="11"/>
      <c r="X2" s="11"/>
      <c r="Y2" s="11"/>
      <c r="Z2" s="11"/>
    </row>
    <row r="3" ht="36.0" customHeight="1">
      <c r="A3" s="32" t="s">
        <v>175</v>
      </c>
      <c r="B3" s="24"/>
      <c r="C3" s="11"/>
      <c r="D3" s="11"/>
      <c r="E3" s="11"/>
      <c r="F3" s="11"/>
      <c r="G3" s="11"/>
      <c r="H3" s="11"/>
      <c r="I3" s="11"/>
      <c r="J3" s="11"/>
      <c r="K3" s="11"/>
      <c r="L3" s="11"/>
      <c r="M3" s="11"/>
      <c r="N3" s="11"/>
      <c r="O3" s="11"/>
      <c r="P3" s="11"/>
      <c r="Q3" s="11"/>
      <c r="R3" s="11"/>
      <c r="S3" s="11"/>
      <c r="T3" s="11"/>
      <c r="U3" s="11"/>
      <c r="V3" s="11"/>
      <c r="W3" s="11"/>
      <c r="X3" s="11"/>
      <c r="Y3" s="11"/>
      <c r="Z3" s="11"/>
    </row>
    <row r="4" ht="18.75" customHeight="1">
      <c r="A4" s="80" t="s">
        <v>177</v>
      </c>
      <c r="B4" s="24"/>
      <c r="C4" s="11"/>
      <c r="D4" s="11"/>
      <c r="E4" s="11"/>
      <c r="F4" s="11"/>
      <c r="G4" s="11"/>
      <c r="H4" s="11"/>
      <c r="I4" s="11"/>
      <c r="J4" s="11"/>
      <c r="K4" s="11"/>
      <c r="L4" s="11"/>
      <c r="M4" s="11"/>
      <c r="N4" s="11"/>
      <c r="O4" s="11"/>
      <c r="P4" s="11"/>
      <c r="Q4" s="11"/>
      <c r="R4" s="11"/>
      <c r="S4" s="11"/>
      <c r="T4" s="11"/>
      <c r="U4" s="11"/>
      <c r="V4" s="11"/>
      <c r="W4" s="11"/>
      <c r="X4" s="11"/>
      <c r="Y4" s="11"/>
      <c r="Z4" s="11"/>
    </row>
    <row r="5" ht="18.75" customHeight="1">
      <c r="A5" s="80" t="s">
        <v>184</v>
      </c>
      <c r="B5" s="24"/>
      <c r="C5" s="11"/>
      <c r="D5" s="11"/>
      <c r="E5" s="11"/>
      <c r="F5" s="11"/>
      <c r="G5" s="11"/>
      <c r="H5" s="11"/>
      <c r="I5" s="11"/>
      <c r="J5" s="11"/>
      <c r="K5" s="11"/>
      <c r="L5" s="11"/>
      <c r="M5" s="11"/>
      <c r="N5" s="11"/>
      <c r="O5" s="11"/>
      <c r="P5" s="11"/>
      <c r="Q5" s="11"/>
      <c r="R5" s="11"/>
      <c r="S5" s="11"/>
      <c r="T5" s="11"/>
      <c r="U5" s="11"/>
      <c r="V5" s="11"/>
      <c r="W5" s="11"/>
      <c r="X5" s="11"/>
      <c r="Y5" s="11"/>
      <c r="Z5" s="11"/>
    </row>
    <row r="6" ht="19.5" customHeight="1">
      <c r="A6" s="38" t="s">
        <v>188</v>
      </c>
      <c r="B6" s="40"/>
      <c r="C6" s="11"/>
      <c r="D6" s="11"/>
      <c r="E6" s="11"/>
      <c r="F6" s="11"/>
      <c r="G6" s="11"/>
      <c r="H6" s="11"/>
      <c r="I6" s="11"/>
      <c r="J6" s="11"/>
      <c r="K6" s="11"/>
      <c r="L6" s="11"/>
      <c r="M6" s="11"/>
      <c r="N6" s="11"/>
      <c r="O6" s="11"/>
      <c r="P6" s="11"/>
      <c r="Q6" s="11"/>
      <c r="R6" s="11"/>
      <c r="S6" s="11"/>
      <c r="T6" s="11"/>
      <c r="U6" s="11"/>
      <c r="V6" s="11"/>
      <c r="W6" s="11"/>
      <c r="X6" s="11"/>
      <c r="Y6" s="11"/>
      <c r="Z6" s="11"/>
    </row>
    <row r="7" ht="15.75" customHeight="1">
      <c r="A7" s="11"/>
      <c r="B7" s="11"/>
      <c r="C7" s="11"/>
      <c r="D7" s="11"/>
      <c r="E7" s="11"/>
      <c r="F7" s="11"/>
      <c r="G7" s="11"/>
      <c r="H7" s="11"/>
      <c r="I7" s="11"/>
      <c r="J7" s="11"/>
      <c r="K7" s="11"/>
      <c r="L7" s="11"/>
      <c r="M7" s="11"/>
      <c r="N7" s="11"/>
      <c r="O7" s="11"/>
      <c r="P7" s="11"/>
      <c r="Q7" s="11"/>
      <c r="R7" s="11"/>
      <c r="S7" s="11"/>
      <c r="T7" s="11"/>
      <c r="U7" s="11"/>
      <c r="V7" s="11"/>
      <c r="W7" s="11"/>
      <c r="X7" s="11"/>
      <c r="Y7" s="11"/>
      <c r="Z7" s="11"/>
    </row>
    <row r="8" ht="18.0" customHeight="1">
      <c r="A8" s="87" t="s">
        <v>4</v>
      </c>
      <c r="B8" s="87" t="s">
        <v>8</v>
      </c>
      <c r="C8" s="88" t="s">
        <v>6</v>
      </c>
      <c r="D8" s="88" t="s">
        <v>70</v>
      </c>
      <c r="E8" s="87" t="s">
        <v>14</v>
      </c>
      <c r="F8" s="87" t="s">
        <v>193</v>
      </c>
      <c r="G8" s="87" t="s">
        <v>15</v>
      </c>
      <c r="H8" s="58"/>
      <c r="I8" s="58"/>
      <c r="J8" s="58"/>
      <c r="K8" s="58"/>
      <c r="L8" s="58"/>
      <c r="M8" s="58"/>
      <c r="N8" s="58"/>
      <c r="O8" s="58"/>
      <c r="P8" s="58"/>
      <c r="Q8" s="58"/>
      <c r="R8" s="58"/>
      <c r="S8" s="58"/>
      <c r="T8" s="58"/>
      <c r="U8" s="58"/>
      <c r="V8" s="58"/>
      <c r="W8" s="58"/>
      <c r="X8" s="58"/>
      <c r="Y8" s="58"/>
      <c r="Z8" s="58"/>
    </row>
    <row r="9" ht="15.75" customHeight="1">
      <c r="A9" s="90" t="s">
        <v>194</v>
      </c>
      <c r="B9" s="90" t="s">
        <v>195</v>
      </c>
      <c r="C9" s="90" t="s">
        <v>196</v>
      </c>
      <c r="D9" s="90" t="s">
        <v>198</v>
      </c>
      <c r="E9" s="90" t="s">
        <v>200</v>
      </c>
      <c r="F9" s="90" t="s">
        <v>202</v>
      </c>
      <c r="G9" s="90" t="s">
        <v>204</v>
      </c>
      <c r="H9" s="90"/>
      <c r="I9" s="97"/>
      <c r="J9" s="97"/>
      <c r="K9" s="97"/>
      <c r="L9" s="97"/>
      <c r="M9" s="97"/>
      <c r="N9" s="97"/>
      <c r="O9" s="97"/>
      <c r="P9" s="97"/>
      <c r="Q9" s="97"/>
      <c r="R9" s="97"/>
      <c r="S9" s="97"/>
      <c r="T9" s="97"/>
      <c r="U9" s="97"/>
      <c r="V9" s="97"/>
      <c r="W9" s="97"/>
      <c r="X9" s="97"/>
      <c r="Y9" s="97"/>
      <c r="Z9" s="97"/>
    </row>
    <row r="10" ht="15.75" customHeight="1">
      <c r="A10" s="103"/>
      <c r="B10" s="103"/>
      <c r="C10" s="103"/>
      <c r="D10" s="108" t="s">
        <v>132</v>
      </c>
      <c r="E10" s="110" t="s">
        <v>174</v>
      </c>
      <c r="F10" s="103"/>
      <c r="G10" s="110" t="s">
        <v>176</v>
      </c>
      <c r="H10" s="103"/>
      <c r="I10" s="103"/>
      <c r="J10" s="103"/>
      <c r="K10" s="103"/>
      <c r="L10" s="103"/>
      <c r="M10" s="103"/>
      <c r="N10" s="103"/>
      <c r="O10" s="103"/>
      <c r="P10" s="103"/>
      <c r="Q10" s="103"/>
      <c r="R10" s="103"/>
      <c r="S10" s="103"/>
      <c r="T10" s="103"/>
      <c r="U10" s="103"/>
      <c r="V10" s="103"/>
      <c r="W10" s="103"/>
      <c r="X10" s="103"/>
      <c r="Y10" s="103"/>
      <c r="Z10" s="103"/>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B1"/>
    <mergeCell ref="A3:B3"/>
    <mergeCell ref="A4:B4"/>
    <mergeCell ref="A5:B5"/>
    <mergeCell ref="A6:B6"/>
  </mergeCells>
  <hyperlinks>
    <hyperlink r:id="rId1" ref="D10"/>
    <hyperlink r:id="rId2" ref="E10"/>
    <hyperlink r:id="rId3" ref="G10"/>
  </hyperlinks>
  <printOptions/>
  <pageMargins bottom="1.0" footer="0.0" header="0.0" left="0.75" right="0.75" top="1.0"/>
  <pageSetup orientation="portrait"/>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6" width="36.0"/>
    <col customWidth="1" min="7" max="26" width="10.56"/>
  </cols>
  <sheetData>
    <row r="1" ht="15.75" customHeight="1">
      <c r="A1" s="137" t="s">
        <v>321</v>
      </c>
      <c r="B1" s="138"/>
      <c r="C1" s="139"/>
      <c r="D1" s="139"/>
      <c r="E1" s="139"/>
      <c r="F1" s="139"/>
      <c r="G1" s="11"/>
      <c r="H1" s="11"/>
      <c r="I1" s="11"/>
      <c r="J1" s="11"/>
      <c r="K1" s="11"/>
      <c r="L1" s="11"/>
      <c r="M1" s="11"/>
      <c r="N1" s="11"/>
      <c r="O1" s="11"/>
      <c r="P1" s="11"/>
      <c r="Q1" s="11"/>
      <c r="R1" s="11"/>
      <c r="S1" s="11"/>
      <c r="T1" s="11"/>
      <c r="U1" s="11"/>
      <c r="V1" s="11"/>
      <c r="W1" s="11"/>
      <c r="X1" s="11"/>
      <c r="Y1" s="11"/>
      <c r="Z1" s="11"/>
    </row>
    <row r="2" ht="15.75" customHeight="1">
      <c r="A2" s="140"/>
      <c r="B2" s="141"/>
      <c r="C2" s="139"/>
      <c r="D2" s="139"/>
      <c r="E2" s="139"/>
      <c r="F2" s="139"/>
      <c r="G2" s="11"/>
      <c r="H2" s="11"/>
      <c r="I2" s="11"/>
      <c r="J2" s="11"/>
      <c r="K2" s="11"/>
      <c r="L2" s="11"/>
      <c r="M2" s="11"/>
      <c r="N2" s="11"/>
      <c r="O2" s="11"/>
      <c r="P2" s="11"/>
      <c r="Q2" s="11"/>
      <c r="R2" s="11"/>
      <c r="S2" s="11"/>
      <c r="T2" s="11"/>
      <c r="U2" s="11"/>
      <c r="V2" s="11"/>
      <c r="W2" s="11"/>
      <c r="X2" s="11"/>
      <c r="Y2" s="11"/>
      <c r="Z2" s="11"/>
    </row>
    <row r="3" ht="54.75" customHeight="1">
      <c r="A3" s="144" t="s">
        <v>337</v>
      </c>
      <c r="B3" s="145"/>
      <c r="C3" s="139"/>
      <c r="D3" s="139"/>
      <c r="E3" s="139"/>
      <c r="F3" s="139"/>
      <c r="G3" s="11"/>
      <c r="H3" s="11"/>
      <c r="I3" s="11"/>
      <c r="J3" s="11"/>
      <c r="K3" s="11"/>
      <c r="L3" s="11"/>
      <c r="M3" s="11"/>
      <c r="N3" s="11"/>
      <c r="O3" s="11"/>
      <c r="P3" s="11"/>
      <c r="Q3" s="11"/>
      <c r="R3" s="11"/>
      <c r="S3" s="11"/>
      <c r="T3" s="11"/>
      <c r="U3" s="11"/>
      <c r="V3" s="11"/>
      <c r="W3" s="11"/>
      <c r="X3" s="11"/>
      <c r="Y3" s="11"/>
      <c r="Z3" s="11"/>
    </row>
    <row r="4" ht="15.75" customHeight="1">
      <c r="A4" s="139"/>
      <c r="B4" s="139"/>
      <c r="C4" s="139"/>
      <c r="D4" s="139"/>
      <c r="E4" s="139"/>
      <c r="F4" s="139"/>
      <c r="G4" s="11"/>
      <c r="H4" s="11"/>
      <c r="I4" s="11"/>
      <c r="J4" s="11"/>
      <c r="K4" s="11"/>
      <c r="L4" s="11"/>
      <c r="M4" s="11"/>
      <c r="N4" s="11"/>
      <c r="O4" s="11"/>
      <c r="P4" s="11"/>
      <c r="Q4" s="11"/>
      <c r="R4" s="11"/>
      <c r="S4" s="11"/>
      <c r="T4" s="11"/>
      <c r="U4" s="11"/>
      <c r="V4" s="11"/>
      <c r="W4" s="11"/>
      <c r="X4" s="11"/>
      <c r="Y4" s="11"/>
      <c r="Z4" s="11"/>
    </row>
    <row r="5" ht="18.0" customHeight="1">
      <c r="A5" s="154" t="s">
        <v>0</v>
      </c>
      <c r="B5" s="154" t="s">
        <v>2</v>
      </c>
      <c r="C5" s="154" t="s">
        <v>7</v>
      </c>
      <c r="D5" s="154" t="s">
        <v>9</v>
      </c>
      <c r="E5" s="154" t="s">
        <v>10</v>
      </c>
      <c r="F5" s="156" t="s">
        <v>11</v>
      </c>
      <c r="G5" s="157"/>
      <c r="H5" s="158"/>
      <c r="I5" s="157"/>
      <c r="J5" s="157"/>
      <c r="K5" s="157"/>
      <c r="L5" s="157"/>
      <c r="M5" s="157"/>
      <c r="N5" s="157"/>
      <c r="O5" s="157"/>
      <c r="P5" s="157"/>
      <c r="Q5" s="157"/>
      <c r="R5" s="157"/>
      <c r="S5" s="157"/>
      <c r="T5" s="157"/>
      <c r="U5" s="157"/>
      <c r="V5" s="157"/>
      <c r="W5" s="157"/>
      <c r="X5" s="157"/>
      <c r="Y5" s="157"/>
      <c r="Z5" s="157"/>
    </row>
    <row r="6" ht="15.75" customHeight="1">
      <c r="A6" s="59" t="s">
        <v>370</v>
      </c>
      <c r="B6" s="59" t="s">
        <v>375</v>
      </c>
      <c r="C6" s="59" t="s">
        <v>376</v>
      </c>
      <c r="D6" s="59" t="s">
        <v>378</v>
      </c>
      <c r="E6" s="59" t="s">
        <v>379</v>
      </c>
      <c r="F6" s="59" t="s">
        <v>380</v>
      </c>
      <c r="G6" s="70"/>
      <c r="H6" s="70"/>
      <c r="I6" s="70"/>
      <c r="J6" s="70"/>
      <c r="K6" s="70"/>
      <c r="L6" s="70"/>
      <c r="M6" s="70"/>
      <c r="N6" s="70"/>
      <c r="O6" s="70"/>
      <c r="P6" s="70"/>
      <c r="Q6" s="70"/>
      <c r="R6" s="70"/>
      <c r="S6" s="70"/>
      <c r="T6" s="70"/>
      <c r="U6" s="70"/>
      <c r="V6" s="70"/>
      <c r="W6" s="70"/>
      <c r="X6" s="70"/>
      <c r="Y6" s="70"/>
      <c r="Z6" s="70"/>
    </row>
    <row r="7" ht="15.75" customHeight="1">
      <c r="A7" s="81" t="s">
        <v>394</v>
      </c>
      <c r="B7" s="159"/>
      <c r="C7" s="81" t="s">
        <v>407</v>
      </c>
      <c r="D7" s="81" t="s">
        <v>183</v>
      </c>
      <c r="E7" s="81" t="s">
        <v>183</v>
      </c>
      <c r="F7" s="81" t="s">
        <v>132</v>
      </c>
      <c r="G7" s="70"/>
      <c r="H7" s="70"/>
      <c r="I7" s="70"/>
      <c r="J7" s="70"/>
      <c r="K7" s="70"/>
      <c r="L7" s="70"/>
      <c r="M7" s="70"/>
      <c r="N7" s="70"/>
      <c r="O7" s="70"/>
      <c r="P7" s="70"/>
      <c r="Q7" s="70"/>
      <c r="R7" s="70"/>
      <c r="S7" s="70"/>
      <c r="T7" s="70"/>
      <c r="U7" s="70"/>
      <c r="V7" s="70"/>
      <c r="W7" s="70"/>
      <c r="X7" s="70"/>
      <c r="Y7" s="70"/>
      <c r="Z7" s="70"/>
    </row>
    <row r="8" ht="15.75" customHeight="1">
      <c r="A8" s="160"/>
      <c r="B8" s="160"/>
      <c r="C8" s="160"/>
      <c r="D8" s="160"/>
      <c r="E8" s="160"/>
      <c r="F8" s="160"/>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A2:B2"/>
    <mergeCell ref="A3:B3"/>
  </mergeCells>
  <hyperlinks>
    <hyperlink r:id="rId1" ref="A7"/>
    <hyperlink r:id="rId2" ref="C7"/>
    <hyperlink r:id="rId3" ref="D7"/>
    <hyperlink r:id="rId4" ref="E7"/>
    <hyperlink r:id="rId5" ref="F7"/>
  </hyperlinks>
  <printOptions/>
  <pageMargins bottom="1.0" footer="0.0" header="0.0" left="0.75" right="0.75" top="1.0"/>
  <pageSetup orientation="portrait"/>
  <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170" t="s">
        <v>3</v>
      </c>
      <c r="B1" s="170" t="s">
        <v>5</v>
      </c>
      <c r="C1" s="171" t="s">
        <v>6</v>
      </c>
      <c r="D1" s="170" t="s">
        <v>12</v>
      </c>
      <c r="E1" s="170" t="s">
        <v>13</v>
      </c>
      <c r="F1" s="172"/>
      <c r="G1" s="172"/>
      <c r="H1" s="172"/>
      <c r="I1" s="172"/>
      <c r="J1" s="172"/>
      <c r="K1" s="172"/>
      <c r="L1" s="172"/>
      <c r="M1" s="172"/>
      <c r="N1" s="172"/>
      <c r="O1" s="172"/>
      <c r="P1" s="172"/>
      <c r="Q1" s="172"/>
      <c r="R1" s="172"/>
      <c r="S1" s="172"/>
      <c r="T1" s="172"/>
      <c r="U1" s="172"/>
      <c r="V1" s="172"/>
      <c r="W1" s="172"/>
      <c r="X1" s="172"/>
      <c r="Y1" s="172"/>
      <c r="Z1" s="172"/>
    </row>
    <row r="2" hidden="1">
      <c r="A2" s="172"/>
      <c r="B2" s="172"/>
      <c r="C2" s="174"/>
      <c r="D2" s="174"/>
      <c r="E2" s="174"/>
      <c r="F2" s="175"/>
      <c r="G2" s="172" t="str">
        <f>IFERROR(__xludf.DUMMYFUNCTION("TRIM(REGEXREPLACE(C2, ""[0-9]+[a-f]?\."", """"))"),"")</f>
        <v/>
      </c>
      <c r="H2" s="172" t="str">
        <f>IFERROR(__xludf.DUMMYFUNCTION("TRIM(REGEXREPLACE(D2, ""[0-9]+[a-f]?\."", """"))"),"")</f>
        <v/>
      </c>
      <c r="I2" s="172" t="str">
        <f>IFERROR(__xludf.DUMMYFUNCTION("TRIM(REGEXREPLACE(E2, ""[0-9]+[a-f]?\."", """"))"),"")</f>
        <v/>
      </c>
      <c r="J2" s="172" t="s">
        <v>545</v>
      </c>
      <c r="K2" s="172" t="s">
        <v>547</v>
      </c>
      <c r="L2" s="176" t="s">
        <v>548</v>
      </c>
      <c r="M2" s="172"/>
      <c r="N2" s="172"/>
      <c r="O2" s="172"/>
      <c r="P2" s="172"/>
      <c r="Q2" s="172"/>
      <c r="R2" s="172"/>
      <c r="S2" s="172"/>
      <c r="T2" s="172"/>
      <c r="U2" s="172"/>
      <c r="V2" s="172"/>
      <c r="W2" s="172"/>
      <c r="X2" s="172"/>
      <c r="Y2" s="172"/>
      <c r="Z2" s="172"/>
    </row>
    <row r="3" hidden="1">
      <c r="A3" s="172"/>
      <c r="B3" s="172"/>
      <c r="C3" s="174"/>
      <c r="D3" s="174"/>
      <c r="E3" s="174"/>
      <c r="F3" s="175"/>
      <c r="G3" s="172" t="str">
        <f>IFERROR(__xludf.DUMMYFUNCTION("TRIM(REGEXREPLACE(C3, ""[0-9]+[a-f]?\."", """"))"),"")</f>
        <v/>
      </c>
      <c r="H3" s="172" t="str">
        <f>IFERROR(__xludf.DUMMYFUNCTION("TRIM(REGEXREPLACE(D3, ""[0-9]+[a-f]?\."", """"))"),"")</f>
        <v/>
      </c>
      <c r="I3" s="172" t="str">
        <f>IFERROR(__xludf.DUMMYFUNCTION("TRIM(REGEXREPLACE(E3, ""[0-9]+[a-f]?\."", """"))"),"")</f>
        <v/>
      </c>
      <c r="J3" s="172" t="s">
        <v>551</v>
      </c>
      <c r="K3" s="172" t="s">
        <v>552</v>
      </c>
      <c r="L3" s="172" t="s">
        <v>553</v>
      </c>
      <c r="M3" s="172"/>
      <c r="N3" s="172"/>
      <c r="O3" s="172"/>
      <c r="P3" s="172"/>
      <c r="Q3" s="172"/>
      <c r="R3" s="172"/>
      <c r="S3" s="172"/>
      <c r="T3" s="172"/>
      <c r="U3" s="172"/>
      <c r="V3" s="172"/>
      <c r="W3" s="172"/>
      <c r="X3" s="172"/>
      <c r="Y3" s="172"/>
      <c r="Z3" s="172"/>
    </row>
    <row r="4" hidden="1">
      <c r="A4" s="172"/>
      <c r="B4" s="172"/>
      <c r="C4" s="174"/>
      <c r="D4" s="174"/>
      <c r="E4" s="174"/>
      <c r="F4" s="175"/>
      <c r="G4" s="172" t="str">
        <f>IFERROR(__xludf.DUMMYFUNCTION("TRIM(REGEXREPLACE(C4, ""[0-9]+[a-f]?\."", """"))"),"")</f>
        <v/>
      </c>
      <c r="H4" s="172" t="str">
        <f>IFERROR(__xludf.DUMMYFUNCTION("TRIM(REGEXREPLACE(D4, ""[0-9]+[a-f]?\."", """"))"),"")</f>
        <v/>
      </c>
      <c r="I4" s="172" t="str">
        <f>IFERROR(__xludf.DUMMYFUNCTION("TRIM(REGEXREPLACE(E4, ""[0-9]+[a-f]?\."", """"))"),"")</f>
        <v/>
      </c>
      <c r="J4" s="172" t="s">
        <v>558</v>
      </c>
      <c r="K4" s="172" t="s">
        <v>559</v>
      </c>
      <c r="L4" s="176" t="s">
        <v>560</v>
      </c>
      <c r="M4" s="172"/>
      <c r="N4" s="172"/>
      <c r="O4" s="172"/>
      <c r="P4" s="172"/>
      <c r="Q4" s="172"/>
      <c r="R4" s="172"/>
      <c r="S4" s="172"/>
      <c r="T4" s="172"/>
      <c r="U4" s="172"/>
      <c r="V4" s="172"/>
      <c r="W4" s="172"/>
      <c r="X4" s="172"/>
      <c r="Y4" s="172"/>
      <c r="Z4" s="172"/>
    </row>
    <row r="5" hidden="1">
      <c r="A5" s="180" t="s">
        <v>49</v>
      </c>
      <c r="B5" s="180" t="s">
        <v>51</v>
      </c>
      <c r="C5" s="181"/>
      <c r="D5" s="181"/>
      <c r="E5" s="181"/>
      <c r="F5" s="182">
        <v>1.0</v>
      </c>
      <c r="G5" s="172" t="str">
        <f>IFERROR(__xludf.DUMMYFUNCTION("TRIM(REGEXREPLACE(C5, ""[0-9]+[a-f]?\."", """"))"),"")</f>
        <v/>
      </c>
      <c r="H5" s="172" t="str">
        <f>IFERROR(__xludf.DUMMYFUNCTION("TRIM(REGEXREPLACE(D5, ""[0-9]+[a-f]?\."", """"))"),"")</f>
        <v/>
      </c>
      <c r="I5" s="172" t="str">
        <f>IFERROR(__xludf.DUMMYFUNCTION("TRIM(REGEXREPLACE(E5, ""[0-9]+[a-f]?\."", """"))"),"")</f>
        <v/>
      </c>
      <c r="J5" s="172" t="s">
        <v>571</v>
      </c>
      <c r="K5" s="172" t="s">
        <v>572</v>
      </c>
      <c r="L5" s="176" t="s">
        <v>573</v>
      </c>
      <c r="M5" s="172"/>
      <c r="N5" s="172"/>
      <c r="O5" s="172"/>
      <c r="P5" s="172"/>
      <c r="Q5" s="172"/>
      <c r="R5" s="172"/>
      <c r="S5" s="172"/>
      <c r="T5" s="172"/>
      <c r="U5" s="172"/>
      <c r="V5" s="172"/>
      <c r="W5" s="172"/>
      <c r="X5" s="172"/>
      <c r="Y5" s="172"/>
      <c r="Z5" s="172"/>
    </row>
    <row r="6" hidden="1">
      <c r="A6" s="172"/>
      <c r="B6" s="172"/>
      <c r="C6" s="174"/>
      <c r="D6" s="174"/>
      <c r="E6" s="174"/>
      <c r="F6" s="175"/>
      <c r="G6" s="172" t="str">
        <f>IFERROR(__xludf.DUMMYFUNCTION("TRIM(REGEXREPLACE(C6, ""[0-9]+[a-f]?\."", """"))"),"")</f>
        <v/>
      </c>
      <c r="H6" s="172" t="str">
        <f>IFERROR(__xludf.DUMMYFUNCTION("TRIM(REGEXREPLACE(D6, ""[0-9]+[a-f]?\."", """"))"),"")</f>
        <v/>
      </c>
      <c r="I6" s="172" t="str">
        <f>IFERROR(__xludf.DUMMYFUNCTION("TRIM(REGEXREPLACE(E6, ""[0-9]+[a-f]?\."", """"))"),"")</f>
        <v/>
      </c>
      <c r="J6" s="172" t="s">
        <v>581</v>
      </c>
      <c r="K6" s="172" t="s">
        <v>583</v>
      </c>
      <c r="L6" s="176" t="s">
        <v>584</v>
      </c>
      <c r="M6" s="172"/>
      <c r="N6" s="172"/>
      <c r="O6" s="172"/>
      <c r="P6" s="172"/>
      <c r="Q6" s="172"/>
      <c r="R6" s="172"/>
      <c r="S6" s="172"/>
      <c r="T6" s="172"/>
      <c r="U6" s="172"/>
      <c r="V6" s="172"/>
      <c r="W6" s="172"/>
      <c r="X6" s="172"/>
      <c r="Y6" s="172"/>
      <c r="Z6" s="172"/>
    </row>
    <row r="7" hidden="1">
      <c r="A7" s="172"/>
      <c r="B7" s="172"/>
      <c r="C7" s="174"/>
      <c r="D7" s="174"/>
      <c r="E7" s="174"/>
      <c r="F7" s="175"/>
      <c r="G7" s="172" t="str">
        <f>IFERROR(__xludf.DUMMYFUNCTION("TRIM(REGEXREPLACE(C7, ""[0-9]+[a-f]?\."", """"))"),"")</f>
        <v/>
      </c>
      <c r="H7" s="172" t="str">
        <f>IFERROR(__xludf.DUMMYFUNCTION("TRIM(REGEXREPLACE(D7, ""[0-9]+[a-f]?\."", """"))"),"")</f>
        <v/>
      </c>
      <c r="I7" s="172" t="str">
        <f>IFERROR(__xludf.DUMMYFUNCTION("TRIM(REGEXREPLACE(E7, ""[0-9]+[a-f]?\."", """"))"),"")</f>
        <v/>
      </c>
      <c r="J7" s="172" t="s">
        <v>595</v>
      </c>
      <c r="K7" s="172" t="s">
        <v>596</v>
      </c>
      <c r="L7" s="176" t="s">
        <v>597</v>
      </c>
      <c r="M7" s="172"/>
      <c r="N7" s="172"/>
      <c r="O7" s="172"/>
      <c r="P7" s="172"/>
      <c r="Q7" s="172"/>
      <c r="R7" s="172"/>
      <c r="S7" s="172"/>
      <c r="T7" s="172"/>
      <c r="U7" s="172"/>
      <c r="V7" s="172"/>
      <c r="W7" s="172"/>
      <c r="X7" s="172"/>
      <c r="Y7" s="172"/>
      <c r="Z7" s="172"/>
    </row>
    <row r="8" hidden="1">
      <c r="A8" s="172"/>
      <c r="B8" s="172"/>
      <c r="C8" s="174"/>
      <c r="D8" s="174"/>
      <c r="E8" s="174"/>
      <c r="F8" s="175"/>
      <c r="G8" s="172" t="str">
        <f>IFERROR(__xludf.DUMMYFUNCTION("TRIM(REGEXREPLACE(C8, ""[0-9]+[a-f]?\."", """"))"),"")</f>
        <v/>
      </c>
      <c r="H8" s="172" t="str">
        <f>IFERROR(__xludf.DUMMYFUNCTION("TRIM(REGEXREPLACE(D8, ""[0-9]+[a-f]?\."", """"))"),"")</f>
        <v/>
      </c>
      <c r="I8" s="172" t="str">
        <f>IFERROR(__xludf.DUMMYFUNCTION("TRIM(REGEXREPLACE(E8, ""[0-9]+[a-f]?\."", """"))"),"")</f>
        <v/>
      </c>
      <c r="J8" s="172" t="s">
        <v>603</v>
      </c>
      <c r="K8" s="172" t="s">
        <v>604</v>
      </c>
      <c r="L8" s="172" t="s">
        <v>604</v>
      </c>
      <c r="M8" s="172"/>
      <c r="N8" s="172"/>
      <c r="O8" s="172"/>
      <c r="P8" s="172"/>
      <c r="Q8" s="172"/>
      <c r="R8" s="172"/>
      <c r="S8" s="172"/>
      <c r="T8" s="172"/>
      <c r="U8" s="172"/>
      <c r="V8" s="172"/>
      <c r="W8" s="172"/>
      <c r="X8" s="172"/>
      <c r="Y8" s="172"/>
      <c r="Z8" s="172"/>
    </row>
    <row r="9" hidden="1">
      <c r="A9" s="172"/>
      <c r="B9" s="172"/>
      <c r="C9" s="174"/>
      <c r="D9" s="174"/>
      <c r="E9" s="174"/>
      <c r="F9" s="175"/>
      <c r="G9" s="172" t="str">
        <f>IFERROR(__xludf.DUMMYFUNCTION("TRIM(REGEXREPLACE(C9, ""[0-9]+[a-f]?\."", """"))"),"")</f>
        <v/>
      </c>
      <c r="H9" s="172" t="str">
        <f>IFERROR(__xludf.DUMMYFUNCTION("TRIM(REGEXREPLACE(D9, ""[0-9]+[a-f]?\."", """"))"),"")</f>
        <v/>
      </c>
      <c r="I9" s="172" t="str">
        <f>IFERROR(__xludf.DUMMYFUNCTION("TRIM(REGEXREPLACE(E9, ""[0-9]+[a-f]?\."", """"))"),"")</f>
        <v/>
      </c>
      <c r="J9" s="172" t="s">
        <v>616</v>
      </c>
      <c r="K9" s="172" t="s">
        <v>617</v>
      </c>
      <c r="L9" s="172" t="s">
        <v>617</v>
      </c>
      <c r="M9" s="172"/>
      <c r="N9" s="172"/>
      <c r="O9" s="172"/>
      <c r="P9" s="172"/>
      <c r="Q9" s="172"/>
      <c r="R9" s="172"/>
      <c r="S9" s="172"/>
      <c r="T9" s="172"/>
      <c r="U9" s="172"/>
      <c r="V9" s="172"/>
      <c r="W9" s="172"/>
      <c r="X9" s="172"/>
      <c r="Y9" s="172"/>
      <c r="Z9" s="172"/>
    </row>
    <row r="10" hidden="1">
      <c r="A10" s="180" t="s">
        <v>56</v>
      </c>
      <c r="B10" s="180" t="s">
        <v>57</v>
      </c>
      <c r="C10" s="181"/>
      <c r="D10" s="181"/>
      <c r="E10" s="181"/>
      <c r="F10" s="182">
        <v>1.0</v>
      </c>
      <c r="G10" s="172" t="str">
        <f>IFERROR(__xludf.DUMMYFUNCTION("TRIM(REGEXREPLACE(C10, ""[0-9]+[a-f]?\."", """"))"),"")</f>
        <v/>
      </c>
      <c r="H10" s="172" t="str">
        <f>IFERROR(__xludf.DUMMYFUNCTION("TRIM(REGEXREPLACE(D10, ""[0-9]+[a-f]?\."", """"))"),"")</f>
        <v/>
      </c>
      <c r="I10" s="172" t="str">
        <f>IFERROR(__xludf.DUMMYFUNCTION("TRIM(REGEXREPLACE(E10, ""[0-9]+[a-f]?\."", """"))"),"")</f>
        <v/>
      </c>
      <c r="J10" s="172" t="s">
        <v>626</v>
      </c>
      <c r="K10" s="172" t="s">
        <v>627</v>
      </c>
      <c r="L10" s="172" t="s">
        <v>628</v>
      </c>
      <c r="M10" s="172"/>
      <c r="N10" s="172"/>
      <c r="O10" s="172"/>
      <c r="P10" s="172"/>
      <c r="Q10" s="172"/>
      <c r="R10" s="172"/>
      <c r="S10" s="172"/>
      <c r="T10" s="172"/>
      <c r="U10" s="172"/>
      <c r="V10" s="172"/>
      <c r="W10" s="172"/>
      <c r="X10" s="172"/>
      <c r="Y10" s="172"/>
      <c r="Z10" s="172"/>
    </row>
    <row r="11" hidden="1">
      <c r="A11" s="172"/>
      <c r="B11" s="172"/>
      <c r="C11" s="174"/>
      <c r="D11" s="174"/>
      <c r="E11" s="174"/>
      <c r="F11" s="175"/>
      <c r="G11" s="172" t="str">
        <f>IFERROR(__xludf.DUMMYFUNCTION("TRIM(REGEXREPLACE(C11, ""[0-9]+[a-f]?\."", """"))"),"")</f>
        <v/>
      </c>
      <c r="H11" s="172" t="str">
        <f>IFERROR(__xludf.DUMMYFUNCTION("TRIM(REGEXREPLACE(D11, ""[0-9]+[a-f]?\."", """"))"),"")</f>
        <v/>
      </c>
      <c r="I11" s="172" t="str">
        <f>IFERROR(__xludf.DUMMYFUNCTION("TRIM(REGEXREPLACE(E11, ""[0-9]+[a-f]?\."", """"))"),"")</f>
        <v/>
      </c>
      <c r="J11" s="172" t="s">
        <v>635</v>
      </c>
      <c r="K11" s="172" t="s">
        <v>636</v>
      </c>
      <c r="L11" s="172" t="s">
        <v>636</v>
      </c>
      <c r="M11" s="172"/>
      <c r="N11" s="172"/>
      <c r="O11" s="172"/>
      <c r="P11" s="172"/>
      <c r="Q11" s="172"/>
      <c r="R11" s="172"/>
      <c r="S11" s="172"/>
      <c r="T11" s="172"/>
      <c r="U11" s="172"/>
      <c r="V11" s="172"/>
      <c r="W11" s="172"/>
      <c r="X11" s="172"/>
      <c r="Y11" s="172"/>
      <c r="Z11" s="172"/>
    </row>
    <row r="12" hidden="1">
      <c r="A12" s="172"/>
      <c r="B12" s="174"/>
      <c r="C12" s="174"/>
      <c r="D12" s="174"/>
      <c r="E12" s="174"/>
      <c r="F12" s="175"/>
      <c r="G12" s="172" t="str">
        <f>IFERROR(__xludf.DUMMYFUNCTION("TRIM(REGEXREPLACE(C12, ""[0-9]+[a-f]?\."", """"))"),"")</f>
        <v/>
      </c>
      <c r="H12" s="172" t="str">
        <f>IFERROR(__xludf.DUMMYFUNCTION("TRIM(REGEXREPLACE(D12, ""[0-9]+[a-f]?\."", """"))"),"")</f>
        <v/>
      </c>
      <c r="I12" s="172" t="str">
        <f>IFERROR(__xludf.DUMMYFUNCTION("TRIM(REGEXREPLACE(E12, ""[0-9]+[a-f]?\."", """"))"),"")</f>
        <v/>
      </c>
      <c r="J12" s="172" t="s">
        <v>642</v>
      </c>
      <c r="K12" s="172" t="s">
        <v>643</v>
      </c>
      <c r="L12" s="176" t="s">
        <v>644</v>
      </c>
      <c r="M12" s="172"/>
      <c r="N12" s="172"/>
      <c r="O12" s="172"/>
      <c r="P12" s="172"/>
      <c r="Q12" s="172"/>
      <c r="R12" s="172"/>
      <c r="S12" s="172"/>
      <c r="T12" s="172"/>
      <c r="U12" s="172"/>
      <c r="V12" s="172"/>
      <c r="W12" s="172"/>
      <c r="X12" s="172"/>
      <c r="Y12" s="172"/>
      <c r="Z12" s="172"/>
    </row>
    <row r="13" hidden="1">
      <c r="A13" s="172"/>
      <c r="B13" s="174"/>
      <c r="C13" s="174"/>
      <c r="D13" s="174"/>
      <c r="E13" s="174"/>
      <c r="F13" s="182">
        <v>2.0</v>
      </c>
      <c r="G13" s="172" t="str">
        <f>IFERROR(__xludf.DUMMYFUNCTION("TRIM(REGEXREPLACE(C13, ""[0-9]+[a-f]?\."", """"))"),"")</f>
        <v/>
      </c>
      <c r="H13" s="172" t="str">
        <f>IFERROR(__xludf.DUMMYFUNCTION("TRIM(REGEXREPLACE(D13, ""[0-9]+[a-f]?\."", """"))"),"")</f>
        <v/>
      </c>
      <c r="I13" s="172" t="str">
        <f>IFERROR(__xludf.DUMMYFUNCTION("TRIM(REGEXREPLACE(E13, ""[0-9]+[a-f]?\."", """"))"),"")</f>
        <v/>
      </c>
      <c r="J13" s="172" t="s">
        <v>130</v>
      </c>
      <c r="K13" s="172" t="s">
        <v>131</v>
      </c>
      <c r="L13" s="172" t="s">
        <v>649</v>
      </c>
      <c r="M13" s="172"/>
      <c r="N13" s="172"/>
      <c r="O13" s="172"/>
      <c r="P13" s="172"/>
      <c r="Q13" s="172"/>
      <c r="R13" s="172"/>
      <c r="S13" s="172"/>
      <c r="T13" s="172"/>
      <c r="U13" s="172"/>
      <c r="V13" s="172"/>
      <c r="W13" s="172"/>
      <c r="X13" s="172"/>
      <c r="Y13" s="172"/>
      <c r="Z13" s="172"/>
    </row>
    <row r="14" hidden="1">
      <c r="A14" s="180" t="s">
        <v>60</v>
      </c>
      <c r="B14" s="183" t="s">
        <v>60</v>
      </c>
      <c r="C14" s="181"/>
      <c r="D14" s="181"/>
      <c r="E14" s="181"/>
      <c r="F14" s="182">
        <v>2.0</v>
      </c>
      <c r="G14" s="172" t="str">
        <f>IFERROR(__xludf.DUMMYFUNCTION("TRIM(REGEXREPLACE(C14, ""[0-9]+[a-f]?\."", """"))"),"")</f>
        <v/>
      </c>
      <c r="H14" s="172" t="str">
        <f>IFERROR(__xludf.DUMMYFUNCTION("TRIM(REGEXREPLACE(D14, ""[0-9]+[a-f]?\."", """"))"),"")</f>
        <v/>
      </c>
      <c r="I14" s="172" t="str">
        <f>IFERROR(__xludf.DUMMYFUNCTION("TRIM(REGEXREPLACE(E14, ""[0-9]+[a-f]?\."", """"))"),"")</f>
        <v/>
      </c>
      <c r="J14" s="172" t="s">
        <v>130</v>
      </c>
      <c r="K14" s="172" t="s">
        <v>131</v>
      </c>
      <c r="L14" s="172" t="s">
        <v>649</v>
      </c>
      <c r="M14" s="172"/>
      <c r="N14" s="172"/>
      <c r="O14" s="172"/>
      <c r="P14" s="172"/>
      <c r="Q14" s="172"/>
      <c r="R14" s="172"/>
      <c r="S14" s="172"/>
      <c r="T14" s="172"/>
      <c r="U14" s="172"/>
      <c r="V14" s="172"/>
      <c r="W14" s="172"/>
      <c r="X14" s="172"/>
      <c r="Y14" s="172"/>
      <c r="Z14" s="172"/>
    </row>
    <row r="15" hidden="1">
      <c r="A15" s="180" t="s">
        <v>61</v>
      </c>
      <c r="B15" s="183" t="s">
        <v>62</v>
      </c>
      <c r="C15" s="181"/>
      <c r="D15" s="181"/>
      <c r="E15" s="181"/>
      <c r="F15" s="182">
        <v>3.0</v>
      </c>
      <c r="G15" s="172" t="str">
        <f>IFERROR(__xludf.DUMMYFUNCTION("TRIM(REGEXREPLACE(C15, ""[0-9]+[a-f]?\."", """"))"),"")</f>
        <v/>
      </c>
      <c r="H15" s="172" t="str">
        <f>IFERROR(__xludf.DUMMYFUNCTION("TRIM(REGEXREPLACE(D15, ""[0-9]+[a-f]?\."", """"))"),"")</f>
        <v/>
      </c>
      <c r="I15" s="172" t="str">
        <f>IFERROR(__xludf.DUMMYFUNCTION("TRIM(REGEXREPLACE(E15, ""[0-9]+[a-f]?\."", """"))"),"")</f>
        <v/>
      </c>
      <c r="J15" s="172" t="s">
        <v>143</v>
      </c>
      <c r="K15" s="172" t="s">
        <v>144</v>
      </c>
      <c r="L15" s="172" t="s">
        <v>145</v>
      </c>
      <c r="M15" s="172"/>
      <c r="N15" s="172"/>
      <c r="O15" s="172"/>
      <c r="P15" s="172"/>
      <c r="Q15" s="172"/>
      <c r="R15" s="172"/>
      <c r="S15" s="172"/>
      <c r="T15" s="172"/>
      <c r="U15" s="172"/>
      <c r="V15" s="172"/>
      <c r="W15" s="172"/>
      <c r="X15" s="172"/>
      <c r="Y15" s="172"/>
      <c r="Z15" s="172"/>
    </row>
    <row r="16" hidden="1">
      <c r="A16" s="180" t="s">
        <v>64</v>
      </c>
      <c r="B16" s="183" t="s">
        <v>64</v>
      </c>
      <c r="C16" s="181"/>
      <c r="D16" s="181"/>
      <c r="E16" s="181"/>
      <c r="F16" s="182">
        <v>4.0</v>
      </c>
      <c r="G16" s="172" t="str">
        <f>IFERROR(__xludf.DUMMYFUNCTION("TRIM(REGEXREPLACE(C16, ""[0-9]+[a-f]?\."", """"))"),"")</f>
        <v/>
      </c>
      <c r="H16" s="172" t="str">
        <f>IFERROR(__xludf.DUMMYFUNCTION("TRIM(REGEXREPLACE(D16, ""[0-9]+[a-f]?\."", """"))"),"")</f>
        <v/>
      </c>
      <c r="I16" s="172" t="str">
        <f>IFERROR(__xludf.DUMMYFUNCTION("TRIM(REGEXREPLACE(E16, ""[0-9]+[a-f]?\."", """"))"),"")</f>
        <v/>
      </c>
      <c r="J16" s="172" t="s">
        <v>150</v>
      </c>
      <c r="K16" s="172" t="s">
        <v>151</v>
      </c>
      <c r="L16" s="172" t="s">
        <v>152</v>
      </c>
      <c r="M16" s="172"/>
      <c r="N16" s="172"/>
      <c r="O16" s="172"/>
      <c r="P16" s="172"/>
      <c r="Q16" s="172"/>
      <c r="R16" s="172"/>
      <c r="S16" s="172"/>
      <c r="T16" s="172"/>
      <c r="U16" s="172"/>
      <c r="V16" s="172"/>
      <c r="W16" s="172"/>
      <c r="X16" s="172"/>
      <c r="Y16" s="172"/>
      <c r="Z16" s="172"/>
    </row>
    <row r="17" hidden="1">
      <c r="A17" s="172"/>
      <c r="B17" s="174"/>
      <c r="C17" s="174"/>
      <c r="D17" s="174"/>
      <c r="E17" s="174"/>
      <c r="F17" s="182">
        <v>5.0</v>
      </c>
      <c r="G17" s="172" t="str">
        <f>IFERROR(__xludf.DUMMYFUNCTION("TRIM(REGEXREPLACE(C17, ""[0-9]+[a-f]?\."", """"))"),"")</f>
        <v/>
      </c>
      <c r="H17" s="172" t="str">
        <f>IFERROR(__xludf.DUMMYFUNCTION("TRIM(REGEXREPLACE(D17, ""[0-9]+[a-f]?\."", """"))"),"")</f>
        <v/>
      </c>
      <c r="I17" s="172" t="str">
        <f>IFERROR(__xludf.DUMMYFUNCTION("TRIM(REGEXREPLACE(E17, ""[0-9]+[a-f]?\."", """"))"),"")</f>
        <v/>
      </c>
      <c r="J17" s="172" t="s">
        <v>163</v>
      </c>
      <c r="K17" s="172" t="s">
        <v>164</v>
      </c>
      <c r="L17" s="172" t="s">
        <v>165</v>
      </c>
      <c r="M17" s="172"/>
      <c r="N17" s="172"/>
      <c r="O17" s="172"/>
      <c r="P17" s="172"/>
      <c r="Q17" s="172"/>
      <c r="R17" s="172"/>
      <c r="S17" s="172"/>
      <c r="T17" s="172"/>
      <c r="U17" s="172"/>
      <c r="V17" s="172"/>
      <c r="W17" s="172"/>
      <c r="X17" s="172"/>
      <c r="Y17" s="172"/>
      <c r="Z17" s="172"/>
    </row>
    <row r="18" hidden="1">
      <c r="A18" s="188" t="s">
        <v>68</v>
      </c>
      <c r="B18" s="189" t="s">
        <v>69</v>
      </c>
      <c r="C18" s="190"/>
      <c r="D18" s="190"/>
      <c r="E18" s="190"/>
      <c r="F18" s="182">
        <v>5.0</v>
      </c>
      <c r="G18" s="172" t="str">
        <f>IFERROR(__xludf.DUMMYFUNCTION("TRIM(REGEXREPLACE(C18, ""[0-9]+[a-f]?\."", """"))"),"")</f>
        <v/>
      </c>
      <c r="H18" s="172" t="str">
        <f>IFERROR(__xludf.DUMMYFUNCTION("TRIM(REGEXREPLACE(D18, ""[0-9]+[a-f]?\."", """"))"),"")</f>
        <v/>
      </c>
      <c r="I18" s="172" t="str">
        <f>IFERROR(__xludf.DUMMYFUNCTION("TRIM(REGEXREPLACE(E18, ""[0-9]+[a-f]?\."", """"))"),"")</f>
        <v/>
      </c>
      <c r="J18" s="172" t="s">
        <v>163</v>
      </c>
      <c r="K18" s="172" t="s">
        <v>164</v>
      </c>
      <c r="L18" s="172" t="s">
        <v>165</v>
      </c>
      <c r="M18" s="172"/>
      <c r="N18" s="172"/>
      <c r="O18" s="172"/>
      <c r="P18" s="172"/>
      <c r="Q18" s="172"/>
      <c r="R18" s="172"/>
      <c r="S18" s="172"/>
      <c r="T18" s="172"/>
      <c r="U18" s="172"/>
      <c r="V18" s="172"/>
      <c r="W18" s="172"/>
      <c r="X18" s="172"/>
      <c r="Y18" s="172"/>
      <c r="Z18" s="172"/>
    </row>
    <row r="19" hidden="1">
      <c r="A19" s="172"/>
      <c r="B19" s="174"/>
      <c r="C19" s="174"/>
      <c r="D19" s="174"/>
      <c r="E19" s="174"/>
      <c r="F19" s="182">
        <v>6.0</v>
      </c>
      <c r="G19" s="172" t="str">
        <f>IFERROR(__xludf.DUMMYFUNCTION("TRIM(REGEXREPLACE(C19, ""[0-9]+[a-f]?\."", """"))"),"")</f>
        <v/>
      </c>
      <c r="H19" s="172" t="str">
        <f>IFERROR(__xludf.DUMMYFUNCTION("TRIM(REGEXREPLACE(D19, ""[0-9]+[a-f]?\."", """"))"),"")</f>
        <v/>
      </c>
      <c r="I19" s="172" t="str">
        <f>IFERROR(__xludf.DUMMYFUNCTION("TRIM(REGEXREPLACE(E19, ""[0-9]+[a-f]?\."", """"))"),"")</f>
        <v/>
      </c>
      <c r="J19" s="172" t="s">
        <v>181</v>
      </c>
      <c r="K19" s="172" t="s">
        <v>182</v>
      </c>
      <c r="L19" s="172" t="s">
        <v>205</v>
      </c>
      <c r="M19" s="172"/>
      <c r="N19" s="172"/>
      <c r="O19" s="172"/>
      <c r="P19" s="172"/>
      <c r="Q19" s="172"/>
      <c r="R19" s="172"/>
      <c r="S19" s="172"/>
      <c r="T19" s="172"/>
      <c r="U19" s="172"/>
      <c r="V19" s="172"/>
      <c r="W19" s="172"/>
      <c r="X19" s="172"/>
      <c r="Y19" s="172"/>
      <c r="Z19" s="172"/>
    </row>
    <row r="20" hidden="1">
      <c r="A20" s="188" t="s">
        <v>68</v>
      </c>
      <c r="B20" s="189" t="s">
        <v>74</v>
      </c>
      <c r="C20" s="190"/>
      <c r="D20" s="190"/>
      <c r="E20" s="190"/>
      <c r="F20" s="182">
        <v>6.0</v>
      </c>
      <c r="G20" s="172" t="str">
        <f>IFERROR(__xludf.DUMMYFUNCTION("TRIM(REGEXREPLACE(C20, ""[0-9]+[a-f]?\."", """"))"),"")</f>
        <v/>
      </c>
      <c r="H20" s="172" t="str">
        <f>IFERROR(__xludf.DUMMYFUNCTION("TRIM(REGEXREPLACE(D20, ""[0-9]+[a-f]?\."", """"))"),"")</f>
        <v/>
      </c>
      <c r="I20" s="172" t="str">
        <f>IFERROR(__xludf.DUMMYFUNCTION("TRIM(REGEXREPLACE(E20, ""[0-9]+[a-f]?\."", """"))"),"")</f>
        <v/>
      </c>
      <c r="J20" s="172" t="s">
        <v>181</v>
      </c>
      <c r="K20" s="172" t="s">
        <v>182</v>
      </c>
      <c r="L20" s="172" t="s">
        <v>205</v>
      </c>
      <c r="M20" s="172"/>
      <c r="N20" s="172"/>
      <c r="O20" s="172"/>
      <c r="P20" s="172"/>
      <c r="Q20" s="172"/>
      <c r="R20" s="172"/>
      <c r="S20" s="172"/>
      <c r="T20" s="172"/>
      <c r="U20" s="172"/>
      <c r="V20" s="172"/>
      <c r="W20" s="172"/>
      <c r="X20" s="172"/>
      <c r="Y20" s="172"/>
      <c r="Z20" s="172"/>
    </row>
    <row r="21" hidden="1">
      <c r="A21" s="172"/>
      <c r="B21" s="174"/>
      <c r="C21" s="174"/>
      <c r="D21" s="174"/>
      <c r="E21" s="174"/>
      <c r="F21" s="175"/>
      <c r="G21" s="172" t="str">
        <f>IFERROR(__xludf.DUMMYFUNCTION("TRIM(REGEXREPLACE(C21, ""[0-9]+[a-f]?\."", """"))"),"")</f>
        <v/>
      </c>
      <c r="H21" s="172" t="str">
        <f>IFERROR(__xludf.DUMMYFUNCTION("TRIM(REGEXREPLACE(D21, ""[0-9]+[a-f]?\."", """"))"),"")</f>
        <v/>
      </c>
      <c r="I21" s="172" t="str">
        <f>IFERROR(__xludf.DUMMYFUNCTION("TRIM(REGEXREPLACE(E21, ""[0-9]+[a-f]?\."", """"))"),"")</f>
        <v/>
      </c>
      <c r="J21" s="172" t="s">
        <v>681</v>
      </c>
      <c r="K21" s="172" t="s">
        <v>682</v>
      </c>
      <c r="L21" s="176" t="s">
        <v>684</v>
      </c>
      <c r="M21" s="172"/>
      <c r="N21" s="172"/>
      <c r="O21" s="172"/>
      <c r="P21" s="172"/>
      <c r="Q21" s="172"/>
      <c r="R21" s="172"/>
      <c r="S21" s="172"/>
      <c r="T21" s="172"/>
      <c r="U21" s="172"/>
      <c r="V21" s="172"/>
      <c r="W21" s="172"/>
      <c r="X21" s="172"/>
      <c r="Y21" s="172"/>
      <c r="Z21" s="172"/>
    </row>
    <row r="22" hidden="1">
      <c r="A22" s="172"/>
      <c r="B22" s="174"/>
      <c r="C22" s="174"/>
      <c r="D22" s="174"/>
      <c r="E22" s="174"/>
      <c r="F22" s="175"/>
      <c r="G22" s="172" t="str">
        <f>IFERROR(__xludf.DUMMYFUNCTION("TRIM(REGEXREPLACE(C22, ""[0-9]+[a-f]?\."", """"))"),"")</f>
        <v/>
      </c>
      <c r="H22" s="172" t="str">
        <f>IFERROR(__xludf.DUMMYFUNCTION("TRIM(REGEXREPLACE(D22, ""[0-9]+[a-f]?\."", """"))"),"")</f>
        <v/>
      </c>
      <c r="I22" s="172" t="str">
        <f>IFERROR(__xludf.DUMMYFUNCTION("TRIM(REGEXREPLACE(E22, ""[0-9]+[a-f]?\."", """"))"),"")</f>
        <v/>
      </c>
      <c r="J22" s="172" t="s">
        <v>687</v>
      </c>
      <c r="K22" s="172" t="s">
        <v>688</v>
      </c>
      <c r="L22" s="176" t="s">
        <v>689</v>
      </c>
      <c r="M22" s="172"/>
      <c r="N22" s="172"/>
      <c r="O22" s="172"/>
      <c r="P22" s="172"/>
      <c r="Q22" s="172"/>
      <c r="R22" s="172"/>
      <c r="S22" s="172"/>
      <c r="T22" s="172"/>
      <c r="U22" s="172"/>
      <c r="V22" s="172"/>
      <c r="W22" s="172"/>
      <c r="X22" s="172"/>
      <c r="Y22" s="172"/>
      <c r="Z22" s="172"/>
    </row>
    <row r="23" hidden="1">
      <c r="A23" s="172"/>
      <c r="B23" s="174"/>
      <c r="C23" s="174"/>
      <c r="D23" s="174"/>
      <c r="E23" s="174"/>
      <c r="F23" s="182">
        <v>7.0</v>
      </c>
      <c r="G23" s="172" t="str">
        <f>IFERROR(__xludf.DUMMYFUNCTION("TRIM(REGEXREPLACE(C23, ""[0-9]+[a-f]?\."", """"))"),"")</f>
        <v/>
      </c>
      <c r="H23" s="172" t="str">
        <f>IFERROR(__xludf.DUMMYFUNCTION("TRIM(REGEXREPLACE(D23, ""[0-9]+[a-f]?\."", """"))"),"")</f>
        <v/>
      </c>
      <c r="I23" s="172" t="str">
        <f>IFERROR(__xludf.DUMMYFUNCTION("TRIM(REGEXREPLACE(E23, ""[0-9]+[a-f]?\."", """"))"),"")</f>
        <v/>
      </c>
      <c r="J23" s="172" t="s">
        <v>223</v>
      </c>
      <c r="K23" s="172" t="s">
        <v>224</v>
      </c>
      <c r="L23" s="172" t="s">
        <v>225</v>
      </c>
      <c r="M23" s="172"/>
      <c r="N23" s="172"/>
      <c r="O23" s="172"/>
      <c r="P23" s="172"/>
      <c r="Q23" s="172"/>
      <c r="R23" s="172"/>
      <c r="S23" s="172"/>
      <c r="T23" s="172"/>
      <c r="U23" s="172"/>
      <c r="V23" s="172"/>
      <c r="W23" s="172"/>
      <c r="X23" s="172"/>
      <c r="Y23" s="172"/>
      <c r="Z23" s="172"/>
    </row>
    <row r="24" hidden="1">
      <c r="A24" s="195" t="s">
        <v>83</v>
      </c>
      <c r="B24" s="196" t="s">
        <v>84</v>
      </c>
      <c r="C24" s="197" t="s">
        <v>85</v>
      </c>
      <c r="D24" s="198"/>
      <c r="E24" s="198"/>
      <c r="F24" s="182">
        <v>7.0</v>
      </c>
      <c r="G24" s="172" t="str">
        <f>IFERROR(__xludf.DUMMYFUNCTION("TRIM(REGEXREPLACE(C24, ""[0-9]+[a-f]?\."", """"))"),"Question Durations")</f>
        <v>Question Durations</v>
      </c>
      <c r="H24" s="172" t="str">
        <f>IFERROR(__xludf.DUMMYFUNCTION("TRIM(REGEXREPLACE(D24, ""[0-9]+[a-f]?\."", """"))"),"")</f>
        <v/>
      </c>
      <c r="I24" s="172" t="str">
        <f>IFERROR(__xludf.DUMMYFUNCTION("TRIM(REGEXREPLACE(E24, ""[0-9]+[a-f]?\."", """"))"),"")</f>
        <v/>
      </c>
      <c r="J24" s="172" t="s">
        <v>223</v>
      </c>
      <c r="K24" s="172" t="s">
        <v>224</v>
      </c>
      <c r="L24" s="172" t="s">
        <v>225</v>
      </c>
      <c r="M24" s="172"/>
      <c r="N24" s="172"/>
      <c r="O24" s="172"/>
      <c r="P24" s="172"/>
      <c r="Q24" s="172"/>
      <c r="R24" s="172"/>
      <c r="S24" s="172"/>
      <c r="T24" s="172"/>
      <c r="U24" s="172"/>
      <c r="V24" s="172"/>
      <c r="W24" s="172"/>
      <c r="X24" s="172"/>
      <c r="Y24" s="172"/>
      <c r="Z24" s="172"/>
    </row>
    <row r="25" hidden="1">
      <c r="A25" s="172"/>
      <c r="B25" s="174"/>
      <c r="C25" s="174"/>
      <c r="D25" s="174"/>
      <c r="E25" s="174"/>
      <c r="F25" s="175"/>
      <c r="G25" s="172" t="str">
        <f>IFERROR(__xludf.DUMMYFUNCTION("TRIM(REGEXREPLACE(C25, ""[0-9]+[a-f]?\."", """"))"),"")</f>
        <v/>
      </c>
      <c r="H25" s="172" t="str">
        <f>IFERROR(__xludf.DUMMYFUNCTION("TRIM(REGEXREPLACE(D25, ""[0-9]+[a-f]?\."", """"))"),"")</f>
        <v/>
      </c>
      <c r="I25" s="172" t="str">
        <f>IFERROR(__xludf.DUMMYFUNCTION("TRIM(REGEXREPLACE(E25, ""[0-9]+[a-f]?\."", """"))"),"")</f>
        <v/>
      </c>
      <c r="J25" s="172" t="s">
        <v>695</v>
      </c>
      <c r="K25" s="172" t="s">
        <v>696</v>
      </c>
      <c r="L25" s="176" t="s">
        <v>699</v>
      </c>
      <c r="M25" s="172"/>
      <c r="N25" s="172"/>
      <c r="O25" s="172"/>
      <c r="P25" s="172"/>
      <c r="Q25" s="172"/>
      <c r="R25" s="172"/>
      <c r="S25" s="172"/>
      <c r="T25" s="172"/>
      <c r="U25" s="172"/>
      <c r="V25" s="172"/>
      <c r="W25" s="172"/>
      <c r="X25" s="172"/>
      <c r="Y25" s="172"/>
      <c r="Z25" s="172"/>
    </row>
    <row r="26" hidden="1">
      <c r="A26" s="172"/>
      <c r="B26" s="174"/>
      <c r="C26" s="174"/>
      <c r="D26" s="174"/>
      <c r="E26" s="174"/>
      <c r="F26" s="175"/>
      <c r="G26" s="172" t="str">
        <f>IFERROR(__xludf.DUMMYFUNCTION("TRIM(REGEXREPLACE(C26, ""[0-9]+[a-f]?\."", """"))"),"")</f>
        <v/>
      </c>
      <c r="H26" s="172" t="str">
        <f>IFERROR(__xludf.DUMMYFUNCTION("TRIM(REGEXREPLACE(D26, ""[0-9]+[a-f]?\."", """"))"),"")</f>
        <v/>
      </c>
      <c r="I26" s="172" t="str">
        <f>IFERROR(__xludf.DUMMYFUNCTION("TRIM(REGEXREPLACE(E26, ""[0-9]+[a-f]?\."", """"))"),"")</f>
        <v/>
      </c>
      <c r="J26" s="172" t="s">
        <v>704</v>
      </c>
      <c r="K26" s="172" t="s">
        <v>705</v>
      </c>
      <c r="L26" s="176" t="s">
        <v>706</v>
      </c>
      <c r="M26" s="172"/>
      <c r="N26" s="172"/>
      <c r="O26" s="172"/>
      <c r="P26" s="172"/>
      <c r="Q26" s="172"/>
      <c r="R26" s="172"/>
      <c r="S26" s="172"/>
      <c r="T26" s="172"/>
      <c r="U26" s="172"/>
      <c r="V26" s="172"/>
      <c r="W26" s="172"/>
      <c r="X26" s="172"/>
      <c r="Y26" s="172"/>
      <c r="Z26" s="172"/>
    </row>
    <row r="27" hidden="1">
      <c r="A27" s="172"/>
      <c r="B27" s="174"/>
      <c r="C27" s="174"/>
      <c r="D27" s="174"/>
      <c r="E27" s="174"/>
      <c r="F27" s="175"/>
      <c r="G27" s="172" t="str">
        <f>IFERROR(__xludf.DUMMYFUNCTION("TRIM(REGEXREPLACE(C27, ""[0-9]+[a-f]?\."", """"))"),"")</f>
        <v/>
      </c>
      <c r="H27" s="172" t="str">
        <f>IFERROR(__xludf.DUMMYFUNCTION("TRIM(REGEXREPLACE(D27, ""[0-9]+[a-f]?\."", """"))"),"")</f>
        <v/>
      </c>
      <c r="I27" s="172" t="str">
        <f>IFERROR(__xludf.DUMMYFUNCTION("TRIM(REGEXREPLACE(E27, ""[0-9]+[a-f]?\."", """"))"),"")</f>
        <v/>
      </c>
      <c r="J27" s="172" t="s">
        <v>717</v>
      </c>
      <c r="K27" s="172" t="s">
        <v>718</v>
      </c>
      <c r="L27" s="176" t="s">
        <v>719</v>
      </c>
      <c r="M27" s="172"/>
      <c r="N27" s="172"/>
      <c r="O27" s="172"/>
      <c r="P27" s="172"/>
      <c r="Q27" s="172"/>
      <c r="R27" s="172"/>
      <c r="S27" s="172"/>
      <c r="T27" s="172"/>
      <c r="U27" s="172"/>
      <c r="V27" s="172"/>
      <c r="W27" s="172"/>
      <c r="X27" s="172"/>
      <c r="Y27" s="172"/>
      <c r="Z27" s="172"/>
    </row>
    <row r="28" hidden="1">
      <c r="A28" s="172"/>
      <c r="B28" s="174"/>
      <c r="C28" s="174"/>
      <c r="D28" s="174"/>
      <c r="E28" s="174"/>
      <c r="F28" s="175"/>
      <c r="G28" s="172" t="str">
        <f>IFERROR(__xludf.DUMMYFUNCTION("TRIM(REGEXREPLACE(C28, ""[0-9]+[a-f]?\."", """"))"),"")</f>
        <v/>
      </c>
      <c r="H28" s="172" t="str">
        <f>IFERROR(__xludf.DUMMYFUNCTION("TRIM(REGEXREPLACE(D28, ""[0-9]+[a-f]?\."", """"))"),"")</f>
        <v/>
      </c>
      <c r="I28" s="172" t="str">
        <f>IFERROR(__xludf.DUMMYFUNCTION("TRIM(REGEXREPLACE(E28, ""[0-9]+[a-f]?\."", """"))"),"")</f>
        <v/>
      </c>
      <c r="J28" s="172" t="s">
        <v>729</v>
      </c>
      <c r="K28" s="172" t="s">
        <v>730</v>
      </c>
      <c r="L28" s="176" t="s">
        <v>731</v>
      </c>
      <c r="M28" s="172"/>
      <c r="N28" s="172"/>
      <c r="O28" s="172"/>
      <c r="P28" s="172"/>
      <c r="Q28" s="172"/>
      <c r="R28" s="172"/>
      <c r="S28" s="172"/>
      <c r="T28" s="172"/>
      <c r="U28" s="172"/>
      <c r="V28" s="172"/>
      <c r="W28" s="172"/>
      <c r="X28" s="172"/>
      <c r="Y28" s="172"/>
      <c r="Z28" s="172"/>
    </row>
    <row r="29" hidden="1">
      <c r="A29" s="172"/>
      <c r="B29" s="174"/>
      <c r="C29" s="174"/>
      <c r="D29" s="174"/>
      <c r="E29" s="174"/>
      <c r="F29" s="175"/>
      <c r="G29" s="172" t="str">
        <f>IFERROR(__xludf.DUMMYFUNCTION("TRIM(REGEXREPLACE(C29, ""[0-9]+[a-f]?\."", """"))"),"")</f>
        <v/>
      </c>
      <c r="H29" s="172" t="str">
        <f>IFERROR(__xludf.DUMMYFUNCTION("TRIM(REGEXREPLACE(D29, ""[0-9]+[a-f]?\."", """"))"),"")</f>
        <v/>
      </c>
      <c r="I29" s="172" t="str">
        <f>IFERROR(__xludf.DUMMYFUNCTION("TRIM(REGEXREPLACE(E29, ""[0-9]+[a-f]?\."", """"))"),"")</f>
        <v/>
      </c>
      <c r="J29" s="172" t="s">
        <v>733</v>
      </c>
      <c r="K29" s="172" t="s">
        <v>736</v>
      </c>
      <c r="L29" s="176" t="s">
        <v>738</v>
      </c>
      <c r="M29" s="172"/>
      <c r="N29" s="172"/>
      <c r="O29" s="172"/>
      <c r="P29" s="172"/>
      <c r="Q29" s="172"/>
      <c r="R29" s="172"/>
      <c r="S29" s="172"/>
      <c r="T29" s="172"/>
      <c r="U29" s="172"/>
      <c r="V29" s="172"/>
      <c r="W29" s="172"/>
      <c r="X29" s="172"/>
      <c r="Y29" s="172"/>
      <c r="Z29" s="172"/>
    </row>
    <row r="30" hidden="1">
      <c r="A30" s="172"/>
      <c r="B30" s="174"/>
      <c r="C30" s="174"/>
      <c r="D30" s="174"/>
      <c r="E30" s="174"/>
      <c r="F30" s="175"/>
      <c r="G30" s="172" t="str">
        <f>IFERROR(__xludf.DUMMYFUNCTION("TRIM(REGEXREPLACE(C30, ""[0-9]+[a-f]?\."", """"))"),"")</f>
        <v/>
      </c>
      <c r="H30" s="172" t="str">
        <f>IFERROR(__xludf.DUMMYFUNCTION("TRIM(REGEXREPLACE(D30, ""[0-9]+[a-f]?\."", """"))"),"")</f>
        <v/>
      </c>
      <c r="I30" s="172" t="str">
        <f>IFERROR(__xludf.DUMMYFUNCTION("TRIM(REGEXREPLACE(E30, ""[0-9]+[a-f]?\."", """"))"),"")</f>
        <v/>
      </c>
      <c r="J30" s="172" t="s">
        <v>741</v>
      </c>
      <c r="K30" s="172" t="s">
        <v>742</v>
      </c>
      <c r="L30" s="176" t="s">
        <v>743</v>
      </c>
      <c r="M30" s="172"/>
      <c r="N30" s="172"/>
      <c r="O30" s="172"/>
      <c r="P30" s="172"/>
      <c r="Q30" s="172"/>
      <c r="R30" s="172"/>
      <c r="S30" s="172"/>
      <c r="T30" s="172"/>
      <c r="U30" s="172"/>
      <c r="V30" s="172"/>
      <c r="W30" s="172"/>
      <c r="X30" s="172"/>
      <c r="Y30" s="172"/>
      <c r="Z30" s="172"/>
    </row>
    <row r="31" hidden="1">
      <c r="A31" s="172"/>
      <c r="B31" s="174"/>
      <c r="C31" s="174"/>
      <c r="D31" s="174"/>
      <c r="E31" s="174"/>
      <c r="F31" s="175"/>
      <c r="G31" s="172" t="str">
        <f>IFERROR(__xludf.DUMMYFUNCTION("TRIM(REGEXREPLACE(C31, ""[0-9]+[a-f]?\."", """"))"),"")</f>
        <v/>
      </c>
      <c r="H31" s="172" t="str">
        <f>IFERROR(__xludf.DUMMYFUNCTION("TRIM(REGEXREPLACE(D31, ""[0-9]+[a-f]?\."", """"))"),"")</f>
        <v/>
      </c>
      <c r="I31" s="172" t="str">
        <f>IFERROR(__xludf.DUMMYFUNCTION("TRIM(REGEXREPLACE(E31, ""[0-9]+[a-f]?\."", """"))"),"")</f>
        <v/>
      </c>
      <c r="J31" s="172" t="s">
        <v>744</v>
      </c>
      <c r="K31" s="172" t="s">
        <v>745</v>
      </c>
      <c r="L31" s="176" t="s">
        <v>746</v>
      </c>
      <c r="M31" s="172"/>
      <c r="N31" s="172"/>
      <c r="O31" s="172"/>
      <c r="P31" s="172"/>
      <c r="Q31" s="172"/>
      <c r="R31" s="172"/>
      <c r="S31" s="172"/>
      <c r="T31" s="172"/>
      <c r="U31" s="172"/>
      <c r="V31" s="172"/>
      <c r="W31" s="172"/>
      <c r="X31" s="172"/>
      <c r="Y31" s="172"/>
      <c r="Z31" s="172"/>
    </row>
    <row r="32" hidden="1">
      <c r="A32" s="172"/>
      <c r="B32" s="174"/>
      <c r="C32" s="174"/>
      <c r="D32" s="174"/>
      <c r="E32" s="174"/>
      <c r="F32" s="175"/>
      <c r="G32" s="172" t="str">
        <f>IFERROR(__xludf.DUMMYFUNCTION("TRIM(REGEXREPLACE(C32, ""[0-9]+[a-f]?\."", """"))"),"")</f>
        <v/>
      </c>
      <c r="H32" s="172" t="str">
        <f>IFERROR(__xludf.DUMMYFUNCTION("TRIM(REGEXREPLACE(D32, ""[0-9]+[a-f]?\."", """"))"),"")</f>
        <v/>
      </c>
      <c r="I32" s="172" t="str">
        <f>IFERROR(__xludf.DUMMYFUNCTION("TRIM(REGEXREPLACE(E32, ""[0-9]+[a-f]?\."", """"))"),"")</f>
        <v/>
      </c>
      <c r="J32" s="172" t="s">
        <v>747</v>
      </c>
      <c r="K32" s="172" t="s">
        <v>748</v>
      </c>
      <c r="L32" s="176" t="s">
        <v>749</v>
      </c>
      <c r="M32" s="172"/>
      <c r="N32" s="172"/>
      <c r="O32" s="172"/>
      <c r="P32" s="172"/>
      <c r="Q32" s="172"/>
      <c r="R32" s="172"/>
      <c r="S32" s="172"/>
      <c r="T32" s="172"/>
      <c r="U32" s="172"/>
      <c r="V32" s="172"/>
      <c r="W32" s="172"/>
      <c r="X32" s="172"/>
      <c r="Y32" s="172"/>
      <c r="Z32" s="172"/>
    </row>
    <row r="33" hidden="1">
      <c r="A33" s="172"/>
      <c r="B33" s="174"/>
      <c r="C33" s="174"/>
      <c r="D33" s="174"/>
      <c r="E33" s="174"/>
      <c r="F33" s="182">
        <v>8.0</v>
      </c>
      <c r="G33" s="172" t="str">
        <f>IFERROR(__xludf.DUMMYFUNCTION("TRIM(REGEXREPLACE(C33, ""[0-9]+[a-f]?\."", """"))"),"")</f>
        <v/>
      </c>
      <c r="H33" s="172" t="str">
        <f>IFERROR(__xludf.DUMMYFUNCTION("TRIM(REGEXREPLACE(D33, ""[0-9]+[a-f]?\."", """"))"),"")</f>
        <v/>
      </c>
      <c r="I33" s="172" t="str">
        <f>IFERROR(__xludf.DUMMYFUNCTION("TRIM(REGEXREPLACE(E33, ""[0-9]+[a-f]?\."", """"))"),"")</f>
        <v/>
      </c>
      <c r="J33" s="172" t="s">
        <v>256</v>
      </c>
      <c r="K33" s="172" t="s">
        <v>617</v>
      </c>
      <c r="L33" s="172" t="s">
        <v>617</v>
      </c>
      <c r="M33" s="172"/>
      <c r="N33" s="172"/>
      <c r="O33" s="172"/>
      <c r="P33" s="172"/>
      <c r="Q33" s="172"/>
      <c r="R33" s="172"/>
      <c r="S33" s="172"/>
      <c r="T33" s="172"/>
      <c r="U33" s="172"/>
      <c r="V33" s="172"/>
      <c r="W33" s="172"/>
      <c r="X33" s="172"/>
      <c r="Y33" s="172"/>
      <c r="Z33" s="172"/>
    </row>
    <row r="34">
      <c r="A34" s="207" t="s">
        <v>41</v>
      </c>
      <c r="B34" s="208" t="s">
        <v>88</v>
      </c>
      <c r="C34" s="208" t="s">
        <v>626</v>
      </c>
      <c r="D34" s="208" t="s">
        <v>627</v>
      </c>
      <c r="E34" s="208" t="s">
        <v>628</v>
      </c>
      <c r="F34" s="182">
        <v>1.0</v>
      </c>
      <c r="G34" s="172" t="str">
        <f>IFERROR(__xludf.DUMMYFUNCTION("TRIM(REGEXREPLACE(C34, ""[0-9]+[a-f]?\."", """"))"),"Follow-up Round 3")</f>
        <v>Follow-up Round 3</v>
      </c>
      <c r="H34" s="172" t="str">
        <f>IFERROR(__xludf.DUMMYFUNCTION("TRIM(REGEXREPLACE(D34, ""[0-9]+[a-f]?\."", """"))"),"Suivi du troisième tour")</f>
        <v>Suivi du troisième tour</v>
      </c>
      <c r="I34" s="172" t="str">
        <f>IFERROR(__xludf.DUMMYFUNCTION("TRIM(REGEXREPLACE(E34, ""[0-9]+[a-f]?\."", """"))"),"Bibiyar Zagaye na 3")</f>
        <v>Bibiyar Zagaye na 3</v>
      </c>
      <c r="J34" s="172" t="str">
        <f t="shared" ref="J34:L34" si="1">$F34 &amp; ". " &amp;G34</f>
        <v>1. Follow-up Round 3</v>
      </c>
      <c r="K34" s="172" t="str">
        <f t="shared" si="1"/>
        <v>1. Suivi du troisième tour</v>
      </c>
      <c r="L34" s="172" t="str">
        <f t="shared" si="1"/>
        <v>1. Bibiyar Zagaye na 3</v>
      </c>
      <c r="M34" s="172"/>
      <c r="N34" s="172"/>
      <c r="O34" s="172"/>
      <c r="P34" s="172"/>
      <c r="Q34" s="172"/>
      <c r="R34" s="172"/>
      <c r="S34" s="172"/>
      <c r="T34" s="172"/>
      <c r="U34" s="172"/>
      <c r="V34" s="172"/>
      <c r="W34" s="172"/>
      <c r="X34" s="172"/>
      <c r="Y34" s="172"/>
      <c r="Z34" s="172"/>
    </row>
    <row r="35" hidden="1">
      <c r="A35" s="172"/>
      <c r="B35" s="174"/>
      <c r="C35" s="174"/>
      <c r="D35" s="174"/>
      <c r="E35" s="174"/>
      <c r="F35" s="175"/>
      <c r="G35" s="172" t="str">
        <f>IFERROR(__xludf.DUMMYFUNCTION("TRIM(REGEXREPLACE(C35, ""[0-9]+[a-f]?\."", """"))"),"")</f>
        <v/>
      </c>
      <c r="H35" s="172" t="str">
        <f>IFERROR(__xludf.DUMMYFUNCTION("TRIM(REGEXREPLACE(D35, ""[0-9]+[a-f]?\."", """"))"),"")</f>
        <v/>
      </c>
      <c r="I35" s="172" t="str">
        <f>IFERROR(__xludf.DUMMYFUNCTION("TRIM(REGEXREPLACE(E35, ""[0-9]+[a-f]?\."", """"))"),"")</f>
        <v/>
      </c>
      <c r="J35" s="172" t="s">
        <v>760</v>
      </c>
      <c r="K35" s="172" t="s">
        <v>761</v>
      </c>
      <c r="L35" s="176" t="s">
        <v>762</v>
      </c>
      <c r="M35" s="172"/>
      <c r="N35" s="172"/>
      <c r="O35" s="172"/>
      <c r="P35" s="172"/>
      <c r="Q35" s="172"/>
      <c r="R35" s="172"/>
      <c r="S35" s="172"/>
      <c r="T35" s="172"/>
      <c r="U35" s="172"/>
      <c r="V35" s="172"/>
      <c r="W35" s="172"/>
      <c r="X35" s="172"/>
      <c r="Y35" s="172"/>
      <c r="Z35" s="172"/>
    </row>
    <row r="36" hidden="1">
      <c r="A36" s="172"/>
      <c r="B36" s="174"/>
      <c r="C36" s="174"/>
      <c r="D36" s="174"/>
      <c r="E36" s="174"/>
      <c r="F36" s="175"/>
      <c r="G36" s="172" t="str">
        <f>IFERROR(__xludf.DUMMYFUNCTION("TRIM(REGEXREPLACE(C36, ""[0-9]+[a-f]?\."", """"))"),"")</f>
        <v/>
      </c>
      <c r="H36" s="172" t="str">
        <f>IFERROR(__xludf.DUMMYFUNCTION("TRIM(REGEXREPLACE(D36, ""[0-9]+[a-f]?\."", """"))"),"")</f>
        <v/>
      </c>
      <c r="I36" s="172" t="str">
        <f>IFERROR(__xludf.DUMMYFUNCTION("TRIM(REGEXREPLACE(E36, ""[0-9]+[a-f]?\."", """"))"),"")</f>
        <v/>
      </c>
      <c r="J36" s="172" t="s">
        <v>763</v>
      </c>
      <c r="K36" s="172" t="s">
        <v>764</v>
      </c>
      <c r="L36" s="176" t="s">
        <v>765</v>
      </c>
      <c r="M36" s="172"/>
      <c r="N36" s="172"/>
      <c r="O36" s="172"/>
      <c r="P36" s="172"/>
      <c r="Q36" s="172"/>
      <c r="R36" s="172"/>
      <c r="S36" s="172"/>
      <c r="T36" s="172"/>
      <c r="U36" s="172"/>
      <c r="V36" s="172"/>
      <c r="W36" s="172"/>
      <c r="X36" s="172"/>
      <c r="Y36" s="172"/>
      <c r="Z36" s="172"/>
    </row>
    <row r="37" hidden="1">
      <c r="A37" s="172"/>
      <c r="B37" s="174"/>
      <c r="C37" s="174"/>
      <c r="D37" s="174"/>
      <c r="E37" s="174"/>
      <c r="F37" s="175"/>
      <c r="G37" s="172" t="str">
        <f>IFERROR(__xludf.DUMMYFUNCTION("TRIM(REGEXREPLACE(C37, ""[0-9]+[a-f]?\."", """"))"),"")</f>
        <v/>
      </c>
      <c r="H37" s="172" t="str">
        <f>IFERROR(__xludf.DUMMYFUNCTION("TRIM(REGEXREPLACE(D37, ""[0-9]+[a-f]?\."", """"))"),"")</f>
        <v/>
      </c>
      <c r="I37" s="172" t="str">
        <f>IFERROR(__xludf.DUMMYFUNCTION("TRIM(REGEXREPLACE(E37, ""[0-9]+[a-f]?\."", """"))"),"")</f>
        <v/>
      </c>
      <c r="J37" s="172" t="s">
        <v>768</v>
      </c>
      <c r="K37" s="172" t="s">
        <v>769</v>
      </c>
      <c r="L37" s="176" t="s">
        <v>770</v>
      </c>
      <c r="M37" s="172"/>
      <c r="N37" s="172"/>
      <c r="O37" s="172"/>
      <c r="P37" s="172"/>
      <c r="Q37" s="172"/>
      <c r="R37" s="172"/>
      <c r="S37" s="172"/>
      <c r="T37" s="172"/>
      <c r="U37" s="172"/>
      <c r="V37" s="172"/>
      <c r="W37" s="172"/>
      <c r="X37" s="172"/>
      <c r="Y37" s="172"/>
      <c r="Z37" s="172"/>
    </row>
    <row r="38" hidden="1">
      <c r="A38" s="172"/>
      <c r="B38" s="174"/>
      <c r="C38" s="174"/>
      <c r="D38" s="174"/>
      <c r="E38" s="174"/>
      <c r="F38" s="175"/>
      <c r="G38" s="172" t="str">
        <f>IFERROR(__xludf.DUMMYFUNCTION("TRIM(REGEXREPLACE(C38, ""[0-9]+[a-f]?\."", """"))"),"")</f>
        <v/>
      </c>
      <c r="H38" s="172" t="str">
        <f>IFERROR(__xludf.DUMMYFUNCTION("TRIM(REGEXREPLACE(D38, ""[0-9]+[a-f]?\."", """"))"),"")</f>
        <v/>
      </c>
      <c r="I38" s="172" t="str">
        <f>IFERROR(__xludf.DUMMYFUNCTION("TRIM(REGEXREPLACE(E38, ""[0-9]+[a-f]?\."", """"))"),"")</f>
        <v/>
      </c>
      <c r="J38" s="172" t="s">
        <v>772</v>
      </c>
      <c r="K38" s="172" t="s">
        <v>773</v>
      </c>
      <c r="L38" s="176" t="s">
        <v>774</v>
      </c>
      <c r="M38" s="172"/>
      <c r="N38" s="172"/>
      <c r="O38" s="172"/>
      <c r="P38" s="172"/>
      <c r="Q38" s="172"/>
      <c r="R38" s="172"/>
      <c r="S38" s="172"/>
      <c r="T38" s="172"/>
      <c r="U38" s="172"/>
      <c r="V38" s="172"/>
      <c r="W38" s="172"/>
      <c r="X38" s="172"/>
      <c r="Y38" s="172"/>
      <c r="Z38" s="172"/>
    </row>
    <row r="39" hidden="1">
      <c r="A39" s="172"/>
      <c r="B39" s="174"/>
      <c r="C39" s="174"/>
      <c r="D39" s="174"/>
      <c r="E39" s="174"/>
      <c r="F39" s="175"/>
      <c r="G39" s="172" t="str">
        <f>IFERROR(__xludf.DUMMYFUNCTION("TRIM(REGEXREPLACE(C39, ""[0-9]+[a-f]?\."", """"))"),"")</f>
        <v/>
      </c>
      <c r="H39" s="172" t="str">
        <f>IFERROR(__xludf.DUMMYFUNCTION("TRIM(REGEXREPLACE(D39, ""[0-9]+[a-f]?\."", """"))"),"")</f>
        <v/>
      </c>
      <c r="I39" s="172" t="str">
        <f>IFERROR(__xludf.DUMMYFUNCTION("TRIM(REGEXREPLACE(E39, ""[0-9]+[a-f]?\."", """"))"),"")</f>
        <v/>
      </c>
      <c r="J39" s="172" t="s">
        <v>775</v>
      </c>
      <c r="K39" s="172" t="s">
        <v>776</v>
      </c>
      <c r="L39" s="176" t="s">
        <v>777</v>
      </c>
      <c r="M39" s="172"/>
      <c r="N39" s="172"/>
      <c r="O39" s="172"/>
      <c r="P39" s="172"/>
      <c r="Q39" s="172"/>
      <c r="R39" s="172"/>
      <c r="S39" s="172"/>
      <c r="T39" s="172"/>
      <c r="U39" s="172"/>
      <c r="V39" s="172"/>
      <c r="W39" s="172"/>
      <c r="X39" s="172"/>
      <c r="Y39" s="172"/>
      <c r="Z39" s="172"/>
    </row>
    <row r="40" hidden="1">
      <c r="A40" s="172"/>
      <c r="B40" s="174"/>
      <c r="C40" s="174"/>
      <c r="D40" s="174"/>
      <c r="E40" s="174"/>
      <c r="F40" s="175"/>
      <c r="G40" s="172" t="str">
        <f>IFERROR(__xludf.DUMMYFUNCTION("TRIM(REGEXREPLACE(C40, ""[0-9]+[a-f]?\."", """"))"),"")</f>
        <v/>
      </c>
      <c r="H40" s="172" t="str">
        <f>IFERROR(__xludf.DUMMYFUNCTION("TRIM(REGEXREPLACE(D40, ""[0-9]+[a-f]?\."", """"))"),"")</f>
        <v/>
      </c>
      <c r="I40" s="172" t="str">
        <f>IFERROR(__xludf.DUMMYFUNCTION("TRIM(REGEXREPLACE(E40, ""[0-9]+[a-f]?\."", """"))"),"")</f>
        <v/>
      </c>
      <c r="J40" s="172" t="s">
        <v>780</v>
      </c>
      <c r="K40" s="172" t="s">
        <v>781</v>
      </c>
      <c r="L40" s="176" t="s">
        <v>782</v>
      </c>
      <c r="M40" s="172"/>
      <c r="N40" s="172"/>
      <c r="O40" s="172"/>
      <c r="P40" s="172"/>
      <c r="Q40" s="172"/>
      <c r="R40" s="172"/>
      <c r="S40" s="172"/>
      <c r="T40" s="172"/>
      <c r="U40" s="172"/>
      <c r="V40" s="172"/>
      <c r="W40" s="172"/>
      <c r="X40" s="172"/>
      <c r="Y40" s="172"/>
      <c r="Z40" s="172"/>
    </row>
    <row r="41" hidden="1">
      <c r="A41" s="172"/>
      <c r="B41" s="174"/>
      <c r="C41" s="174"/>
      <c r="D41" s="174"/>
      <c r="E41" s="174"/>
      <c r="F41" s="175"/>
      <c r="G41" s="172" t="str">
        <f>IFERROR(__xludf.DUMMYFUNCTION("TRIM(REGEXREPLACE(C41, ""[0-9]+[a-f]?\."", """"))"),"")</f>
        <v/>
      </c>
      <c r="H41" s="172" t="str">
        <f>IFERROR(__xludf.DUMMYFUNCTION("TRIM(REGEXREPLACE(D41, ""[0-9]+[a-f]?\."", """"))"),"")</f>
        <v/>
      </c>
      <c r="I41" s="172" t="str">
        <f>IFERROR(__xludf.DUMMYFUNCTION("TRIM(REGEXREPLACE(E41, ""[0-9]+[a-f]?\."", """"))"),"")</f>
        <v/>
      </c>
      <c r="J41" s="172" t="s">
        <v>783</v>
      </c>
      <c r="K41" s="172" t="s">
        <v>784</v>
      </c>
      <c r="L41" s="176" t="s">
        <v>785</v>
      </c>
      <c r="M41" s="172"/>
      <c r="N41" s="172"/>
      <c r="O41" s="172"/>
      <c r="P41" s="172"/>
      <c r="Q41" s="172"/>
      <c r="R41" s="172"/>
      <c r="S41" s="172"/>
      <c r="T41" s="172"/>
      <c r="U41" s="172"/>
      <c r="V41" s="172"/>
      <c r="W41" s="172"/>
      <c r="X41" s="172"/>
      <c r="Y41" s="172"/>
      <c r="Z41" s="172"/>
    </row>
    <row r="42" hidden="1">
      <c r="A42" s="172"/>
      <c r="B42" s="174"/>
      <c r="C42" s="174"/>
      <c r="D42" s="174"/>
      <c r="E42" s="174"/>
      <c r="F42" s="175"/>
      <c r="G42" s="172" t="str">
        <f>IFERROR(__xludf.DUMMYFUNCTION("TRIM(REGEXREPLACE(C42, ""[0-9]+[a-f]?\."", """"))"),"")</f>
        <v/>
      </c>
      <c r="H42" s="172" t="str">
        <f>IFERROR(__xludf.DUMMYFUNCTION("TRIM(REGEXREPLACE(D42, ""[0-9]+[a-f]?\."", """"))"),"")</f>
        <v/>
      </c>
      <c r="I42" s="172" t="str">
        <f>IFERROR(__xludf.DUMMYFUNCTION("TRIM(REGEXREPLACE(E42, ""[0-9]+[a-f]?\."", """"))"),"")</f>
        <v/>
      </c>
      <c r="J42" s="172" t="s">
        <v>786</v>
      </c>
      <c r="K42" s="172" t="s">
        <v>787</v>
      </c>
      <c r="L42" s="176" t="s">
        <v>788</v>
      </c>
      <c r="M42" s="172"/>
      <c r="N42" s="172"/>
      <c r="O42" s="172"/>
      <c r="P42" s="172"/>
      <c r="Q42" s="172"/>
      <c r="R42" s="172"/>
      <c r="S42" s="172"/>
      <c r="T42" s="172"/>
      <c r="U42" s="172"/>
      <c r="V42" s="172"/>
      <c r="W42" s="172"/>
      <c r="X42" s="172"/>
      <c r="Y42" s="172"/>
      <c r="Z42" s="172"/>
    </row>
    <row r="43" hidden="1">
      <c r="A43" s="172"/>
      <c r="B43" s="174"/>
      <c r="C43" s="174"/>
      <c r="D43" s="174"/>
      <c r="E43" s="174"/>
      <c r="F43" s="175"/>
      <c r="G43" s="172" t="str">
        <f>IFERROR(__xludf.DUMMYFUNCTION("TRIM(REGEXREPLACE(C43, ""[0-9]+[a-f]?\."", """"))"),"")</f>
        <v/>
      </c>
      <c r="H43" s="172" t="str">
        <f>IFERROR(__xludf.DUMMYFUNCTION("TRIM(REGEXREPLACE(D43, ""[0-9]+[a-f]?\."", """"))"),"")</f>
        <v/>
      </c>
      <c r="I43" s="172" t="str">
        <f>IFERROR(__xludf.DUMMYFUNCTION("TRIM(REGEXREPLACE(E43, ""[0-9]+[a-f]?\."", """"))"),"")</f>
        <v/>
      </c>
      <c r="J43" s="172" t="s">
        <v>790</v>
      </c>
      <c r="K43" s="172" t="s">
        <v>791</v>
      </c>
      <c r="L43" s="176" t="s">
        <v>792</v>
      </c>
      <c r="M43" s="172"/>
      <c r="N43" s="172"/>
      <c r="O43" s="172"/>
      <c r="P43" s="172"/>
      <c r="Q43" s="172"/>
      <c r="R43" s="172"/>
      <c r="S43" s="172"/>
      <c r="T43" s="172"/>
      <c r="U43" s="172"/>
      <c r="V43" s="172"/>
      <c r="W43" s="172"/>
      <c r="X43" s="172"/>
      <c r="Y43" s="172"/>
      <c r="Z43" s="172"/>
    </row>
    <row r="44" hidden="1">
      <c r="A44" s="172"/>
      <c r="B44" s="174"/>
      <c r="C44" s="174"/>
      <c r="D44" s="174"/>
      <c r="E44" s="174"/>
      <c r="F44" s="175"/>
      <c r="G44" s="172" t="str">
        <f>IFERROR(__xludf.DUMMYFUNCTION("TRIM(REGEXREPLACE(C44, ""[0-9]+[a-f]?\."", """"))"),"")</f>
        <v/>
      </c>
      <c r="H44" s="172" t="str">
        <f>IFERROR(__xludf.DUMMYFUNCTION("TRIM(REGEXREPLACE(D44, ""[0-9]+[a-f]?\."", """"))"),"")</f>
        <v/>
      </c>
      <c r="I44" s="172" t="str">
        <f>IFERROR(__xludf.DUMMYFUNCTION("TRIM(REGEXREPLACE(E44, ""[0-9]+[a-f]?\."", """"))"),"")</f>
        <v/>
      </c>
      <c r="J44" s="172" t="s">
        <v>793</v>
      </c>
      <c r="K44" s="172" t="s">
        <v>794</v>
      </c>
      <c r="L44" s="176" t="s">
        <v>795</v>
      </c>
      <c r="M44" s="172"/>
      <c r="N44" s="172"/>
      <c r="O44" s="172"/>
      <c r="P44" s="172"/>
      <c r="Q44" s="172"/>
      <c r="R44" s="172"/>
      <c r="S44" s="172"/>
      <c r="T44" s="172"/>
      <c r="U44" s="172"/>
      <c r="V44" s="172"/>
      <c r="W44" s="172"/>
      <c r="X44" s="172"/>
      <c r="Y44" s="172"/>
      <c r="Z44" s="172"/>
    </row>
    <row r="45" hidden="1">
      <c r="A45" s="172"/>
      <c r="B45" s="174"/>
      <c r="C45" s="174"/>
      <c r="D45" s="174"/>
      <c r="E45" s="174"/>
      <c r="F45" s="175"/>
      <c r="G45" s="172" t="str">
        <f>IFERROR(__xludf.DUMMYFUNCTION("TRIM(REGEXREPLACE(C45, ""[0-9]+[a-f]?\."", """"))"),"")</f>
        <v/>
      </c>
      <c r="H45" s="172" t="str">
        <f>IFERROR(__xludf.DUMMYFUNCTION("TRIM(REGEXREPLACE(D45, ""[0-9]+[a-f]?\."", """"))"),"")</f>
        <v/>
      </c>
      <c r="I45" s="172" t="str">
        <f>IFERROR(__xludf.DUMMYFUNCTION("TRIM(REGEXREPLACE(E45, ""[0-9]+[a-f]?\."", """"))"),"")</f>
        <v/>
      </c>
      <c r="J45" s="172" t="s">
        <v>797</v>
      </c>
      <c r="K45" s="172" t="s">
        <v>798</v>
      </c>
      <c r="L45" s="176" t="s">
        <v>799</v>
      </c>
      <c r="M45" s="172"/>
      <c r="N45" s="172"/>
      <c r="O45" s="172"/>
      <c r="P45" s="172"/>
      <c r="Q45" s="172"/>
      <c r="R45" s="172"/>
      <c r="S45" s="172"/>
      <c r="T45" s="172"/>
      <c r="U45" s="172"/>
      <c r="V45" s="172"/>
      <c r="W45" s="172"/>
      <c r="X45" s="172"/>
      <c r="Y45" s="172"/>
      <c r="Z45" s="172"/>
    </row>
    <row r="46" hidden="1">
      <c r="A46" s="172"/>
      <c r="B46" s="174"/>
      <c r="C46" s="174"/>
      <c r="D46" s="174"/>
      <c r="E46" s="174"/>
      <c r="F46" s="175"/>
      <c r="G46" s="172" t="str">
        <f>IFERROR(__xludf.DUMMYFUNCTION("TRIM(REGEXREPLACE(C46, ""[0-9]+[a-f]?\."", """"))"),"")</f>
        <v/>
      </c>
      <c r="H46" s="172" t="str">
        <f>IFERROR(__xludf.DUMMYFUNCTION("TRIM(REGEXREPLACE(D46, ""[0-9]+[a-f]?\."", """"))"),"")</f>
        <v/>
      </c>
      <c r="I46" s="172" t="str">
        <f>IFERROR(__xludf.DUMMYFUNCTION("TRIM(REGEXREPLACE(E46, ""[0-9]+[a-f]?\."", """"))"),"")</f>
        <v/>
      </c>
      <c r="J46" s="172" t="s">
        <v>801</v>
      </c>
      <c r="K46" s="172" t="s">
        <v>802</v>
      </c>
      <c r="L46" s="176" t="s">
        <v>803</v>
      </c>
      <c r="M46" s="172"/>
      <c r="N46" s="172"/>
      <c r="O46" s="172"/>
      <c r="P46" s="172"/>
      <c r="Q46" s="172"/>
      <c r="R46" s="172"/>
      <c r="S46" s="172"/>
      <c r="T46" s="172"/>
      <c r="U46" s="172"/>
      <c r="V46" s="172"/>
      <c r="W46" s="172"/>
      <c r="X46" s="172"/>
      <c r="Y46" s="172"/>
      <c r="Z46" s="172"/>
    </row>
    <row r="47" hidden="1">
      <c r="A47" s="172"/>
      <c r="B47" s="174"/>
      <c r="C47" s="174"/>
      <c r="D47" s="174"/>
      <c r="E47" s="174"/>
      <c r="F47" s="175"/>
      <c r="G47" s="172" t="str">
        <f>IFERROR(__xludf.DUMMYFUNCTION("TRIM(REGEXREPLACE(C47, ""[0-9]+[a-f]?\."", """"))"),"")</f>
        <v/>
      </c>
      <c r="H47" s="172" t="str">
        <f>IFERROR(__xludf.DUMMYFUNCTION("TRIM(REGEXREPLACE(D47, ""[0-9]+[a-f]?\."", """"))"),"")</f>
        <v/>
      </c>
      <c r="I47" s="172" t="str">
        <f>IFERROR(__xludf.DUMMYFUNCTION("TRIM(REGEXREPLACE(E47, ""[0-9]+[a-f]?\."", """"))"),"")</f>
        <v/>
      </c>
      <c r="J47" s="172" t="s">
        <v>804</v>
      </c>
      <c r="K47" s="172" t="s">
        <v>805</v>
      </c>
      <c r="L47" s="176" t="s">
        <v>806</v>
      </c>
      <c r="M47" s="172"/>
      <c r="N47" s="172"/>
      <c r="O47" s="172"/>
      <c r="P47" s="172"/>
      <c r="Q47" s="172"/>
      <c r="R47" s="172"/>
      <c r="S47" s="172"/>
      <c r="T47" s="172"/>
      <c r="U47" s="172"/>
      <c r="V47" s="172"/>
      <c r="W47" s="172"/>
      <c r="X47" s="172"/>
      <c r="Y47" s="172"/>
      <c r="Z47" s="172"/>
    </row>
    <row r="48" hidden="1">
      <c r="A48" s="172"/>
      <c r="B48" s="174"/>
      <c r="C48" s="174"/>
      <c r="D48" s="174"/>
      <c r="E48" s="174"/>
      <c r="F48" s="175"/>
      <c r="G48" s="172" t="str">
        <f>IFERROR(__xludf.DUMMYFUNCTION("TRIM(REGEXREPLACE(C48, ""[0-9]+[a-f]?\."", """"))"),"")</f>
        <v/>
      </c>
      <c r="H48" s="172" t="str">
        <f>IFERROR(__xludf.DUMMYFUNCTION("TRIM(REGEXREPLACE(D48, ""[0-9]+[a-f]?\."", """"))"),"")</f>
        <v/>
      </c>
      <c r="I48" s="172" t="str">
        <f>IFERROR(__xludf.DUMMYFUNCTION("TRIM(REGEXREPLACE(E48, ""[0-9]+[a-f]?\."", """"))"),"")</f>
        <v/>
      </c>
      <c r="J48" s="172" t="s">
        <v>809</v>
      </c>
      <c r="K48" s="172" t="s">
        <v>810</v>
      </c>
      <c r="L48" s="176" t="s">
        <v>811</v>
      </c>
      <c r="M48" s="172"/>
      <c r="N48" s="172"/>
      <c r="O48" s="172"/>
      <c r="P48" s="172"/>
      <c r="Q48" s="172"/>
      <c r="R48" s="172"/>
      <c r="S48" s="172"/>
      <c r="T48" s="172"/>
      <c r="U48" s="172"/>
      <c r="V48" s="172"/>
      <c r="W48" s="172"/>
      <c r="X48" s="172"/>
      <c r="Y48" s="172"/>
      <c r="Z48" s="172"/>
    </row>
    <row r="49" hidden="1">
      <c r="A49" s="172"/>
      <c r="B49" s="174"/>
      <c r="C49" s="174"/>
      <c r="D49" s="174"/>
      <c r="E49" s="174"/>
      <c r="F49" s="182">
        <v>9.0</v>
      </c>
      <c r="G49" s="172" t="str">
        <f>IFERROR(__xludf.DUMMYFUNCTION("TRIM(REGEXREPLACE(C49, ""[0-9]+[a-f]?\."", """"))"),"")</f>
        <v/>
      </c>
      <c r="H49" s="172" t="str">
        <f>IFERROR(__xludf.DUMMYFUNCTION("TRIM(REGEXREPLACE(D49, ""[0-9]+[a-f]?\."", """"))"),"")</f>
        <v/>
      </c>
      <c r="I49" s="172" t="str">
        <f>IFERROR(__xludf.DUMMYFUNCTION("TRIM(REGEXREPLACE(E49, ""[0-9]+[a-f]?\."", """"))"),"")</f>
        <v/>
      </c>
      <c r="J49" s="172" t="s">
        <v>812</v>
      </c>
      <c r="K49" s="172" t="s">
        <v>813</v>
      </c>
      <c r="L49" s="172" t="s">
        <v>813</v>
      </c>
      <c r="M49" s="172"/>
      <c r="N49" s="172"/>
      <c r="O49" s="172"/>
      <c r="P49" s="172"/>
      <c r="Q49" s="172"/>
      <c r="R49" s="172"/>
      <c r="S49" s="172"/>
      <c r="T49" s="172"/>
      <c r="U49" s="172"/>
      <c r="V49" s="172"/>
      <c r="W49" s="172"/>
      <c r="X49" s="172"/>
      <c r="Y49" s="172"/>
      <c r="Z49" s="172"/>
    </row>
    <row r="50" hidden="1">
      <c r="A50" s="172"/>
      <c r="B50" s="174"/>
      <c r="C50" s="174"/>
      <c r="D50" s="174"/>
      <c r="E50" s="174"/>
      <c r="F50" s="182">
        <v>9.0</v>
      </c>
      <c r="G50" s="172" t="str">
        <f>IFERROR(__xludf.DUMMYFUNCTION("TRIM(REGEXREPLACE(C50, ""[0-9]+[a-f]?\."", """"))"),"")</f>
        <v/>
      </c>
      <c r="H50" s="172" t="str">
        <f>IFERROR(__xludf.DUMMYFUNCTION("TRIM(REGEXREPLACE(D50, ""[0-9]+[a-f]?\."", """"))"),"")</f>
        <v/>
      </c>
      <c r="I50" s="172" t="str">
        <f>IFERROR(__xludf.DUMMYFUNCTION("TRIM(REGEXREPLACE(E50, ""[0-9]+[a-f]?\."", """"))"),"")</f>
        <v/>
      </c>
      <c r="J50" s="172" t="s">
        <v>812</v>
      </c>
      <c r="K50" s="172" t="s">
        <v>815</v>
      </c>
      <c r="L50" s="172" t="s">
        <v>816</v>
      </c>
      <c r="M50" s="172"/>
      <c r="N50" s="172"/>
      <c r="O50" s="172"/>
      <c r="P50" s="172"/>
      <c r="Q50" s="172"/>
      <c r="R50" s="172"/>
      <c r="S50" s="172"/>
      <c r="T50" s="172"/>
      <c r="U50" s="172"/>
      <c r="V50" s="172"/>
      <c r="W50" s="172"/>
      <c r="X50" s="172"/>
      <c r="Y50" s="172"/>
      <c r="Z50" s="172"/>
    </row>
    <row r="51" hidden="1">
      <c r="A51" s="211" t="s">
        <v>107</v>
      </c>
      <c r="B51" s="212" t="s">
        <v>108</v>
      </c>
      <c r="C51" s="212" t="s">
        <v>110</v>
      </c>
      <c r="D51" s="214"/>
      <c r="E51" s="214"/>
      <c r="F51" s="182">
        <v>10.0</v>
      </c>
      <c r="G51" s="172" t="str">
        <f>IFERROR(__xludf.DUMMYFUNCTION("TRIM(REGEXREPLACE(C51, ""[0-9]+[a-f]?\."", """"))"),"Enumerator Questions")</f>
        <v>Enumerator Questions</v>
      </c>
      <c r="H51" s="172" t="str">
        <f>IFERROR(__xludf.DUMMYFUNCTION("TRIM(REGEXREPLACE(D51, ""[0-9]+[a-f]?\."", """"))"),"")</f>
        <v/>
      </c>
      <c r="I51" s="172" t="str">
        <f>IFERROR(__xludf.DUMMYFUNCTION("TRIM(REGEXREPLACE(E51, ""[0-9]+[a-f]?\."", """"))"),"")</f>
        <v/>
      </c>
      <c r="J51" s="172" t="s">
        <v>822</v>
      </c>
      <c r="K51" s="172" t="s">
        <v>823</v>
      </c>
      <c r="L51" s="172" t="s">
        <v>824</v>
      </c>
      <c r="M51" s="172"/>
      <c r="N51" s="172"/>
      <c r="O51" s="172"/>
      <c r="P51" s="172"/>
      <c r="Q51" s="172"/>
      <c r="R51" s="172"/>
      <c r="S51" s="172"/>
      <c r="T51" s="172"/>
      <c r="U51" s="172"/>
      <c r="V51" s="172"/>
      <c r="W51" s="172"/>
      <c r="X51" s="172"/>
      <c r="Y51" s="172"/>
      <c r="Z51" s="172"/>
    </row>
    <row r="52" hidden="1">
      <c r="A52" s="188" t="s">
        <v>118</v>
      </c>
      <c r="B52" s="189" t="s">
        <v>120</v>
      </c>
      <c r="C52" s="190"/>
      <c r="D52" s="190"/>
      <c r="E52" s="190"/>
      <c r="F52" s="182">
        <v>11.0</v>
      </c>
      <c r="G52" s="172" t="str">
        <f>IFERROR(__xludf.DUMMYFUNCTION("TRIM(REGEXREPLACE(C52, ""[0-9]+[a-f]?\."", """"))"),"")</f>
        <v/>
      </c>
      <c r="H52" s="172" t="str">
        <f>IFERROR(__xludf.DUMMYFUNCTION("TRIM(REGEXREPLACE(D52, ""[0-9]+[a-f]?\."", """"))"),"")</f>
        <v/>
      </c>
      <c r="I52" s="172" t="str">
        <f>IFERROR(__xludf.DUMMYFUNCTION("TRIM(REGEXREPLACE(E52, ""[0-9]+[a-f]?\."", """"))"),"")</f>
        <v/>
      </c>
      <c r="J52" s="172" t="s">
        <v>829</v>
      </c>
      <c r="K52" s="172" t="s">
        <v>830</v>
      </c>
      <c r="L52" s="172" t="s">
        <v>831</v>
      </c>
      <c r="M52" s="172"/>
      <c r="N52" s="172"/>
      <c r="O52" s="172"/>
      <c r="P52" s="172"/>
      <c r="Q52" s="172"/>
      <c r="R52" s="172"/>
      <c r="S52" s="172"/>
      <c r="T52" s="172"/>
      <c r="U52" s="172"/>
      <c r="V52" s="172"/>
      <c r="W52" s="172"/>
      <c r="X52" s="172"/>
      <c r="Y52" s="172"/>
      <c r="Z52" s="172"/>
    </row>
    <row r="53">
      <c r="A53" s="215" t="s">
        <v>129</v>
      </c>
      <c r="B53" s="216" t="s">
        <v>63</v>
      </c>
      <c r="C53" s="216" t="s">
        <v>130</v>
      </c>
      <c r="D53" s="216" t="s">
        <v>131</v>
      </c>
      <c r="E53" s="216" t="s">
        <v>133</v>
      </c>
      <c r="F53" s="182">
        <v>2.0</v>
      </c>
      <c r="G53" s="172" t="str">
        <f>IFERROR(__xludf.DUMMYFUNCTION("TRIM(REGEXREPLACE(C53, ""[0-9]+[a-f]?\."", """"))"),"What round is this?")</f>
        <v>What round is this?</v>
      </c>
      <c r="H53" s="172" t="str">
        <f>IFERROR(__xludf.DUMMYFUNCTION("TRIM(REGEXREPLACE(D53, ""[0-9]+[a-f]?\."", """"))"),"quel tour est-ce ?")</f>
        <v>quel tour est-ce ?</v>
      </c>
      <c r="I53" s="172" t="str">
        <f>IFERROR(__xludf.DUMMYFUNCTION("TRIM(REGEXREPLACE(E53, ""[0-9]+[a-f]?\."", """"))"),"Wane zagaye ne wannan ?")</f>
        <v>Wane zagaye ne wannan ?</v>
      </c>
      <c r="J53" s="172" t="str">
        <f t="shared" ref="J53:L53" si="2">$F53 &amp; ". " &amp;G53</f>
        <v>2. What round is this?</v>
      </c>
      <c r="K53" s="172" t="str">
        <f t="shared" si="2"/>
        <v>2. quel tour est-ce ?</v>
      </c>
      <c r="L53" s="172" t="str">
        <f t="shared" si="2"/>
        <v>2. Wane zagaye ne wannan ?</v>
      </c>
      <c r="M53" s="172"/>
      <c r="N53" s="172"/>
      <c r="O53" s="172"/>
      <c r="P53" s="172"/>
      <c r="Q53" s="172"/>
      <c r="R53" s="172"/>
      <c r="S53" s="172"/>
      <c r="T53" s="172"/>
      <c r="U53" s="172"/>
      <c r="V53" s="172"/>
      <c r="W53" s="172"/>
      <c r="X53" s="172"/>
      <c r="Y53" s="172"/>
      <c r="Z53" s="172"/>
    </row>
    <row r="54">
      <c r="A54" s="215" t="s">
        <v>141</v>
      </c>
      <c r="B54" s="216" t="s">
        <v>142</v>
      </c>
      <c r="C54" s="216" t="s">
        <v>143</v>
      </c>
      <c r="D54" s="216" t="s">
        <v>144</v>
      </c>
      <c r="E54" s="216" t="s">
        <v>145</v>
      </c>
      <c r="F54" s="182">
        <v>3.0</v>
      </c>
      <c r="G54" s="172" t="str">
        <f>IFERROR(__xludf.DUMMYFUNCTION("TRIM(REGEXREPLACE(C54, ""[0-9]+[a-f]?\."", """"))"),"Who is your team leader?")</f>
        <v>Who is your team leader?</v>
      </c>
      <c r="H54" s="172" t="str">
        <f>IFERROR(__xludf.DUMMYFUNCTION("TRIM(REGEXREPLACE(D54, ""[0-9]+[a-f]?\."", """"))"),"Qui est votre chef d'équipe?")</f>
        <v>Qui est votre chef d'équipe?</v>
      </c>
      <c r="I54" s="172" t="str">
        <f>IFERROR(__xludf.DUMMYFUNCTION("TRIM(REGEXREPLACE(E54, ""[0-9]+[a-f]?\."", """"))"),"Wanene shugaban tahiyar ku ?")</f>
        <v>Wanene shugaban tahiyar ku ?</v>
      </c>
      <c r="J54" s="172" t="str">
        <f t="shared" ref="J54:L54" si="3">$F54 &amp; ". " &amp;G54</f>
        <v>3. Who is your team leader?</v>
      </c>
      <c r="K54" s="172" t="str">
        <f t="shared" si="3"/>
        <v>3. Qui est votre chef d'équipe?</v>
      </c>
      <c r="L54" s="172" t="str">
        <f t="shared" si="3"/>
        <v>3. Wanene shugaban tahiyar ku ?</v>
      </c>
      <c r="M54" s="172"/>
      <c r="N54" s="172"/>
      <c r="O54" s="172"/>
      <c r="P54" s="172"/>
      <c r="Q54" s="172"/>
      <c r="R54" s="172"/>
      <c r="S54" s="172"/>
      <c r="T54" s="172"/>
      <c r="U54" s="172"/>
      <c r="V54" s="172"/>
      <c r="W54" s="172"/>
      <c r="X54" s="172"/>
      <c r="Y54" s="172"/>
      <c r="Z54" s="172"/>
    </row>
    <row r="55" hidden="1">
      <c r="A55" s="172"/>
      <c r="B55" s="174"/>
      <c r="C55" s="174"/>
      <c r="D55" s="174"/>
      <c r="E55" s="174"/>
      <c r="F55" s="182">
        <v>14.0</v>
      </c>
      <c r="G55" s="172" t="str">
        <f>IFERROR(__xludf.DUMMYFUNCTION("TRIM(REGEXREPLACE(C55, ""[0-9]+[a-f]?\."", """"))"),"")</f>
        <v/>
      </c>
      <c r="H55" s="172" t="str">
        <f>IFERROR(__xludf.DUMMYFUNCTION("TRIM(REGEXREPLACE(D55, ""[0-9]+[a-f]?\."", """"))"),"")</f>
        <v/>
      </c>
      <c r="I55" s="172" t="str">
        <f>IFERROR(__xludf.DUMMYFUNCTION("TRIM(REGEXREPLACE(E55, ""[0-9]+[a-f]?\."", """"))"),"")</f>
        <v/>
      </c>
      <c r="J55" s="172" t="s">
        <v>844</v>
      </c>
      <c r="K55" s="172" t="s">
        <v>845</v>
      </c>
      <c r="L55" s="172" t="s">
        <v>845</v>
      </c>
      <c r="M55" s="172"/>
      <c r="N55" s="172"/>
      <c r="O55" s="172"/>
      <c r="P55" s="172"/>
      <c r="Q55" s="172"/>
      <c r="R55" s="172"/>
      <c r="S55" s="172"/>
      <c r="T55" s="172"/>
      <c r="U55" s="172"/>
      <c r="V55" s="172"/>
      <c r="W55" s="172"/>
      <c r="X55" s="172"/>
      <c r="Y55" s="172"/>
      <c r="Z55" s="172"/>
    </row>
    <row r="56">
      <c r="A56" s="215" t="s">
        <v>148</v>
      </c>
      <c r="B56" s="216" t="s">
        <v>149</v>
      </c>
      <c r="C56" s="216" t="s">
        <v>150</v>
      </c>
      <c r="D56" s="216" t="s">
        <v>151</v>
      </c>
      <c r="E56" s="216" t="s">
        <v>152</v>
      </c>
      <c r="F56" s="182">
        <v>4.0</v>
      </c>
      <c r="G56" s="172" t="str">
        <f>IFERROR(__xludf.DUMMYFUNCTION("TRIM(REGEXREPLACE(C56, ""[0-9]+[a-f]?\."", """"))"),"What is your name?")</f>
        <v>What is your name?</v>
      </c>
      <c r="H56" s="172" t="str">
        <f>IFERROR(__xludf.DUMMYFUNCTION("TRIM(REGEXREPLACE(D56, ""[0-9]+[a-f]?\."", """"))"),"Quel est votre nom?")</f>
        <v>Quel est votre nom?</v>
      </c>
      <c r="I56" s="172" t="str">
        <f>IFERROR(__xludf.DUMMYFUNCTION("TRIM(REGEXREPLACE(E56, ""[0-9]+[a-f]?\."", """"))"),"Menene sunanka?")</f>
        <v>Menene sunanka?</v>
      </c>
      <c r="J56" s="172" t="str">
        <f t="shared" ref="J56:L56" si="4">$F56 &amp; ". " &amp;G56</f>
        <v>4. What is your name?</v>
      </c>
      <c r="K56" s="172" t="str">
        <f t="shared" si="4"/>
        <v>4. Quel est votre nom?</v>
      </c>
      <c r="L56" s="172" t="str">
        <f t="shared" si="4"/>
        <v>4. Menene sunanka?</v>
      </c>
      <c r="M56" s="172"/>
      <c r="N56" s="172"/>
      <c r="O56" s="172"/>
      <c r="P56" s="172"/>
      <c r="Q56" s="172"/>
      <c r="R56" s="172"/>
      <c r="S56" s="172"/>
      <c r="T56" s="172"/>
      <c r="U56" s="172"/>
      <c r="V56" s="172"/>
      <c r="W56" s="172"/>
      <c r="X56" s="172"/>
      <c r="Y56" s="172"/>
      <c r="Z56" s="172"/>
    </row>
    <row r="57" hidden="1">
      <c r="A57" s="172"/>
      <c r="B57" s="174"/>
      <c r="C57" s="174"/>
      <c r="D57" s="174"/>
      <c r="E57" s="174"/>
      <c r="F57" s="175"/>
      <c r="G57" s="172" t="str">
        <f>IFERROR(__xludf.DUMMYFUNCTION("TRIM(REGEXREPLACE(C57, ""[0-9]+[a-f]?\."", """"))"),"")</f>
        <v/>
      </c>
      <c r="H57" s="172" t="str">
        <f>IFERROR(__xludf.DUMMYFUNCTION("TRIM(REGEXREPLACE(D57, ""[0-9]+[a-f]?\."", """"))"),"")</f>
        <v/>
      </c>
      <c r="I57" s="172" t="str">
        <f>IFERROR(__xludf.DUMMYFUNCTION("TRIM(REGEXREPLACE(E57, ""[0-9]+[a-f]?\."", """"))"),"")</f>
        <v/>
      </c>
      <c r="J57" s="172" t="s">
        <v>853</v>
      </c>
      <c r="K57" s="172" t="s">
        <v>854</v>
      </c>
      <c r="L57" s="176" t="s">
        <v>855</v>
      </c>
      <c r="M57" s="172"/>
      <c r="N57" s="172"/>
      <c r="O57" s="172"/>
      <c r="P57" s="172"/>
      <c r="Q57" s="172"/>
      <c r="R57" s="172"/>
      <c r="S57" s="172"/>
      <c r="T57" s="172"/>
      <c r="U57" s="172"/>
      <c r="V57" s="172"/>
      <c r="W57" s="172"/>
      <c r="X57" s="172"/>
      <c r="Y57" s="172"/>
      <c r="Z57" s="172"/>
    </row>
    <row r="58" hidden="1">
      <c r="A58" s="172"/>
      <c r="B58" s="174"/>
      <c r="C58" s="174"/>
      <c r="D58" s="174"/>
      <c r="E58" s="174"/>
      <c r="F58" s="175"/>
      <c r="G58" s="172" t="str">
        <f>IFERROR(__xludf.DUMMYFUNCTION("TRIM(REGEXREPLACE(C58, ""[0-9]+[a-f]?\."", """"))"),"")</f>
        <v/>
      </c>
      <c r="H58" s="172" t="str">
        <f>IFERROR(__xludf.DUMMYFUNCTION("TRIM(REGEXREPLACE(D58, ""[0-9]+[a-f]?\."", """"))"),"")</f>
        <v/>
      </c>
      <c r="I58" s="172" t="str">
        <f>IFERROR(__xludf.DUMMYFUNCTION("TRIM(REGEXREPLACE(E58, ""[0-9]+[a-f]?\."", """"))"),"")</f>
        <v/>
      </c>
      <c r="J58" s="172" t="s">
        <v>856</v>
      </c>
      <c r="K58" s="172" t="s">
        <v>857</v>
      </c>
      <c r="L58" s="176" t="s">
        <v>858</v>
      </c>
      <c r="M58" s="172"/>
      <c r="N58" s="172"/>
      <c r="O58" s="172"/>
      <c r="P58" s="172"/>
      <c r="Q58" s="172"/>
      <c r="R58" s="172"/>
      <c r="S58" s="172"/>
      <c r="T58" s="172"/>
      <c r="U58" s="172"/>
      <c r="V58" s="172"/>
      <c r="W58" s="172"/>
      <c r="X58" s="172"/>
      <c r="Y58" s="172"/>
      <c r="Z58" s="172"/>
    </row>
    <row r="59" hidden="1">
      <c r="A59" s="172"/>
      <c r="B59" s="174"/>
      <c r="C59" s="174"/>
      <c r="D59" s="174"/>
      <c r="E59" s="174"/>
      <c r="F59" s="182">
        <v>12.0</v>
      </c>
      <c r="G59" s="172" t="str">
        <f>IFERROR(__xludf.DUMMYFUNCTION("TRIM(REGEXREPLACE(C59, ""[0-9]+[a-f]?\."", """"))"),"")</f>
        <v/>
      </c>
      <c r="H59" s="172" t="str">
        <f>IFERROR(__xludf.DUMMYFUNCTION("TRIM(REGEXREPLACE(D59, ""[0-9]+[a-f]?\."", """"))"),"")</f>
        <v/>
      </c>
      <c r="I59" s="172" t="str">
        <f>IFERROR(__xludf.DUMMYFUNCTION("TRIM(REGEXREPLACE(E59, ""[0-9]+[a-f]?\."", """"))"),"")</f>
        <v/>
      </c>
      <c r="J59" s="172" t="s">
        <v>859</v>
      </c>
      <c r="K59" s="172" t="s">
        <v>860</v>
      </c>
      <c r="L59" s="172" t="s">
        <v>860</v>
      </c>
      <c r="M59" s="172"/>
      <c r="N59" s="172"/>
      <c r="O59" s="172"/>
      <c r="P59" s="172"/>
      <c r="Q59" s="172"/>
      <c r="R59" s="172"/>
      <c r="S59" s="172"/>
      <c r="T59" s="172"/>
      <c r="U59" s="172"/>
      <c r="V59" s="172"/>
      <c r="W59" s="172"/>
      <c r="X59" s="172"/>
      <c r="Y59" s="172"/>
      <c r="Z59" s="172"/>
    </row>
    <row r="60" hidden="1">
      <c r="A60" s="172"/>
      <c r="B60" s="174"/>
      <c r="C60" s="174"/>
      <c r="D60" s="174"/>
      <c r="E60" s="174"/>
      <c r="F60" s="175"/>
      <c r="G60" s="172" t="str">
        <f>IFERROR(__xludf.DUMMYFUNCTION("TRIM(REGEXREPLACE(C60, ""[0-9]+[a-f]?\."", """"))"),"")</f>
        <v/>
      </c>
      <c r="H60" s="172" t="str">
        <f>IFERROR(__xludf.DUMMYFUNCTION("TRIM(REGEXREPLACE(D60, ""[0-9]+[a-f]?\."", """"))"),"")</f>
        <v/>
      </c>
      <c r="I60" s="172" t="str">
        <f>IFERROR(__xludf.DUMMYFUNCTION("TRIM(REGEXREPLACE(E60, ""[0-9]+[a-f]?\."", """"))"),"")</f>
        <v/>
      </c>
      <c r="J60" s="172" t="s">
        <v>863</v>
      </c>
      <c r="K60" s="172" t="s">
        <v>864</v>
      </c>
      <c r="L60" s="176" t="s">
        <v>865</v>
      </c>
      <c r="M60" s="172"/>
      <c r="N60" s="172"/>
      <c r="O60" s="172"/>
      <c r="P60" s="172"/>
      <c r="Q60" s="172"/>
      <c r="R60" s="172"/>
      <c r="S60" s="172"/>
      <c r="T60" s="172"/>
      <c r="U60" s="172"/>
      <c r="V60" s="172"/>
      <c r="W60" s="172"/>
      <c r="X60" s="172"/>
      <c r="Y60" s="172"/>
      <c r="Z60" s="172"/>
    </row>
    <row r="61" hidden="1">
      <c r="A61" s="172"/>
      <c r="B61" s="174"/>
      <c r="C61" s="174"/>
      <c r="D61" s="174"/>
      <c r="E61" s="174"/>
      <c r="F61" s="175"/>
      <c r="G61" s="172" t="str">
        <f>IFERROR(__xludf.DUMMYFUNCTION("TRIM(REGEXREPLACE(C61, ""[0-9]+[a-f]?\."", """"))"),"")</f>
        <v/>
      </c>
      <c r="H61" s="172" t="str">
        <f>IFERROR(__xludf.DUMMYFUNCTION("TRIM(REGEXREPLACE(D61, ""[0-9]+[a-f]?\."", """"))"),"")</f>
        <v/>
      </c>
      <c r="I61" s="172" t="str">
        <f>IFERROR(__xludf.DUMMYFUNCTION("TRIM(REGEXREPLACE(E61, ""[0-9]+[a-f]?\."", """"))"),"")</f>
        <v/>
      </c>
      <c r="J61" s="172" t="s">
        <v>866</v>
      </c>
      <c r="K61" s="172" t="s">
        <v>867</v>
      </c>
      <c r="L61" s="176" t="s">
        <v>868</v>
      </c>
      <c r="M61" s="172"/>
      <c r="N61" s="172"/>
      <c r="O61" s="172"/>
      <c r="P61" s="172"/>
      <c r="Q61" s="172"/>
      <c r="R61" s="172"/>
      <c r="S61" s="172"/>
      <c r="T61" s="172"/>
      <c r="U61" s="172"/>
      <c r="V61" s="172"/>
      <c r="W61" s="172"/>
      <c r="X61" s="172"/>
      <c r="Y61" s="172"/>
      <c r="Z61" s="172"/>
    </row>
    <row r="62" hidden="1">
      <c r="A62" s="172"/>
      <c r="B62" s="174"/>
      <c r="C62" s="174"/>
      <c r="D62" s="174"/>
      <c r="E62" s="174"/>
      <c r="F62" s="182">
        <v>15.0</v>
      </c>
      <c r="G62" s="172" t="str">
        <f>IFERROR(__xludf.DUMMYFUNCTION("TRIM(REGEXREPLACE(C62, ""[0-9]+[a-f]?\."", """"))"),"")</f>
        <v/>
      </c>
      <c r="H62" s="172" t="str">
        <f>IFERROR(__xludf.DUMMYFUNCTION("TRIM(REGEXREPLACE(D62, ""[0-9]+[a-f]?\."", """"))"),"")</f>
        <v/>
      </c>
      <c r="I62" s="172" t="str">
        <f>IFERROR(__xludf.DUMMYFUNCTION("TRIM(REGEXREPLACE(E62, ""[0-9]+[a-f]?\."", """"))"),"")</f>
        <v/>
      </c>
      <c r="J62" s="172" t="s">
        <v>870</v>
      </c>
      <c r="K62" s="172" t="s">
        <v>871</v>
      </c>
      <c r="L62" s="172" t="s">
        <v>871</v>
      </c>
      <c r="M62" s="172"/>
      <c r="N62" s="172"/>
      <c r="O62" s="172"/>
      <c r="P62" s="172"/>
      <c r="Q62" s="172"/>
      <c r="R62" s="172"/>
      <c r="S62" s="172"/>
      <c r="T62" s="172"/>
      <c r="U62" s="172"/>
      <c r="V62" s="172"/>
      <c r="W62" s="172"/>
      <c r="X62" s="172"/>
      <c r="Y62" s="172"/>
      <c r="Z62" s="172"/>
    </row>
    <row r="63" hidden="1">
      <c r="A63" s="188" t="s">
        <v>68</v>
      </c>
      <c r="B63" s="189" t="s">
        <v>157</v>
      </c>
      <c r="C63" s="217" t="s">
        <v>158</v>
      </c>
      <c r="D63" s="190"/>
      <c r="E63" s="190"/>
      <c r="F63" s="182">
        <v>15.0</v>
      </c>
      <c r="G63" s="172" t="str">
        <f>IFERROR(__xludf.DUMMYFUNCTION("TRIM(REGEXREPLACE(C63, ""[0-9]+[a-f]?\."", """"))"),"CALC: Pull enumerator name")</f>
        <v>CALC: Pull enumerator name</v>
      </c>
      <c r="H63" s="172" t="str">
        <f>IFERROR(__xludf.DUMMYFUNCTION("TRIM(REGEXREPLACE(D63, ""[0-9]+[a-f]?\."", """"))"),"")</f>
        <v/>
      </c>
      <c r="I63" s="172" t="str">
        <f>IFERROR(__xludf.DUMMYFUNCTION("TRIM(REGEXREPLACE(E63, ""[0-9]+[a-f]?\."", """"))"),"")</f>
        <v/>
      </c>
      <c r="J63" s="172" t="s">
        <v>870</v>
      </c>
      <c r="K63" s="172" t="s">
        <v>873</v>
      </c>
      <c r="L63" s="172" t="s">
        <v>874</v>
      </c>
      <c r="M63" s="172"/>
      <c r="N63" s="172"/>
      <c r="O63" s="172"/>
      <c r="P63" s="172"/>
      <c r="Q63" s="172"/>
      <c r="R63" s="172"/>
      <c r="S63" s="172"/>
      <c r="T63" s="172"/>
      <c r="U63" s="172"/>
      <c r="V63" s="172"/>
      <c r="W63" s="172"/>
      <c r="X63" s="172"/>
      <c r="Y63" s="172"/>
      <c r="Z63" s="172"/>
    </row>
    <row r="64" hidden="1">
      <c r="A64" s="172"/>
      <c r="B64" s="174"/>
      <c r="C64" s="174"/>
      <c r="D64" s="174"/>
      <c r="E64" s="174"/>
      <c r="F64" s="175"/>
      <c r="G64" s="172" t="str">
        <f>IFERROR(__xludf.DUMMYFUNCTION("TRIM(REGEXREPLACE(C64, ""[0-9]+[a-f]?\."", """"))"),"")</f>
        <v/>
      </c>
      <c r="H64" s="172" t="str">
        <f>IFERROR(__xludf.DUMMYFUNCTION("TRIM(REGEXREPLACE(D64, ""[0-9]+[a-f]?\."", """"))"),"")</f>
        <v/>
      </c>
      <c r="I64" s="172" t="str">
        <f>IFERROR(__xludf.DUMMYFUNCTION("TRIM(REGEXREPLACE(E64, ""[0-9]+[a-f]?\."", """"))"),"")</f>
        <v/>
      </c>
      <c r="J64" s="172" t="s">
        <v>875</v>
      </c>
      <c r="K64" s="172" t="s">
        <v>876</v>
      </c>
      <c r="L64" s="176" t="s">
        <v>877</v>
      </c>
      <c r="M64" s="172"/>
      <c r="N64" s="172"/>
      <c r="O64" s="172"/>
      <c r="P64" s="172"/>
      <c r="Q64" s="172"/>
      <c r="R64" s="172"/>
      <c r="S64" s="172"/>
      <c r="T64" s="172"/>
      <c r="U64" s="172"/>
      <c r="V64" s="172"/>
      <c r="W64" s="172"/>
      <c r="X64" s="172"/>
      <c r="Y64" s="172"/>
      <c r="Z64" s="172"/>
    </row>
    <row r="65" hidden="1">
      <c r="A65" s="172"/>
      <c r="B65" s="174"/>
      <c r="C65" s="174"/>
      <c r="D65" s="174"/>
      <c r="E65" s="174"/>
      <c r="F65" s="182">
        <v>13.0</v>
      </c>
      <c r="G65" s="172" t="str">
        <f>IFERROR(__xludf.DUMMYFUNCTION("TRIM(REGEXREPLACE(C65, ""[0-9]+[a-f]?\."", """"))"),"")</f>
        <v/>
      </c>
      <c r="H65" s="172" t="str">
        <f>IFERROR(__xludf.DUMMYFUNCTION("TRIM(REGEXREPLACE(D65, ""[0-9]+[a-f]?\."", """"))"),"")</f>
        <v/>
      </c>
      <c r="I65" s="172" t="str">
        <f>IFERROR(__xludf.DUMMYFUNCTION("TRIM(REGEXREPLACE(E65, ""[0-9]+[a-f]?\."", """"))"),"")</f>
        <v/>
      </c>
      <c r="J65" s="172" t="s">
        <v>879</v>
      </c>
      <c r="K65" s="172" t="s">
        <v>880</v>
      </c>
      <c r="L65" s="172" t="s">
        <v>881</v>
      </c>
      <c r="M65" s="172"/>
      <c r="N65" s="172"/>
      <c r="O65" s="172"/>
      <c r="P65" s="172"/>
      <c r="Q65" s="172"/>
      <c r="R65" s="172"/>
      <c r="S65" s="172"/>
      <c r="T65" s="172"/>
      <c r="U65" s="172"/>
      <c r="V65" s="172"/>
      <c r="W65" s="172"/>
      <c r="X65" s="172"/>
      <c r="Y65" s="172"/>
      <c r="Z65" s="172"/>
    </row>
    <row r="66" hidden="1">
      <c r="A66" s="172"/>
      <c r="B66" s="174"/>
      <c r="C66" s="174"/>
      <c r="D66" s="174"/>
      <c r="E66" s="174"/>
      <c r="F66" s="182">
        <v>14.0</v>
      </c>
      <c r="G66" s="172" t="str">
        <f>IFERROR(__xludf.DUMMYFUNCTION("TRIM(REGEXREPLACE(C66, ""[0-9]+[a-f]?\."", """"))"),"")</f>
        <v/>
      </c>
      <c r="H66" s="172" t="str">
        <f>IFERROR(__xludf.DUMMYFUNCTION("TRIM(REGEXREPLACE(D66, ""[0-9]+[a-f]?\."", """"))"),"")</f>
        <v/>
      </c>
      <c r="I66" s="172" t="str">
        <f>IFERROR(__xludf.DUMMYFUNCTION("TRIM(REGEXREPLACE(E66, ""[0-9]+[a-f]?\."", """"))"),"")</f>
        <v/>
      </c>
      <c r="J66" s="172" t="s">
        <v>883</v>
      </c>
      <c r="K66" s="172" t="s">
        <v>884</v>
      </c>
      <c r="L66" s="172" t="s">
        <v>885</v>
      </c>
      <c r="M66" s="172"/>
      <c r="N66" s="172"/>
      <c r="O66" s="172"/>
      <c r="P66" s="172"/>
      <c r="Q66" s="172"/>
      <c r="R66" s="172"/>
      <c r="S66" s="172"/>
      <c r="T66" s="172"/>
      <c r="U66" s="172"/>
      <c r="V66" s="172"/>
      <c r="W66" s="172"/>
      <c r="X66" s="172"/>
      <c r="Y66" s="172"/>
      <c r="Z66" s="172"/>
    </row>
    <row r="67" hidden="1">
      <c r="A67" s="172"/>
      <c r="B67" s="174"/>
      <c r="C67" s="174"/>
      <c r="D67" s="174"/>
      <c r="E67" s="174"/>
      <c r="F67" s="182">
        <v>15.0</v>
      </c>
      <c r="G67" s="172" t="str">
        <f>IFERROR(__xludf.DUMMYFUNCTION("TRIM(REGEXREPLACE(C67, ""[0-9]+[a-f]?\."", """"))"),"")</f>
        <v/>
      </c>
      <c r="H67" s="172" t="str">
        <f>IFERROR(__xludf.DUMMYFUNCTION("TRIM(REGEXREPLACE(D67, ""[0-9]+[a-f]?\."", """"))"),"")</f>
        <v/>
      </c>
      <c r="I67" s="172" t="str">
        <f>IFERROR(__xludf.DUMMYFUNCTION("TRIM(REGEXREPLACE(E67, ""[0-9]+[a-f]?\."", """"))"),"")</f>
        <v/>
      </c>
      <c r="J67" s="172" t="s">
        <v>886</v>
      </c>
      <c r="K67" s="172" t="s">
        <v>887</v>
      </c>
      <c r="L67" s="172" t="s">
        <v>888</v>
      </c>
      <c r="M67" s="172"/>
      <c r="N67" s="172"/>
      <c r="O67" s="172"/>
      <c r="P67" s="172"/>
      <c r="Q67" s="172"/>
      <c r="R67" s="172"/>
      <c r="S67" s="172"/>
      <c r="T67" s="172"/>
      <c r="U67" s="172"/>
      <c r="V67" s="172"/>
      <c r="W67" s="172"/>
      <c r="X67" s="172"/>
      <c r="Y67" s="172"/>
      <c r="Z67" s="172"/>
    </row>
    <row r="68" hidden="1">
      <c r="A68" s="172"/>
      <c r="B68" s="174"/>
      <c r="C68" s="174"/>
      <c r="D68" s="174"/>
      <c r="E68" s="174"/>
      <c r="F68" s="182">
        <v>16.0</v>
      </c>
      <c r="G68" s="172" t="str">
        <f>IFERROR(__xludf.DUMMYFUNCTION("TRIM(REGEXREPLACE(C68, ""[0-9]+[a-f]?\."", """"))"),"")</f>
        <v/>
      </c>
      <c r="H68" s="172" t="str">
        <f>IFERROR(__xludf.DUMMYFUNCTION("TRIM(REGEXREPLACE(D68, ""[0-9]+[a-f]?\."", """"))"),"")</f>
        <v/>
      </c>
      <c r="I68" s="172" t="str">
        <f>IFERROR(__xludf.DUMMYFUNCTION("TRIM(REGEXREPLACE(E68, ""[0-9]+[a-f]?\."", """"))"),"")</f>
        <v/>
      </c>
      <c r="J68" s="172" t="s">
        <v>890</v>
      </c>
      <c r="K68" s="172" t="s">
        <v>891</v>
      </c>
      <c r="L68" s="172" t="s">
        <v>892</v>
      </c>
      <c r="M68" s="172"/>
      <c r="N68" s="172"/>
      <c r="O68" s="172"/>
      <c r="P68" s="172"/>
      <c r="Q68" s="172"/>
      <c r="R68" s="172"/>
      <c r="S68" s="172"/>
      <c r="T68" s="172"/>
      <c r="U68" s="172"/>
      <c r="V68" s="172"/>
      <c r="W68" s="172"/>
      <c r="X68" s="172"/>
      <c r="Y68" s="172"/>
      <c r="Z68" s="172"/>
    </row>
    <row r="69" hidden="1">
      <c r="A69" s="172"/>
      <c r="B69" s="174"/>
      <c r="C69" s="174"/>
      <c r="D69" s="174"/>
      <c r="E69" s="174"/>
      <c r="F69" s="182">
        <v>17.0</v>
      </c>
      <c r="G69" s="172" t="str">
        <f>IFERROR(__xludf.DUMMYFUNCTION("TRIM(REGEXREPLACE(C69, ""[0-9]+[a-f]?\."", """"))"),"")</f>
        <v/>
      </c>
      <c r="H69" s="172" t="str">
        <f>IFERROR(__xludf.DUMMYFUNCTION("TRIM(REGEXREPLACE(D69, ""[0-9]+[a-f]?\."", """"))"),"")</f>
        <v/>
      </c>
      <c r="I69" s="172" t="str">
        <f>IFERROR(__xludf.DUMMYFUNCTION("TRIM(REGEXREPLACE(E69, ""[0-9]+[a-f]?\."", """"))"),"")</f>
        <v/>
      </c>
      <c r="J69" s="172" t="s">
        <v>893</v>
      </c>
      <c r="K69" s="172" t="s">
        <v>894</v>
      </c>
      <c r="L69" s="172" t="s">
        <v>895</v>
      </c>
      <c r="M69" s="172"/>
      <c r="N69" s="172"/>
      <c r="O69" s="172"/>
      <c r="P69" s="172"/>
      <c r="Q69" s="172"/>
      <c r="R69" s="172"/>
      <c r="S69" s="172"/>
      <c r="T69" s="172"/>
      <c r="U69" s="172"/>
      <c r="V69" s="172"/>
      <c r="W69" s="172"/>
      <c r="X69" s="172"/>
      <c r="Y69" s="172"/>
      <c r="Z69" s="172"/>
    </row>
    <row r="70">
      <c r="A70" s="215" t="s">
        <v>148</v>
      </c>
      <c r="B70" s="216" t="s">
        <v>162</v>
      </c>
      <c r="C70" s="216" t="s">
        <v>163</v>
      </c>
      <c r="D70" s="216" t="s">
        <v>164</v>
      </c>
      <c r="E70" s="216" t="s">
        <v>165</v>
      </c>
      <c r="F70" s="182">
        <v>5.0</v>
      </c>
      <c r="G70" s="172" t="str">
        <f>IFERROR(__xludf.DUMMYFUNCTION("TRIM(REGEXREPLACE(C70, ""[0-9]+[a-f]?\."", """"))"),"What is your partner's name?")</f>
        <v>What is your partner's name?</v>
      </c>
      <c r="H70" s="172" t="str">
        <f>IFERROR(__xludf.DUMMYFUNCTION("TRIM(REGEXREPLACE(D70, ""[0-9]+[a-f]?\."", """"))"),"Quel est le nom de votre binôme?")</f>
        <v>Quel est le nom de votre binôme?</v>
      </c>
      <c r="I70" s="172" t="str">
        <f>IFERROR(__xludf.DUMMYFUNCTION("TRIM(REGEXREPLACE(E70, ""[0-9]+[a-f]?\."", """"))"),"Menene sunan abokin aikinka")</f>
        <v>Menene sunan abokin aikinka</v>
      </c>
      <c r="J70" s="172" t="str">
        <f t="shared" ref="J70:L70" si="5">$F70 &amp; ". " &amp;G70</f>
        <v>5. What is your partner's name?</v>
      </c>
      <c r="K70" s="172" t="str">
        <f t="shared" si="5"/>
        <v>5. Quel est le nom de votre binôme?</v>
      </c>
      <c r="L70" s="172" t="str">
        <f t="shared" si="5"/>
        <v>5. Menene sunan abokin aikinka</v>
      </c>
      <c r="M70" s="172"/>
      <c r="N70" s="172"/>
      <c r="O70" s="172"/>
      <c r="P70" s="172"/>
      <c r="Q70" s="172"/>
      <c r="R70" s="172"/>
      <c r="S70" s="172"/>
      <c r="T70" s="172"/>
      <c r="U70" s="172"/>
      <c r="V70" s="172"/>
      <c r="W70" s="172"/>
      <c r="X70" s="172"/>
      <c r="Y70" s="172"/>
      <c r="Z70" s="172"/>
    </row>
    <row r="71" hidden="1">
      <c r="A71" s="188" t="s">
        <v>68</v>
      </c>
      <c r="B71" s="189" t="s">
        <v>168</v>
      </c>
      <c r="C71" s="217" t="s">
        <v>158</v>
      </c>
      <c r="D71" s="190"/>
      <c r="E71" s="190"/>
      <c r="F71" s="182">
        <v>17.0</v>
      </c>
      <c r="G71" s="172" t="str">
        <f>IFERROR(__xludf.DUMMYFUNCTION("TRIM(REGEXREPLACE(C71, ""[0-9]+[a-f]?\."", """"))"),"CALC: Pull enumerator name")</f>
        <v>CALC: Pull enumerator name</v>
      </c>
      <c r="H71" s="172" t="str">
        <f>IFERROR(__xludf.DUMMYFUNCTION("TRIM(REGEXREPLACE(D71, ""[0-9]+[a-f]?\."", """"))"),"")</f>
        <v/>
      </c>
      <c r="I71" s="172" t="str">
        <f>IFERROR(__xludf.DUMMYFUNCTION("TRIM(REGEXREPLACE(E71, ""[0-9]+[a-f]?\."", """"))"),"")</f>
        <v/>
      </c>
      <c r="J71" s="172" t="s">
        <v>893</v>
      </c>
      <c r="K71" s="172" t="s">
        <v>894</v>
      </c>
      <c r="L71" s="172" t="s">
        <v>895</v>
      </c>
      <c r="M71" s="172"/>
      <c r="N71" s="172"/>
      <c r="O71" s="172"/>
      <c r="P71" s="172"/>
      <c r="Q71" s="172"/>
      <c r="R71" s="172"/>
      <c r="S71" s="172"/>
      <c r="T71" s="172"/>
      <c r="U71" s="172"/>
      <c r="V71" s="172"/>
      <c r="W71" s="172"/>
      <c r="X71" s="172"/>
      <c r="Y71" s="172"/>
      <c r="Z71" s="172"/>
    </row>
    <row r="72">
      <c r="A72" s="215" t="s">
        <v>179</v>
      </c>
      <c r="B72" s="216" t="s">
        <v>180</v>
      </c>
      <c r="C72" s="216" t="s">
        <v>181</v>
      </c>
      <c r="D72" s="216" t="s">
        <v>182</v>
      </c>
      <c r="E72" s="216" t="s">
        <v>205</v>
      </c>
      <c r="F72" s="182">
        <v>6.0</v>
      </c>
      <c r="G72" s="172" t="str">
        <f>IFERROR(__xludf.DUMMYFUNCTION("TRIM(REGEXREPLACE(C72, ""[0-9]+[a-f]?\."", """"))"),"What commune are you surveying in?")</f>
        <v>What commune are you surveying in?</v>
      </c>
      <c r="H72" s="172" t="str">
        <f>IFERROR(__xludf.DUMMYFUNCTION("TRIM(REGEXREPLACE(D72, ""[0-9]+[a-f]?\."", """"))"),"Quelle est votre commune de travail ?")</f>
        <v>Quelle est votre commune de travail ?</v>
      </c>
      <c r="I72" s="172" t="str">
        <f>IFERROR(__xludf.DUMMYFUNCTION("TRIM(REGEXREPLACE(E72, ""[0-9]+[a-f]?\."", """"))"),"Cikin wane komin kake aiki?")</f>
        <v>Cikin wane komin kake aiki?</v>
      </c>
      <c r="J72" s="172" t="str">
        <f t="shared" ref="J72:L72" si="6">$F72 &amp; ". " &amp;G72</f>
        <v>6. What commune are you surveying in?</v>
      </c>
      <c r="K72" s="172" t="str">
        <f t="shared" si="6"/>
        <v>6. Quelle est votre commune de travail ?</v>
      </c>
      <c r="L72" s="172" t="str">
        <f t="shared" si="6"/>
        <v>6. Cikin wane komin kake aiki?</v>
      </c>
      <c r="M72" s="172"/>
      <c r="N72" s="172"/>
      <c r="O72" s="172"/>
      <c r="P72" s="172"/>
      <c r="Q72" s="172"/>
      <c r="R72" s="172"/>
      <c r="S72" s="172"/>
      <c r="T72" s="172"/>
      <c r="U72" s="172"/>
      <c r="V72" s="172"/>
      <c r="W72" s="172"/>
      <c r="X72" s="172"/>
      <c r="Y72" s="172"/>
      <c r="Z72" s="172"/>
    </row>
    <row r="73" hidden="1">
      <c r="A73" s="172"/>
      <c r="B73" s="174"/>
      <c r="C73" s="174"/>
      <c r="D73" s="174"/>
      <c r="E73" s="174"/>
      <c r="F73" s="182">
        <v>18.0</v>
      </c>
      <c r="G73" s="172" t="str">
        <f>IFERROR(__xludf.DUMMYFUNCTION("TRIM(REGEXREPLACE(C73, ""[0-9]+[a-f]?\."", """"))"),"")</f>
        <v/>
      </c>
      <c r="H73" s="172" t="str">
        <f>IFERROR(__xludf.DUMMYFUNCTION("TRIM(REGEXREPLACE(D73, ""[0-9]+[a-f]?\."", """"))"),"")</f>
        <v/>
      </c>
      <c r="I73" s="172" t="str">
        <f>IFERROR(__xludf.DUMMYFUNCTION("TRIM(REGEXREPLACE(E73, ""[0-9]+[a-f]?\."", """"))"),"")</f>
        <v/>
      </c>
      <c r="J73" s="172" t="s">
        <v>903</v>
      </c>
      <c r="K73" s="172" t="s">
        <v>904</v>
      </c>
      <c r="L73" s="172" t="s">
        <v>905</v>
      </c>
      <c r="M73" s="172"/>
      <c r="N73" s="172"/>
      <c r="O73" s="172"/>
      <c r="P73" s="172"/>
      <c r="Q73" s="172"/>
      <c r="R73" s="172"/>
      <c r="S73" s="172"/>
      <c r="T73" s="172"/>
      <c r="U73" s="172"/>
      <c r="V73" s="172"/>
      <c r="W73" s="172"/>
      <c r="X73" s="172"/>
      <c r="Y73" s="172"/>
      <c r="Z73" s="172"/>
    </row>
    <row r="74" hidden="1">
      <c r="A74" s="172"/>
      <c r="B74" s="174"/>
      <c r="C74" s="174"/>
      <c r="D74" s="174"/>
      <c r="E74" s="174"/>
      <c r="F74" s="182">
        <v>19.0</v>
      </c>
      <c r="G74" s="172" t="str">
        <f>IFERROR(__xludf.DUMMYFUNCTION("TRIM(REGEXREPLACE(C74, ""[0-9]+[a-f]?\."", """"))"),"")</f>
        <v/>
      </c>
      <c r="H74" s="172" t="str">
        <f>IFERROR(__xludf.DUMMYFUNCTION("TRIM(REGEXREPLACE(D74, ""[0-9]+[a-f]?\."", """"))"),"")</f>
        <v/>
      </c>
      <c r="I74" s="172" t="str">
        <f>IFERROR(__xludf.DUMMYFUNCTION("TRIM(REGEXREPLACE(E74, ""[0-9]+[a-f]?\."", """"))"),"")</f>
        <v/>
      </c>
      <c r="J74" s="172" t="s">
        <v>906</v>
      </c>
      <c r="K74" s="172" t="s">
        <v>907</v>
      </c>
      <c r="L74" s="172" t="s">
        <v>908</v>
      </c>
      <c r="M74" s="172"/>
      <c r="N74" s="172"/>
      <c r="O74" s="172"/>
      <c r="P74" s="172"/>
      <c r="Q74" s="172"/>
      <c r="R74" s="172"/>
      <c r="S74" s="172"/>
      <c r="T74" s="172"/>
      <c r="U74" s="172"/>
      <c r="V74" s="172"/>
      <c r="W74" s="172"/>
      <c r="X74" s="172"/>
      <c r="Y74" s="172"/>
      <c r="Z74" s="172"/>
    </row>
    <row r="75" hidden="1">
      <c r="A75" s="172"/>
      <c r="B75" s="174"/>
      <c r="C75" s="174"/>
      <c r="D75" s="174"/>
      <c r="E75" s="174"/>
      <c r="F75" s="182">
        <v>20.0</v>
      </c>
      <c r="G75" s="172" t="str">
        <f>IFERROR(__xludf.DUMMYFUNCTION("TRIM(REGEXREPLACE(C75, ""[0-9]+[a-f]?\."", """"))"),"")</f>
        <v/>
      </c>
      <c r="H75" s="172" t="str">
        <f>IFERROR(__xludf.DUMMYFUNCTION("TRIM(REGEXREPLACE(D75, ""[0-9]+[a-f]?\."", """"))"),"")</f>
        <v/>
      </c>
      <c r="I75" s="172" t="str">
        <f>IFERROR(__xludf.DUMMYFUNCTION("TRIM(REGEXREPLACE(E75, ""[0-9]+[a-f]?\."", """"))"),"")</f>
        <v/>
      </c>
      <c r="J75" s="172" t="s">
        <v>681</v>
      </c>
      <c r="K75" s="172" t="s">
        <v>682</v>
      </c>
      <c r="L75" s="172" t="s">
        <v>684</v>
      </c>
      <c r="M75" s="172"/>
      <c r="N75" s="172"/>
      <c r="O75" s="172"/>
      <c r="P75" s="172"/>
      <c r="Q75" s="172"/>
      <c r="R75" s="172"/>
      <c r="S75" s="172"/>
      <c r="T75" s="172"/>
      <c r="U75" s="172"/>
      <c r="V75" s="172"/>
      <c r="W75" s="172"/>
      <c r="X75" s="172"/>
      <c r="Y75" s="172"/>
      <c r="Z75" s="172"/>
    </row>
    <row r="76" hidden="1">
      <c r="A76" s="188" t="s">
        <v>68</v>
      </c>
      <c r="B76" s="189" t="s">
        <v>186</v>
      </c>
      <c r="C76" s="217" t="s">
        <v>211</v>
      </c>
      <c r="D76" s="190"/>
      <c r="E76" s="190"/>
      <c r="F76" s="182">
        <v>19.0</v>
      </c>
      <c r="G76" s="172" t="str">
        <f>IFERROR(__xludf.DUMMYFUNCTION("TRIM(REGEXREPLACE(C76, ""[0-9]+[a-f]?\."", """"))"),"CALC: Pull commune name")</f>
        <v>CALC: Pull commune name</v>
      </c>
      <c r="H76" s="172" t="str">
        <f>IFERROR(__xludf.DUMMYFUNCTION("TRIM(REGEXREPLACE(D76, ""[0-9]+[a-f]?\."", """"))"),"")</f>
        <v/>
      </c>
      <c r="I76" s="172" t="str">
        <f>IFERROR(__xludf.DUMMYFUNCTION("TRIM(REGEXREPLACE(E76, ""[0-9]+[a-f]?\."", """"))"),"")</f>
        <v/>
      </c>
      <c r="J76" s="172" t="s">
        <v>906</v>
      </c>
      <c r="K76" s="172" t="s">
        <v>907</v>
      </c>
      <c r="L76" s="172" t="s">
        <v>908</v>
      </c>
      <c r="M76" s="172"/>
      <c r="N76" s="172"/>
      <c r="O76" s="172"/>
      <c r="P76" s="172"/>
      <c r="Q76" s="172"/>
      <c r="R76" s="172"/>
      <c r="S76" s="172"/>
      <c r="T76" s="172"/>
      <c r="U76" s="172"/>
      <c r="V76" s="172"/>
      <c r="W76" s="172"/>
      <c r="X76" s="172"/>
      <c r="Y76" s="172"/>
      <c r="Z76" s="172"/>
    </row>
    <row r="77" hidden="1">
      <c r="A77" s="188" t="s">
        <v>68</v>
      </c>
      <c r="B77" s="189" t="s">
        <v>215</v>
      </c>
      <c r="C77" s="190"/>
      <c r="D77" s="190"/>
      <c r="E77" s="190"/>
      <c r="F77" s="182">
        <v>20.0</v>
      </c>
      <c r="G77" s="172" t="str">
        <f>IFERROR(__xludf.DUMMYFUNCTION("TRIM(REGEXREPLACE(C77, ""[0-9]+[a-f]?\."", """"))"),"")</f>
        <v/>
      </c>
      <c r="H77" s="172" t="str">
        <f>IFERROR(__xludf.DUMMYFUNCTION("TRIM(REGEXREPLACE(D77, ""[0-9]+[a-f]?\."", """"))"),"")</f>
        <v/>
      </c>
      <c r="I77" s="172" t="str">
        <f>IFERROR(__xludf.DUMMYFUNCTION("TRIM(REGEXREPLACE(E77, ""[0-9]+[a-f]?\."", """"))"),"")</f>
        <v/>
      </c>
      <c r="J77" s="172" t="s">
        <v>681</v>
      </c>
      <c r="K77" s="172" t="s">
        <v>682</v>
      </c>
      <c r="L77" s="172" t="s">
        <v>684</v>
      </c>
      <c r="M77" s="172"/>
      <c r="N77" s="172"/>
      <c r="O77" s="172"/>
      <c r="P77" s="172"/>
      <c r="Q77" s="172"/>
      <c r="R77" s="172"/>
      <c r="S77" s="172"/>
      <c r="T77" s="172"/>
      <c r="U77" s="172"/>
      <c r="V77" s="172"/>
      <c r="W77" s="172"/>
      <c r="X77" s="172"/>
      <c r="Y77" s="172"/>
      <c r="Z77" s="172"/>
    </row>
    <row r="78" hidden="1">
      <c r="A78" s="188" t="s">
        <v>68</v>
      </c>
      <c r="B78" s="189" t="s">
        <v>185</v>
      </c>
      <c r="C78" s="190"/>
      <c r="D78" s="190"/>
      <c r="E78" s="190"/>
      <c r="F78" s="182">
        <v>21.0</v>
      </c>
      <c r="G78" s="172" t="str">
        <f>IFERROR(__xludf.DUMMYFUNCTION("TRIM(REGEXREPLACE(C78, ""[0-9]+[a-f]?\."", """"))"),"")</f>
        <v/>
      </c>
      <c r="H78" s="172" t="str">
        <f>IFERROR(__xludf.DUMMYFUNCTION("TRIM(REGEXREPLACE(D78, ""[0-9]+[a-f]?\."", """"))"),"")</f>
        <v/>
      </c>
      <c r="I78" s="172" t="str">
        <f>IFERROR(__xludf.DUMMYFUNCTION("TRIM(REGEXREPLACE(E78, ""[0-9]+[a-f]?\."", """"))"),"")</f>
        <v/>
      </c>
      <c r="J78" s="172" t="s">
        <v>687</v>
      </c>
      <c r="K78" s="172" t="s">
        <v>688</v>
      </c>
      <c r="L78" s="172" t="s">
        <v>689</v>
      </c>
      <c r="M78" s="172"/>
      <c r="N78" s="172"/>
      <c r="O78" s="172"/>
      <c r="P78" s="172"/>
      <c r="Q78" s="172"/>
      <c r="R78" s="172"/>
      <c r="S78" s="172"/>
      <c r="T78" s="172"/>
      <c r="U78" s="172"/>
      <c r="V78" s="172"/>
      <c r="W78" s="172"/>
      <c r="X78" s="172"/>
      <c r="Y78" s="172"/>
      <c r="Z78" s="172"/>
    </row>
    <row r="79">
      <c r="A79" s="215" t="s">
        <v>222</v>
      </c>
      <c r="B79" s="216" t="s">
        <v>190</v>
      </c>
      <c r="C79" s="216" t="s">
        <v>223</v>
      </c>
      <c r="D79" s="216" t="s">
        <v>224</v>
      </c>
      <c r="E79" s="216" t="s">
        <v>225</v>
      </c>
      <c r="F79" s="182">
        <v>7.0</v>
      </c>
      <c r="G79" s="172" t="str">
        <f>IFERROR(__xludf.DUMMYFUNCTION("TRIM(REGEXREPLACE(C79, ""[0-9]+[a-f]?\."", """"))"),"What village/neighborhood are you surveying in?")</f>
        <v>What village/neighborhood are you surveying in?</v>
      </c>
      <c r="H79" s="172" t="str">
        <f>IFERROR(__xludf.DUMMYFUNCTION("TRIM(REGEXREPLACE(D79, ""[0-9]+[a-f]?\."", """"))"),"Dans quelle ville/village faites-vous votre enquête ?")</f>
        <v>Dans quelle ville/village faites-vous votre enquête ?</v>
      </c>
      <c r="I79" s="172" t="str">
        <f>IFERROR(__xludf.DUMMYFUNCTION("TRIM(REGEXREPLACE(E79, ""[0-9]+[a-f]?\."", """"))"),"Cikin wane gari kake binciken?")</f>
        <v>Cikin wane gari kake binciken?</v>
      </c>
      <c r="J79" s="172" t="str">
        <f t="shared" ref="J79:L79" si="7">$F79 &amp; ". " &amp;G79</f>
        <v>7. What village/neighborhood are you surveying in?</v>
      </c>
      <c r="K79" s="172" t="str">
        <f t="shared" si="7"/>
        <v>7. Dans quelle ville/village faites-vous votre enquête ?</v>
      </c>
      <c r="L79" s="172" t="str">
        <f t="shared" si="7"/>
        <v>7. Cikin wane gari kake binciken?</v>
      </c>
      <c r="M79" s="172"/>
      <c r="N79" s="172"/>
      <c r="O79" s="172"/>
      <c r="P79" s="172"/>
      <c r="Q79" s="172"/>
      <c r="R79" s="172"/>
      <c r="S79" s="172"/>
      <c r="T79" s="172"/>
      <c r="U79" s="172"/>
      <c r="V79" s="172"/>
      <c r="W79" s="172"/>
      <c r="X79" s="172"/>
      <c r="Y79" s="172"/>
      <c r="Z79" s="172"/>
    </row>
    <row r="80" hidden="1">
      <c r="A80" s="172"/>
      <c r="B80" s="174"/>
      <c r="C80" s="174"/>
      <c r="D80" s="174"/>
      <c r="E80" s="174"/>
      <c r="F80" s="182">
        <v>24.0</v>
      </c>
      <c r="G80" s="172" t="str">
        <f>IFERROR(__xludf.DUMMYFUNCTION("TRIM(REGEXREPLACE(C80, ""[0-9]+[a-f]?\."", """"))"),"")</f>
        <v/>
      </c>
      <c r="H80" s="172" t="str">
        <f>IFERROR(__xludf.DUMMYFUNCTION("TRIM(REGEXREPLACE(D80, ""[0-9]+[a-f]?\."", """"))"),"")</f>
        <v/>
      </c>
      <c r="I80" s="172" t="str">
        <f>IFERROR(__xludf.DUMMYFUNCTION("TRIM(REGEXREPLACE(E80, ""[0-9]+[a-f]?\."", """"))"),"")</f>
        <v/>
      </c>
      <c r="J80" s="172" t="s">
        <v>916</v>
      </c>
      <c r="K80" s="172" t="s">
        <v>918</v>
      </c>
      <c r="L80" s="172" t="s">
        <v>919</v>
      </c>
      <c r="M80" s="172"/>
      <c r="N80" s="172"/>
      <c r="O80" s="172"/>
      <c r="P80" s="172"/>
      <c r="Q80" s="172"/>
      <c r="R80" s="172"/>
      <c r="S80" s="172"/>
      <c r="T80" s="172"/>
      <c r="U80" s="172"/>
      <c r="V80" s="172"/>
      <c r="W80" s="172"/>
      <c r="X80" s="172"/>
      <c r="Y80" s="172"/>
      <c r="Z80" s="172"/>
    </row>
    <row r="81" hidden="1">
      <c r="A81" s="188" t="s">
        <v>68</v>
      </c>
      <c r="B81" s="189" t="s">
        <v>192</v>
      </c>
      <c r="C81" s="217" t="s">
        <v>227</v>
      </c>
      <c r="D81" s="190"/>
      <c r="E81" s="190"/>
      <c r="F81" s="182">
        <v>23.0</v>
      </c>
      <c r="G81" s="172" t="str">
        <f>IFERROR(__xludf.DUMMYFUNCTION("TRIM(REGEXREPLACE(C81, ""[0-9]+[a-f]?\."", """"))"),"CALC: Pull locality name")</f>
        <v>CALC: Pull locality name</v>
      </c>
      <c r="H81" s="172" t="str">
        <f>IFERROR(__xludf.DUMMYFUNCTION("TRIM(REGEXREPLACE(D81, ""[0-9]+[a-f]?\."", """"))"),"")</f>
        <v/>
      </c>
      <c r="I81" s="172" t="str">
        <f>IFERROR(__xludf.DUMMYFUNCTION("TRIM(REGEXREPLACE(E81, ""[0-9]+[a-f]?\."", """"))"),"")</f>
        <v/>
      </c>
      <c r="J81" s="172" t="s">
        <v>922</v>
      </c>
      <c r="K81" s="172" t="s">
        <v>923</v>
      </c>
      <c r="L81" s="172" t="s">
        <v>924</v>
      </c>
      <c r="M81" s="172"/>
      <c r="N81" s="172"/>
      <c r="O81" s="172"/>
      <c r="P81" s="172"/>
      <c r="Q81" s="172"/>
      <c r="R81" s="172"/>
      <c r="S81" s="172"/>
      <c r="T81" s="172"/>
      <c r="U81" s="172"/>
      <c r="V81" s="172"/>
      <c r="W81" s="172"/>
      <c r="X81" s="172"/>
      <c r="Y81" s="172"/>
      <c r="Z81" s="172"/>
    </row>
    <row r="82" hidden="1">
      <c r="A82" s="188" t="s">
        <v>68</v>
      </c>
      <c r="B82" s="189" t="s">
        <v>234</v>
      </c>
      <c r="C82" s="190"/>
      <c r="D82" s="190"/>
      <c r="E82" s="190"/>
      <c r="F82" s="182">
        <v>24.0</v>
      </c>
      <c r="G82" s="172" t="str">
        <f>IFERROR(__xludf.DUMMYFUNCTION("TRIM(REGEXREPLACE(C82, ""[0-9]+[a-f]?\."", """"))"),"")</f>
        <v/>
      </c>
      <c r="H82" s="172" t="str">
        <f>IFERROR(__xludf.DUMMYFUNCTION("TRIM(REGEXREPLACE(D82, ""[0-9]+[a-f]?\."", """"))"),"")</f>
        <v/>
      </c>
      <c r="I82" s="172" t="str">
        <f>IFERROR(__xludf.DUMMYFUNCTION("TRIM(REGEXREPLACE(E82, ""[0-9]+[a-f]?\."", """"))"),"")</f>
        <v/>
      </c>
      <c r="J82" s="172" t="s">
        <v>916</v>
      </c>
      <c r="K82" s="172" t="s">
        <v>918</v>
      </c>
      <c r="L82" s="172" t="s">
        <v>919</v>
      </c>
      <c r="M82" s="172"/>
      <c r="N82" s="172"/>
      <c r="O82" s="172"/>
      <c r="P82" s="172"/>
      <c r="Q82" s="172"/>
      <c r="R82" s="172"/>
      <c r="S82" s="172"/>
      <c r="T82" s="172"/>
      <c r="U82" s="172"/>
      <c r="V82" s="172"/>
      <c r="W82" s="172"/>
      <c r="X82" s="172"/>
      <c r="Y82" s="172"/>
      <c r="Z82" s="172"/>
    </row>
    <row r="83" hidden="1">
      <c r="A83" s="172"/>
      <c r="B83" s="174"/>
      <c r="C83" s="174"/>
      <c r="D83" s="174"/>
      <c r="E83" s="174"/>
      <c r="F83" s="182">
        <v>24.0</v>
      </c>
      <c r="G83" s="172" t="str">
        <f>IFERROR(__xludf.DUMMYFUNCTION("TRIM(REGEXREPLACE(C83, ""[0-9]+[a-f]?\."", """"))"),"")</f>
        <v/>
      </c>
      <c r="H83" s="172" t="str">
        <f>IFERROR(__xludf.DUMMYFUNCTION("TRIM(REGEXREPLACE(D83, ""[0-9]+[a-f]?\."", """"))"),"")</f>
        <v/>
      </c>
      <c r="I83" s="172" t="str">
        <f>IFERROR(__xludf.DUMMYFUNCTION("TRIM(REGEXREPLACE(E83, ""[0-9]+[a-f]?\."", """"))"),"")</f>
        <v/>
      </c>
      <c r="J83" s="172" t="s">
        <v>926</v>
      </c>
      <c r="K83" s="172" t="s">
        <v>927</v>
      </c>
      <c r="L83" s="172" t="s">
        <v>928</v>
      </c>
      <c r="M83" s="172"/>
      <c r="N83" s="172"/>
      <c r="O83" s="172"/>
      <c r="P83" s="172"/>
      <c r="Q83" s="172"/>
      <c r="R83" s="172"/>
      <c r="S83" s="172"/>
      <c r="T83" s="172"/>
      <c r="U83" s="172"/>
      <c r="V83" s="172"/>
      <c r="W83" s="172"/>
      <c r="X83" s="172"/>
      <c r="Y83" s="172"/>
      <c r="Z83" s="172"/>
    </row>
    <row r="84" hidden="1">
      <c r="A84" s="172"/>
      <c r="B84" s="174"/>
      <c r="C84" s="174"/>
      <c r="D84" s="174"/>
      <c r="E84" s="174"/>
      <c r="F84" s="182">
        <v>25.0</v>
      </c>
      <c r="G84" s="172" t="str">
        <f>IFERROR(__xludf.DUMMYFUNCTION("TRIM(REGEXREPLACE(C84, ""[0-9]+[a-f]?\."", """"))"),"")</f>
        <v/>
      </c>
      <c r="H84" s="172" t="str">
        <f>IFERROR(__xludf.DUMMYFUNCTION("TRIM(REGEXREPLACE(D84, ""[0-9]+[a-f]?\."", """"))"),"")</f>
        <v/>
      </c>
      <c r="I84" s="172" t="str">
        <f>IFERROR(__xludf.DUMMYFUNCTION("TRIM(REGEXREPLACE(E84, ""[0-9]+[a-f]?\."", """"))"),"")</f>
        <v/>
      </c>
      <c r="J84" s="172" t="s">
        <v>932</v>
      </c>
      <c r="K84" s="172" t="s">
        <v>933</v>
      </c>
      <c r="L84" s="172" t="s">
        <v>934</v>
      </c>
      <c r="M84" s="172"/>
      <c r="N84" s="172"/>
      <c r="O84" s="172"/>
      <c r="P84" s="172"/>
      <c r="Q84" s="172"/>
      <c r="R84" s="172"/>
      <c r="S84" s="172"/>
      <c r="T84" s="172"/>
      <c r="U84" s="172"/>
      <c r="V84" s="172"/>
      <c r="W84" s="172"/>
      <c r="X84" s="172"/>
      <c r="Y84" s="172"/>
      <c r="Z84" s="172"/>
    </row>
    <row r="85" hidden="1">
      <c r="A85" s="172"/>
      <c r="B85" s="174"/>
      <c r="C85" s="174"/>
      <c r="D85" s="174"/>
      <c r="E85" s="174"/>
      <c r="F85" s="182">
        <v>26.0</v>
      </c>
      <c r="G85" s="172" t="str">
        <f>IFERROR(__xludf.DUMMYFUNCTION("TRIM(REGEXREPLACE(C85, ""[0-9]+[a-f]?\."", """"))"),"")</f>
        <v/>
      </c>
      <c r="H85" s="172" t="str">
        <f>IFERROR(__xludf.DUMMYFUNCTION("TRIM(REGEXREPLACE(D85, ""[0-9]+[a-f]?\."", """"))"),"")</f>
        <v/>
      </c>
      <c r="I85" s="172" t="str">
        <f>IFERROR(__xludf.DUMMYFUNCTION("TRIM(REGEXREPLACE(E85, ""[0-9]+[a-f]?\."", """"))"),"")</f>
        <v/>
      </c>
      <c r="J85" s="172" t="s">
        <v>935</v>
      </c>
      <c r="K85" s="172" t="s">
        <v>936</v>
      </c>
      <c r="L85" s="172" t="s">
        <v>937</v>
      </c>
      <c r="M85" s="172"/>
      <c r="N85" s="172"/>
      <c r="O85" s="172"/>
      <c r="P85" s="172"/>
      <c r="Q85" s="172"/>
      <c r="R85" s="172"/>
      <c r="S85" s="172"/>
      <c r="T85" s="172"/>
      <c r="U85" s="172"/>
      <c r="V85" s="172"/>
      <c r="W85" s="172"/>
      <c r="X85" s="172"/>
      <c r="Y85" s="172"/>
      <c r="Z85" s="172"/>
    </row>
    <row r="86" hidden="1">
      <c r="A86" s="188" t="s">
        <v>68</v>
      </c>
      <c r="B86" s="189" t="s">
        <v>236</v>
      </c>
      <c r="C86" s="190"/>
      <c r="D86" s="190"/>
      <c r="E86" s="190"/>
      <c r="F86" s="182">
        <v>25.0</v>
      </c>
      <c r="G86" s="172" t="str">
        <f>IFERROR(__xludf.DUMMYFUNCTION("TRIM(REGEXREPLACE(C86, ""[0-9]+[a-f]?\."", """"))"),"")</f>
        <v/>
      </c>
      <c r="H86" s="172" t="str">
        <f>IFERROR(__xludf.DUMMYFUNCTION("TRIM(REGEXREPLACE(D86, ""[0-9]+[a-f]?\."", """"))"),"")</f>
        <v/>
      </c>
      <c r="I86" s="172" t="str">
        <f>IFERROR(__xludf.DUMMYFUNCTION("TRIM(REGEXREPLACE(E86, ""[0-9]+[a-f]?\."", """"))"),"")</f>
        <v/>
      </c>
      <c r="J86" s="172" t="s">
        <v>932</v>
      </c>
      <c r="K86" s="172" t="s">
        <v>933</v>
      </c>
      <c r="L86" s="172" t="s">
        <v>934</v>
      </c>
      <c r="M86" s="172"/>
      <c r="N86" s="172"/>
      <c r="O86" s="172"/>
      <c r="P86" s="172"/>
      <c r="Q86" s="172"/>
      <c r="R86" s="172"/>
      <c r="S86" s="172"/>
      <c r="T86" s="172"/>
      <c r="U86" s="172"/>
      <c r="V86" s="172"/>
      <c r="W86" s="172"/>
      <c r="X86" s="172"/>
      <c r="Y86" s="172"/>
      <c r="Z86" s="172"/>
    </row>
    <row r="87" hidden="1">
      <c r="A87" s="211" t="s">
        <v>238</v>
      </c>
      <c r="B87" s="224" t="s">
        <v>108</v>
      </c>
      <c r="C87" s="224" t="s">
        <v>110</v>
      </c>
      <c r="D87" s="225"/>
      <c r="E87" s="225"/>
      <c r="F87" s="182">
        <v>26.0</v>
      </c>
      <c r="G87" s="172" t="str">
        <f>IFERROR(__xludf.DUMMYFUNCTION("TRIM(REGEXREPLACE(C87, ""[0-9]+[a-f]?\."", """"))"),"Enumerator Questions")</f>
        <v>Enumerator Questions</v>
      </c>
      <c r="H87" s="172" t="str">
        <f>IFERROR(__xludf.DUMMYFUNCTION("TRIM(REGEXREPLACE(D87, ""[0-9]+[a-f]?\."", """"))"),"")</f>
        <v/>
      </c>
      <c r="I87" s="172" t="str">
        <f>IFERROR(__xludf.DUMMYFUNCTION("TRIM(REGEXREPLACE(E87, ""[0-9]+[a-f]?\."", """"))"),"")</f>
        <v/>
      </c>
      <c r="J87" s="172" t="s">
        <v>935</v>
      </c>
      <c r="K87" s="172" t="s">
        <v>936</v>
      </c>
      <c r="L87" s="172" t="s">
        <v>937</v>
      </c>
      <c r="M87" s="172"/>
      <c r="N87" s="172"/>
      <c r="O87" s="172"/>
      <c r="P87" s="172"/>
      <c r="Q87" s="172"/>
      <c r="R87" s="172"/>
      <c r="S87" s="172"/>
      <c r="T87" s="172"/>
      <c r="U87" s="172"/>
      <c r="V87" s="172"/>
      <c r="W87" s="172"/>
      <c r="X87" s="172"/>
      <c r="Y87" s="172"/>
      <c r="Z87" s="172"/>
    </row>
    <row r="88" hidden="1">
      <c r="A88" s="172"/>
      <c r="B88" s="174"/>
      <c r="C88" s="174"/>
      <c r="D88" s="174"/>
      <c r="E88" s="174"/>
      <c r="F88" s="182">
        <v>27.0</v>
      </c>
      <c r="G88" s="172" t="str">
        <f>IFERROR(__xludf.DUMMYFUNCTION("TRIM(REGEXREPLACE(C88, ""[0-9]+[a-f]?\."", """"))"),"")</f>
        <v/>
      </c>
      <c r="H88" s="172" t="str">
        <f>IFERROR(__xludf.DUMMYFUNCTION("TRIM(REGEXREPLACE(D88, ""[0-9]+[a-f]?\."", """"))"),"")</f>
        <v/>
      </c>
      <c r="I88" s="172" t="str">
        <f>IFERROR(__xludf.DUMMYFUNCTION("TRIM(REGEXREPLACE(E88, ""[0-9]+[a-f]?\."", """"))"),"")</f>
        <v/>
      </c>
      <c r="J88" s="172" t="s">
        <v>946</v>
      </c>
      <c r="K88" s="172" t="s">
        <v>947</v>
      </c>
      <c r="L88" s="172" t="s">
        <v>948</v>
      </c>
      <c r="M88" s="172"/>
      <c r="N88" s="172"/>
      <c r="O88" s="172"/>
      <c r="P88" s="172"/>
      <c r="Q88" s="172"/>
      <c r="R88" s="172"/>
      <c r="S88" s="172"/>
      <c r="T88" s="172"/>
      <c r="U88" s="172"/>
      <c r="V88" s="172"/>
      <c r="W88" s="172"/>
      <c r="X88" s="172"/>
      <c r="Y88" s="172"/>
      <c r="Z88" s="172"/>
    </row>
    <row r="89" hidden="1">
      <c r="A89" s="211" t="s">
        <v>107</v>
      </c>
      <c r="B89" s="212" t="s">
        <v>94</v>
      </c>
      <c r="C89" s="214"/>
      <c r="D89" s="214"/>
      <c r="E89" s="214"/>
      <c r="F89" s="182">
        <v>28.0</v>
      </c>
      <c r="G89" s="172" t="str">
        <f>IFERROR(__xludf.DUMMYFUNCTION("TRIM(REGEXREPLACE(C89, ""[0-9]+[a-f]?\."", """"))"),"")</f>
        <v/>
      </c>
      <c r="H89" s="172" t="str">
        <f>IFERROR(__xludf.DUMMYFUNCTION("TRIM(REGEXREPLACE(D89, ""[0-9]+[a-f]?\."", """"))"),"")</f>
        <v/>
      </c>
      <c r="I89" s="172" t="str">
        <f>IFERROR(__xludf.DUMMYFUNCTION("TRIM(REGEXREPLACE(E89, ""[0-9]+[a-f]?\."", """"))"),"")</f>
        <v/>
      </c>
      <c r="J89" s="172" t="s">
        <v>950</v>
      </c>
      <c r="K89" s="172" t="s">
        <v>951</v>
      </c>
      <c r="L89" s="172" t="s">
        <v>952</v>
      </c>
      <c r="M89" s="172"/>
      <c r="N89" s="172"/>
      <c r="O89" s="172"/>
      <c r="P89" s="172"/>
      <c r="Q89" s="172"/>
      <c r="R89" s="172"/>
      <c r="S89" s="172"/>
      <c r="T89" s="172"/>
      <c r="U89" s="172"/>
      <c r="V89" s="172"/>
      <c r="W89" s="172"/>
      <c r="X89" s="172"/>
      <c r="Y89" s="172"/>
      <c r="Z89" s="172"/>
    </row>
    <row r="90" hidden="1">
      <c r="A90" s="172"/>
      <c r="B90" s="174"/>
      <c r="C90" s="174"/>
      <c r="D90" s="174"/>
      <c r="E90" s="174"/>
      <c r="F90" s="182">
        <v>30.0</v>
      </c>
      <c r="G90" s="172" t="str">
        <f>IFERROR(__xludf.DUMMYFUNCTION("TRIM(REGEXREPLACE(C90, ""[0-9]+[a-f]?\."", """"))"),"")</f>
        <v/>
      </c>
      <c r="H90" s="172" t="str">
        <f>IFERROR(__xludf.DUMMYFUNCTION("TRIM(REGEXREPLACE(D90, ""[0-9]+[a-f]?\."", """"))"),"")</f>
        <v/>
      </c>
      <c r="I90" s="172" t="str">
        <f>IFERROR(__xludf.DUMMYFUNCTION("TRIM(REGEXREPLACE(E90, ""[0-9]+[a-f]?\."", """"))"),"")</f>
        <v/>
      </c>
      <c r="J90" s="172" t="s">
        <v>954</v>
      </c>
      <c r="K90" s="172" t="s">
        <v>955</v>
      </c>
      <c r="L90" s="172" t="s">
        <v>956</v>
      </c>
      <c r="M90" s="172"/>
      <c r="N90" s="172"/>
      <c r="O90" s="172"/>
      <c r="P90" s="172"/>
      <c r="Q90" s="172"/>
      <c r="R90" s="172"/>
      <c r="S90" s="172"/>
      <c r="T90" s="172"/>
      <c r="U90" s="172"/>
      <c r="V90" s="172"/>
      <c r="W90" s="172"/>
      <c r="X90" s="172"/>
      <c r="Y90" s="172"/>
      <c r="Z90" s="172"/>
    </row>
    <row r="91" hidden="1">
      <c r="A91" s="188" t="s">
        <v>68</v>
      </c>
      <c r="B91" s="189" t="s">
        <v>958</v>
      </c>
      <c r="C91" s="190"/>
      <c r="D91" s="190"/>
      <c r="E91" s="190"/>
      <c r="F91" s="182">
        <v>29.0</v>
      </c>
      <c r="G91" s="172" t="str">
        <f>IFERROR(__xludf.DUMMYFUNCTION("TRIM(REGEXREPLACE(C91, ""[0-9]+[a-f]?\."", """"))"),"")</f>
        <v/>
      </c>
      <c r="H91" s="172" t="str">
        <f>IFERROR(__xludf.DUMMYFUNCTION("TRIM(REGEXREPLACE(D91, ""[0-9]+[a-f]?\."", """"))"),"")</f>
        <v/>
      </c>
      <c r="I91" s="172" t="str">
        <f>IFERROR(__xludf.DUMMYFUNCTION("TRIM(REGEXREPLACE(E91, ""[0-9]+[a-f]?\."", """"))"),"")</f>
        <v/>
      </c>
      <c r="J91" s="172" t="s">
        <v>961</v>
      </c>
      <c r="K91" s="172" t="s">
        <v>962</v>
      </c>
      <c r="L91" s="172" t="s">
        <v>963</v>
      </c>
      <c r="M91" s="172"/>
      <c r="N91" s="172"/>
      <c r="O91" s="172"/>
      <c r="P91" s="172"/>
      <c r="Q91" s="172"/>
      <c r="R91" s="172"/>
      <c r="S91" s="172"/>
      <c r="T91" s="172"/>
      <c r="U91" s="172"/>
      <c r="V91" s="172"/>
      <c r="W91" s="172"/>
      <c r="X91" s="172"/>
      <c r="Y91" s="172"/>
      <c r="Z91" s="172"/>
    </row>
    <row r="92" hidden="1">
      <c r="A92" s="188" t="s">
        <v>68</v>
      </c>
      <c r="B92" s="189" t="s">
        <v>964</v>
      </c>
      <c r="C92" s="190"/>
      <c r="D92" s="190"/>
      <c r="E92" s="190"/>
      <c r="F92" s="182">
        <v>30.0</v>
      </c>
      <c r="G92" s="172" t="str">
        <f>IFERROR(__xludf.DUMMYFUNCTION("TRIM(REGEXREPLACE(C92, ""[0-9]+[a-f]?\."", """"))"),"")</f>
        <v/>
      </c>
      <c r="H92" s="172" t="str">
        <f>IFERROR(__xludf.DUMMYFUNCTION("TRIM(REGEXREPLACE(D92, ""[0-9]+[a-f]?\."", """"))"),"")</f>
        <v/>
      </c>
      <c r="I92" s="172" t="str">
        <f>IFERROR(__xludf.DUMMYFUNCTION("TRIM(REGEXREPLACE(E92, ""[0-9]+[a-f]?\."", """"))"),"")</f>
        <v/>
      </c>
      <c r="J92" s="172" t="s">
        <v>954</v>
      </c>
      <c r="K92" s="172" t="s">
        <v>955</v>
      </c>
      <c r="L92" s="172" t="s">
        <v>956</v>
      </c>
      <c r="M92" s="172"/>
      <c r="N92" s="172"/>
      <c r="O92" s="172"/>
      <c r="P92" s="172"/>
      <c r="Q92" s="172"/>
      <c r="R92" s="172"/>
      <c r="S92" s="172"/>
      <c r="T92" s="172"/>
      <c r="U92" s="172"/>
      <c r="V92" s="172"/>
      <c r="W92" s="172"/>
      <c r="X92" s="172"/>
      <c r="Y92" s="172"/>
      <c r="Z92" s="172"/>
    </row>
    <row r="93" hidden="1">
      <c r="A93" s="188" t="s">
        <v>68</v>
      </c>
      <c r="B93" s="189" t="s">
        <v>968</v>
      </c>
      <c r="C93" s="190"/>
      <c r="D93" s="190"/>
      <c r="E93" s="190"/>
      <c r="F93" s="182">
        <v>31.0</v>
      </c>
      <c r="G93" s="172" t="str">
        <f>IFERROR(__xludf.DUMMYFUNCTION("TRIM(REGEXREPLACE(C93, ""[0-9]+[a-f]?\."", """"))"),"")</f>
        <v/>
      </c>
      <c r="H93" s="172" t="str">
        <f>IFERROR(__xludf.DUMMYFUNCTION("TRIM(REGEXREPLACE(D93, ""[0-9]+[a-f]?\."", """"))"),"")</f>
        <v/>
      </c>
      <c r="I93" s="172" t="str">
        <f>IFERROR(__xludf.DUMMYFUNCTION("TRIM(REGEXREPLACE(E93, ""[0-9]+[a-f]?\."", """"))"),"")</f>
        <v/>
      </c>
      <c r="J93" s="172" t="s">
        <v>969</v>
      </c>
      <c r="K93" s="172" t="s">
        <v>970</v>
      </c>
      <c r="L93" s="172" t="s">
        <v>971</v>
      </c>
      <c r="M93" s="172"/>
      <c r="N93" s="172"/>
      <c r="O93" s="172"/>
      <c r="P93" s="172"/>
      <c r="Q93" s="172"/>
      <c r="R93" s="172"/>
      <c r="S93" s="172"/>
      <c r="T93" s="172"/>
      <c r="U93" s="172"/>
      <c r="V93" s="172"/>
      <c r="W93" s="172"/>
      <c r="X93" s="172"/>
      <c r="Y93" s="172"/>
      <c r="Z93" s="172"/>
    </row>
    <row r="94" hidden="1">
      <c r="A94" s="188" t="s">
        <v>68</v>
      </c>
      <c r="B94" s="189" t="s">
        <v>973</v>
      </c>
      <c r="C94" s="190"/>
      <c r="D94" s="190"/>
      <c r="E94" s="190"/>
      <c r="F94" s="182">
        <v>32.0</v>
      </c>
      <c r="G94" s="172" t="str">
        <f>IFERROR(__xludf.DUMMYFUNCTION("TRIM(REGEXREPLACE(C94, ""[0-9]+[a-f]?\."", """"))"),"")</f>
        <v/>
      </c>
      <c r="H94" s="172" t="str">
        <f>IFERROR(__xludf.DUMMYFUNCTION("TRIM(REGEXREPLACE(D94, ""[0-9]+[a-f]?\."", """"))"),"")</f>
        <v/>
      </c>
      <c r="I94" s="172" t="str">
        <f>IFERROR(__xludf.DUMMYFUNCTION("TRIM(REGEXREPLACE(E94, ""[0-9]+[a-f]?\."", """"))"),"")</f>
        <v/>
      </c>
      <c r="J94" s="172" t="s">
        <v>974</v>
      </c>
      <c r="K94" s="172" t="s">
        <v>975</v>
      </c>
      <c r="L94" s="172" t="s">
        <v>976</v>
      </c>
      <c r="M94" s="172"/>
      <c r="N94" s="172"/>
      <c r="O94" s="172"/>
      <c r="P94" s="172"/>
      <c r="Q94" s="172"/>
      <c r="R94" s="172"/>
      <c r="S94" s="172"/>
      <c r="T94" s="172"/>
      <c r="U94" s="172"/>
      <c r="V94" s="172"/>
      <c r="W94" s="172"/>
      <c r="X94" s="172"/>
      <c r="Y94" s="172"/>
      <c r="Z94" s="172"/>
    </row>
    <row r="95" hidden="1">
      <c r="A95" s="172"/>
      <c r="B95" s="174"/>
      <c r="C95" s="174"/>
      <c r="D95" s="174"/>
      <c r="E95" s="174"/>
      <c r="F95" s="182">
        <v>34.0</v>
      </c>
      <c r="G95" s="172" t="str">
        <f>IFERROR(__xludf.DUMMYFUNCTION("TRIM(REGEXREPLACE(C95, ""[0-9]+[a-f]?\."", """"))"),"")</f>
        <v/>
      </c>
      <c r="H95" s="172" t="str">
        <f>IFERROR(__xludf.DUMMYFUNCTION("TRIM(REGEXREPLACE(D95, ""[0-9]+[a-f]?\."", """"))"),"")</f>
        <v/>
      </c>
      <c r="I95" s="172" t="str">
        <f>IFERROR(__xludf.DUMMYFUNCTION("TRIM(REGEXREPLACE(E95, ""[0-9]+[a-f]?\."", """"))"),"")</f>
        <v/>
      </c>
      <c r="J95" s="172" t="s">
        <v>980</v>
      </c>
      <c r="K95" s="172" t="s">
        <v>981</v>
      </c>
      <c r="L95" s="172" t="s">
        <v>982</v>
      </c>
      <c r="M95" s="172"/>
      <c r="N95" s="172"/>
      <c r="O95" s="172"/>
      <c r="P95" s="172"/>
      <c r="Q95" s="172"/>
      <c r="R95" s="172"/>
      <c r="S95" s="172"/>
      <c r="T95" s="172"/>
      <c r="U95" s="172"/>
      <c r="V95" s="172"/>
      <c r="W95" s="172"/>
      <c r="X95" s="172"/>
      <c r="Y95" s="172"/>
      <c r="Z95" s="172"/>
    </row>
    <row r="96" hidden="1">
      <c r="A96" s="188" t="s">
        <v>68</v>
      </c>
      <c r="B96" s="189" t="s">
        <v>984</v>
      </c>
      <c r="C96" s="190"/>
      <c r="D96" s="190"/>
      <c r="E96" s="190"/>
      <c r="F96" s="182">
        <v>33.0</v>
      </c>
      <c r="G96" s="172" t="str">
        <f>IFERROR(__xludf.DUMMYFUNCTION("TRIM(REGEXREPLACE(C96, ""[0-9]+[a-f]?\."", """"))"),"")</f>
        <v/>
      </c>
      <c r="H96" s="172" t="str">
        <f>IFERROR(__xludf.DUMMYFUNCTION("TRIM(REGEXREPLACE(D96, ""[0-9]+[a-f]?\."", """"))"),"")</f>
        <v/>
      </c>
      <c r="I96" s="172" t="str">
        <f>IFERROR(__xludf.DUMMYFUNCTION("TRIM(REGEXREPLACE(E96, ""[0-9]+[a-f]?\."", """"))"),"")</f>
        <v/>
      </c>
      <c r="J96" s="172" t="s">
        <v>985</v>
      </c>
      <c r="K96" s="172" t="s">
        <v>986</v>
      </c>
      <c r="L96" s="172" t="s">
        <v>987</v>
      </c>
      <c r="M96" s="172"/>
      <c r="N96" s="172"/>
      <c r="O96" s="172"/>
      <c r="P96" s="172"/>
      <c r="Q96" s="172"/>
      <c r="R96" s="172"/>
      <c r="S96" s="172"/>
      <c r="T96" s="172"/>
      <c r="U96" s="172"/>
      <c r="V96" s="172"/>
      <c r="W96" s="172"/>
      <c r="X96" s="172"/>
      <c r="Y96" s="172"/>
      <c r="Z96" s="172"/>
    </row>
    <row r="97" hidden="1">
      <c r="A97" s="188" t="s">
        <v>68</v>
      </c>
      <c r="B97" s="189" t="s">
        <v>989</v>
      </c>
      <c r="C97" s="190"/>
      <c r="D97" s="190"/>
      <c r="E97" s="190"/>
      <c r="F97" s="182">
        <v>34.0</v>
      </c>
      <c r="G97" s="172" t="str">
        <f>IFERROR(__xludf.DUMMYFUNCTION("TRIM(REGEXREPLACE(C97, ""[0-9]+[a-f]?\."", """"))"),"")</f>
        <v/>
      </c>
      <c r="H97" s="172" t="str">
        <f>IFERROR(__xludf.DUMMYFUNCTION("TRIM(REGEXREPLACE(D97, ""[0-9]+[a-f]?\."", """"))"),"")</f>
        <v/>
      </c>
      <c r="I97" s="172" t="str">
        <f>IFERROR(__xludf.DUMMYFUNCTION("TRIM(REGEXREPLACE(E97, ""[0-9]+[a-f]?\."", """"))"),"")</f>
        <v/>
      </c>
      <c r="J97" s="172" t="s">
        <v>980</v>
      </c>
      <c r="K97" s="172" t="s">
        <v>981</v>
      </c>
      <c r="L97" s="172" t="s">
        <v>982</v>
      </c>
      <c r="M97" s="172"/>
      <c r="N97" s="172"/>
      <c r="O97" s="172"/>
      <c r="P97" s="172"/>
      <c r="Q97" s="172"/>
      <c r="R97" s="172"/>
      <c r="S97" s="172"/>
      <c r="T97" s="172"/>
      <c r="U97" s="172"/>
      <c r="V97" s="172"/>
      <c r="W97" s="172"/>
      <c r="X97" s="172"/>
      <c r="Y97" s="172"/>
      <c r="Z97" s="172"/>
    </row>
    <row r="98" hidden="1">
      <c r="A98" s="188" t="s">
        <v>68</v>
      </c>
      <c r="B98" s="189" t="s">
        <v>244</v>
      </c>
      <c r="C98" s="190"/>
      <c r="D98" s="190"/>
      <c r="E98" s="190"/>
      <c r="F98" s="182">
        <v>35.0</v>
      </c>
      <c r="G98" s="172" t="str">
        <f>IFERROR(__xludf.DUMMYFUNCTION("TRIM(REGEXREPLACE(C98, ""[0-9]+[a-f]?\."", """"))"),"")</f>
        <v/>
      </c>
      <c r="H98" s="172" t="str">
        <f>IFERROR(__xludf.DUMMYFUNCTION("TRIM(REGEXREPLACE(D98, ""[0-9]+[a-f]?\."", """"))"),"")</f>
        <v/>
      </c>
      <c r="I98" s="172" t="str">
        <f>IFERROR(__xludf.DUMMYFUNCTION("TRIM(REGEXREPLACE(E98, ""[0-9]+[a-f]?\."", """"))"),"")</f>
        <v/>
      </c>
      <c r="J98" s="172" t="s">
        <v>990</v>
      </c>
      <c r="K98" s="172" t="s">
        <v>991</v>
      </c>
      <c r="L98" s="172" t="s">
        <v>992</v>
      </c>
      <c r="M98" s="172"/>
      <c r="N98" s="172"/>
      <c r="O98" s="172"/>
      <c r="P98" s="172"/>
      <c r="Q98" s="172"/>
      <c r="R98" s="172"/>
      <c r="S98" s="172"/>
      <c r="T98" s="172"/>
      <c r="U98" s="172"/>
      <c r="V98" s="172"/>
      <c r="W98" s="172"/>
      <c r="X98" s="172"/>
      <c r="Y98" s="172"/>
      <c r="Z98" s="172"/>
    </row>
    <row r="99" hidden="1">
      <c r="A99" s="188" t="s">
        <v>68</v>
      </c>
      <c r="B99" s="189" t="s">
        <v>247</v>
      </c>
      <c r="C99" s="190"/>
      <c r="D99" s="190"/>
      <c r="E99" s="190"/>
      <c r="F99" s="182">
        <v>36.0</v>
      </c>
      <c r="G99" s="172" t="str">
        <f>IFERROR(__xludf.DUMMYFUNCTION("TRIM(REGEXREPLACE(C99, ""[0-9]+[a-f]?\."", """"))"),"")</f>
        <v/>
      </c>
      <c r="H99" s="172" t="str">
        <f>IFERROR(__xludf.DUMMYFUNCTION("TRIM(REGEXREPLACE(D99, ""[0-9]+[a-f]?\."", """"))"),"")</f>
        <v/>
      </c>
      <c r="I99" s="172" t="str">
        <f>IFERROR(__xludf.DUMMYFUNCTION("TRIM(REGEXREPLACE(E99, ""[0-9]+[a-f]?\."", """"))"),"")</f>
        <v/>
      </c>
      <c r="J99" s="172" t="s">
        <v>994</v>
      </c>
      <c r="K99" s="172" t="s">
        <v>995</v>
      </c>
      <c r="L99" s="172" t="s">
        <v>996</v>
      </c>
      <c r="M99" s="172"/>
      <c r="N99" s="172"/>
      <c r="O99" s="172"/>
      <c r="P99" s="172"/>
      <c r="Q99" s="172"/>
      <c r="R99" s="172"/>
      <c r="S99" s="172"/>
      <c r="T99" s="172"/>
      <c r="U99" s="172"/>
      <c r="V99" s="172"/>
      <c r="W99" s="172"/>
      <c r="X99" s="172"/>
      <c r="Y99" s="172"/>
      <c r="Z99" s="172"/>
    </row>
    <row r="100" hidden="1">
      <c r="A100" s="188" t="s">
        <v>68</v>
      </c>
      <c r="B100" s="189" t="s">
        <v>253</v>
      </c>
      <c r="C100" s="190"/>
      <c r="D100" s="190"/>
      <c r="E100" s="190"/>
      <c r="F100" s="182">
        <v>37.0</v>
      </c>
      <c r="G100" s="172" t="str">
        <f>IFERROR(__xludf.DUMMYFUNCTION("TRIM(REGEXREPLACE(C100, ""[0-9]+[a-f]?\."", """"))"),"")</f>
        <v/>
      </c>
      <c r="H100" s="172" t="str">
        <f>IFERROR(__xludf.DUMMYFUNCTION("TRIM(REGEXREPLACE(D100, ""[0-9]+[a-f]?\."", """"))"),"")</f>
        <v/>
      </c>
      <c r="I100" s="172" t="str">
        <f>IFERROR(__xludf.DUMMYFUNCTION("TRIM(REGEXREPLACE(E100, ""[0-9]+[a-f]?\."", """"))"),"")</f>
        <v/>
      </c>
      <c r="J100" s="172" t="s">
        <v>999</v>
      </c>
      <c r="K100" s="172" t="s">
        <v>1000</v>
      </c>
      <c r="L100" s="172" t="s">
        <v>1001</v>
      </c>
      <c r="M100" s="172"/>
      <c r="N100" s="172"/>
      <c r="O100" s="172"/>
      <c r="P100" s="172"/>
      <c r="Q100" s="172"/>
      <c r="R100" s="172"/>
      <c r="S100" s="172"/>
      <c r="T100" s="172"/>
      <c r="U100" s="172"/>
      <c r="V100" s="172"/>
      <c r="W100" s="172"/>
      <c r="X100" s="172"/>
      <c r="Y100" s="172"/>
      <c r="Z100" s="172"/>
    </row>
    <row r="101" hidden="1">
      <c r="A101" s="188" t="s">
        <v>68</v>
      </c>
      <c r="B101" s="189" t="s">
        <v>1002</v>
      </c>
      <c r="C101" s="190"/>
      <c r="D101" s="190"/>
      <c r="E101" s="190"/>
      <c r="F101" s="182">
        <v>38.0</v>
      </c>
      <c r="G101" s="172" t="str">
        <f>IFERROR(__xludf.DUMMYFUNCTION("TRIM(REGEXREPLACE(C101, ""[0-9]+[a-f]?\."", """"))"),"")</f>
        <v/>
      </c>
      <c r="H101" s="172" t="str">
        <f>IFERROR(__xludf.DUMMYFUNCTION("TRIM(REGEXREPLACE(D101, ""[0-9]+[a-f]?\."", """"))"),"")</f>
        <v/>
      </c>
      <c r="I101" s="172" t="str">
        <f>IFERROR(__xludf.DUMMYFUNCTION("TRIM(REGEXREPLACE(E101, ""[0-9]+[a-f]?\."", """"))"),"")</f>
        <v/>
      </c>
      <c r="J101" s="172" t="s">
        <v>1006</v>
      </c>
      <c r="K101" s="172" t="s">
        <v>1007</v>
      </c>
      <c r="L101" s="172" t="s">
        <v>1008</v>
      </c>
      <c r="M101" s="172"/>
      <c r="N101" s="172"/>
      <c r="O101" s="172"/>
      <c r="P101" s="172"/>
      <c r="Q101" s="172"/>
      <c r="R101" s="172"/>
      <c r="S101" s="172"/>
      <c r="T101" s="172"/>
      <c r="U101" s="172"/>
      <c r="V101" s="172"/>
      <c r="W101" s="172"/>
      <c r="X101" s="172"/>
      <c r="Y101" s="172"/>
      <c r="Z101" s="172"/>
    </row>
    <row r="102" hidden="1">
      <c r="A102" s="172"/>
      <c r="B102" s="174"/>
      <c r="C102" s="174"/>
      <c r="D102" s="174"/>
      <c r="E102" s="174"/>
      <c r="F102" s="182">
        <v>39.0</v>
      </c>
      <c r="G102" s="172" t="str">
        <f>IFERROR(__xludf.DUMMYFUNCTION("TRIM(REGEXREPLACE(C102, ""[0-9]+[a-f]?\."", """"))"),"")</f>
        <v/>
      </c>
      <c r="H102" s="172" t="str">
        <f>IFERROR(__xludf.DUMMYFUNCTION("TRIM(REGEXREPLACE(D102, ""[0-9]+[a-f]?\."", """"))"),"")</f>
        <v/>
      </c>
      <c r="I102" s="172" t="str">
        <f>IFERROR(__xludf.DUMMYFUNCTION("TRIM(REGEXREPLACE(E102, ""[0-9]+[a-f]?\."", """"))"),"")</f>
        <v/>
      </c>
      <c r="J102" s="172" t="s">
        <v>1009</v>
      </c>
      <c r="K102" s="172" t="s">
        <v>1010</v>
      </c>
      <c r="L102" s="172" t="s">
        <v>1011</v>
      </c>
      <c r="M102" s="172"/>
      <c r="N102" s="172"/>
      <c r="O102" s="172"/>
      <c r="P102" s="172"/>
      <c r="Q102" s="172"/>
      <c r="R102" s="172"/>
      <c r="S102" s="172"/>
      <c r="T102" s="172"/>
      <c r="U102" s="172"/>
      <c r="V102" s="172"/>
      <c r="W102" s="172"/>
      <c r="X102" s="172"/>
      <c r="Y102" s="172"/>
      <c r="Z102" s="172"/>
    </row>
    <row r="103" hidden="1">
      <c r="A103" s="172"/>
      <c r="B103" s="174"/>
      <c r="C103" s="174"/>
      <c r="D103" s="174"/>
      <c r="E103" s="174"/>
      <c r="F103" s="182">
        <v>40.0</v>
      </c>
      <c r="G103" s="172" t="str">
        <f>IFERROR(__xludf.DUMMYFUNCTION("TRIM(REGEXREPLACE(C103, ""[0-9]+[a-f]?\."", """"))"),"")</f>
        <v/>
      </c>
      <c r="H103" s="172" t="str">
        <f>IFERROR(__xludf.DUMMYFUNCTION("TRIM(REGEXREPLACE(D103, ""[0-9]+[a-f]?\."", """"))"),"")</f>
        <v/>
      </c>
      <c r="I103" s="172" t="str">
        <f>IFERROR(__xludf.DUMMYFUNCTION("TRIM(REGEXREPLACE(E103, ""[0-9]+[a-f]?\."", """"))"),"")</f>
        <v/>
      </c>
      <c r="J103" s="172" t="s">
        <v>1016</v>
      </c>
      <c r="K103" s="172" t="s">
        <v>1017</v>
      </c>
      <c r="L103" s="172" t="s">
        <v>1019</v>
      </c>
      <c r="M103" s="172"/>
      <c r="N103" s="172"/>
      <c r="O103" s="172"/>
      <c r="P103" s="172"/>
      <c r="Q103" s="172"/>
      <c r="R103" s="172"/>
      <c r="S103" s="172"/>
      <c r="T103" s="172"/>
      <c r="U103" s="172"/>
      <c r="V103" s="172"/>
      <c r="W103" s="172"/>
      <c r="X103" s="172"/>
      <c r="Y103" s="172"/>
      <c r="Z103" s="172"/>
    </row>
    <row r="104" hidden="1">
      <c r="A104" s="188" t="s">
        <v>68</v>
      </c>
      <c r="B104" s="189" t="s">
        <v>1020</v>
      </c>
      <c r="C104" s="190"/>
      <c r="D104" s="190"/>
      <c r="E104" s="190"/>
      <c r="F104" s="182">
        <v>39.0</v>
      </c>
      <c r="G104" s="172" t="str">
        <f>IFERROR(__xludf.DUMMYFUNCTION("TRIM(REGEXREPLACE(C104, ""[0-9]+[a-f]?\."", """"))"),"")</f>
        <v/>
      </c>
      <c r="H104" s="172" t="str">
        <f>IFERROR(__xludf.DUMMYFUNCTION("TRIM(REGEXREPLACE(D104, ""[0-9]+[a-f]?\."", """"))"),"")</f>
        <v/>
      </c>
      <c r="I104" s="172" t="str">
        <f>IFERROR(__xludf.DUMMYFUNCTION("TRIM(REGEXREPLACE(E104, ""[0-9]+[a-f]?\."", """"))"),"")</f>
        <v/>
      </c>
      <c r="J104" s="172" t="s">
        <v>1009</v>
      </c>
      <c r="K104" s="172" t="s">
        <v>1010</v>
      </c>
      <c r="L104" s="172" t="s">
        <v>1011</v>
      </c>
      <c r="M104" s="172"/>
      <c r="N104" s="172"/>
      <c r="O104" s="172"/>
      <c r="P104" s="172"/>
      <c r="Q104" s="172"/>
      <c r="R104" s="172"/>
      <c r="S104" s="172"/>
      <c r="T104" s="172"/>
      <c r="U104" s="172"/>
      <c r="V104" s="172"/>
      <c r="W104" s="172"/>
      <c r="X104" s="172"/>
      <c r="Y104" s="172"/>
      <c r="Z104" s="172"/>
    </row>
    <row r="105" hidden="1">
      <c r="A105" s="188" t="s">
        <v>68</v>
      </c>
      <c r="B105" s="189" t="s">
        <v>1023</v>
      </c>
      <c r="C105" s="190"/>
      <c r="D105" s="190"/>
      <c r="E105" s="190"/>
      <c r="F105" s="182">
        <v>40.0</v>
      </c>
      <c r="G105" s="172" t="str">
        <f>IFERROR(__xludf.DUMMYFUNCTION("TRIM(REGEXREPLACE(C105, ""[0-9]+[a-f]?\."", """"))"),"")</f>
        <v/>
      </c>
      <c r="H105" s="172" t="str">
        <f>IFERROR(__xludf.DUMMYFUNCTION("TRIM(REGEXREPLACE(D105, ""[0-9]+[a-f]?\."", """"))"),"")</f>
        <v/>
      </c>
      <c r="I105" s="172" t="str">
        <f>IFERROR(__xludf.DUMMYFUNCTION("TRIM(REGEXREPLACE(E105, ""[0-9]+[a-f]?\."", """"))"),"")</f>
        <v/>
      </c>
      <c r="J105" s="172" t="s">
        <v>1016</v>
      </c>
      <c r="K105" s="172" t="s">
        <v>1017</v>
      </c>
      <c r="L105" s="172" t="s">
        <v>1019</v>
      </c>
      <c r="M105" s="172"/>
      <c r="N105" s="172"/>
      <c r="O105" s="172"/>
      <c r="P105" s="172"/>
      <c r="Q105" s="172"/>
      <c r="R105" s="172"/>
      <c r="S105" s="172"/>
      <c r="T105" s="172"/>
      <c r="U105" s="172"/>
      <c r="V105" s="172"/>
      <c r="W105" s="172"/>
      <c r="X105" s="172"/>
      <c r="Y105" s="172"/>
      <c r="Z105" s="172"/>
    </row>
    <row r="106">
      <c r="A106" s="215" t="s">
        <v>255</v>
      </c>
      <c r="B106" s="216" t="s">
        <v>250</v>
      </c>
      <c r="C106" s="216" t="s">
        <v>256</v>
      </c>
      <c r="D106" s="216" t="s">
        <v>257</v>
      </c>
      <c r="E106" s="216" t="s">
        <v>258</v>
      </c>
      <c r="F106" s="182">
        <v>8.0</v>
      </c>
      <c r="G106" s="172" t="str">
        <f>IFERROR(__xludf.DUMMYFUNCTION("TRIM(REGEXREPLACE(C106, ""[0-9]+[a-f]?\."", """"))"),"Select the Household ID number:")</f>
        <v>Select the Household ID number:</v>
      </c>
      <c r="H106" s="172" t="str">
        <f>IFERROR(__xludf.DUMMYFUNCTION("TRIM(REGEXREPLACE(D106, ""[0-9]+[a-f]?\."", """"))"),"Sélectionnez le numéro d'identification du ménage :")</f>
        <v>Sélectionnez le numéro d'identification du ménage :</v>
      </c>
      <c r="I106" s="172" t="str">
        <f>IFERROR(__xludf.DUMMYFUNCTION("TRIM(REGEXREPLACE(E106, ""[0-9]+[a-f]?\."", """"))"),"Zaɓi lambar ID na Gida:")</f>
        <v>Zaɓi lambar ID na Gida:</v>
      </c>
      <c r="J106" s="172" t="str">
        <f t="shared" ref="J106:L106" si="8">$F106 &amp; ". " &amp;G106</f>
        <v>8. Select the Household ID number:</v>
      </c>
      <c r="K106" s="172" t="str">
        <f t="shared" si="8"/>
        <v>8. Sélectionnez le numéro d'identification du ménage :</v>
      </c>
      <c r="L106" s="172" t="str">
        <f t="shared" si="8"/>
        <v>8. Zaɓi lambar ID na Gida:</v>
      </c>
      <c r="M106" s="172"/>
      <c r="N106" s="172"/>
      <c r="O106" s="172"/>
      <c r="P106" s="172"/>
      <c r="Q106" s="172"/>
      <c r="R106" s="172"/>
      <c r="S106" s="172"/>
      <c r="T106" s="172"/>
      <c r="U106" s="172"/>
      <c r="V106" s="172"/>
      <c r="W106" s="172"/>
      <c r="X106" s="172"/>
      <c r="Y106" s="172"/>
      <c r="Z106" s="172"/>
    </row>
    <row r="107" hidden="1">
      <c r="A107" s="188" t="s">
        <v>68</v>
      </c>
      <c r="B107" s="189" t="s">
        <v>252</v>
      </c>
      <c r="C107" s="190"/>
      <c r="D107" s="190"/>
      <c r="E107" s="190"/>
      <c r="F107" s="182">
        <v>42.0</v>
      </c>
      <c r="G107" s="172" t="str">
        <f>IFERROR(__xludf.DUMMYFUNCTION("TRIM(REGEXREPLACE(C107, ""[0-9]+[a-f]?\."", """"))"),"")</f>
        <v/>
      </c>
      <c r="H107" s="172" t="str">
        <f>IFERROR(__xludf.DUMMYFUNCTION("TRIM(REGEXREPLACE(D107, ""[0-9]+[a-f]?\."", """"))"),"")</f>
        <v/>
      </c>
      <c r="I107" s="172" t="str">
        <f>IFERROR(__xludf.DUMMYFUNCTION("TRIM(REGEXREPLACE(E107, ""[0-9]+[a-f]?\."", """"))"),"")</f>
        <v/>
      </c>
      <c r="J107" s="172" t="s">
        <v>1030</v>
      </c>
      <c r="K107" s="172" t="s">
        <v>1031</v>
      </c>
      <c r="L107" s="172" t="s">
        <v>1032</v>
      </c>
      <c r="M107" s="172"/>
      <c r="N107" s="172"/>
      <c r="O107" s="172"/>
      <c r="P107" s="172"/>
      <c r="Q107" s="172"/>
      <c r="R107" s="172"/>
      <c r="S107" s="172"/>
      <c r="T107" s="172"/>
      <c r="U107" s="172"/>
      <c r="V107" s="172"/>
      <c r="W107" s="172"/>
      <c r="X107" s="172"/>
      <c r="Y107" s="172"/>
      <c r="Z107" s="172"/>
    </row>
    <row r="108" hidden="1">
      <c r="A108" s="188" t="s">
        <v>68</v>
      </c>
      <c r="B108" s="189" t="s">
        <v>270</v>
      </c>
      <c r="C108" s="190"/>
      <c r="D108" s="190"/>
      <c r="E108" s="190"/>
      <c r="F108" s="182">
        <v>43.0</v>
      </c>
      <c r="G108" s="172" t="str">
        <f>IFERROR(__xludf.DUMMYFUNCTION("TRIM(REGEXREPLACE(C108, ""[0-9]+[a-f]?\."", """"))"),"")</f>
        <v/>
      </c>
      <c r="H108" s="172" t="str">
        <f>IFERROR(__xludf.DUMMYFUNCTION("TRIM(REGEXREPLACE(D108, ""[0-9]+[a-f]?\."", """"))"),"")</f>
        <v/>
      </c>
      <c r="I108" s="172" t="str">
        <f>IFERROR(__xludf.DUMMYFUNCTION("TRIM(REGEXREPLACE(E108, ""[0-9]+[a-f]?\."", """"))"),"")</f>
        <v/>
      </c>
      <c r="J108" s="172" t="s">
        <v>1036</v>
      </c>
      <c r="K108" s="172" t="s">
        <v>1037</v>
      </c>
      <c r="L108" s="172" t="s">
        <v>1038</v>
      </c>
      <c r="M108" s="172"/>
      <c r="N108" s="172"/>
      <c r="O108" s="172"/>
      <c r="P108" s="172"/>
      <c r="Q108" s="172"/>
      <c r="R108" s="172"/>
      <c r="S108" s="172"/>
      <c r="T108" s="172"/>
      <c r="U108" s="172"/>
      <c r="V108" s="172"/>
      <c r="W108" s="172"/>
      <c r="X108" s="172"/>
      <c r="Y108" s="172"/>
      <c r="Z108" s="172"/>
    </row>
    <row r="109" hidden="1">
      <c r="A109" s="188" t="s">
        <v>68</v>
      </c>
      <c r="B109" s="189" t="s">
        <v>275</v>
      </c>
      <c r="C109" s="190"/>
      <c r="D109" s="190"/>
      <c r="E109" s="190"/>
      <c r="F109" s="182">
        <v>44.0</v>
      </c>
      <c r="G109" s="172" t="str">
        <f>IFERROR(__xludf.DUMMYFUNCTION("TRIM(REGEXREPLACE(C109, ""[0-9]+[a-f]?\."", """"))"),"")</f>
        <v/>
      </c>
      <c r="H109" s="172" t="str">
        <f>IFERROR(__xludf.DUMMYFUNCTION("TRIM(REGEXREPLACE(D109, ""[0-9]+[a-f]?\."", """"))"),"")</f>
        <v/>
      </c>
      <c r="I109" s="172" t="str">
        <f>IFERROR(__xludf.DUMMYFUNCTION("TRIM(REGEXREPLACE(E109, ""[0-9]+[a-f]?\."", """"))"),"")</f>
        <v/>
      </c>
      <c r="J109" s="172" t="s">
        <v>1039</v>
      </c>
      <c r="K109" s="172" t="s">
        <v>1040</v>
      </c>
      <c r="L109" s="172" t="s">
        <v>1041</v>
      </c>
      <c r="M109" s="172"/>
      <c r="N109" s="172"/>
      <c r="O109" s="172"/>
      <c r="P109" s="172"/>
      <c r="Q109" s="172"/>
      <c r="R109" s="172"/>
      <c r="S109" s="172"/>
      <c r="T109" s="172"/>
      <c r="U109" s="172"/>
      <c r="V109" s="172"/>
      <c r="W109" s="172"/>
      <c r="X109" s="172"/>
      <c r="Y109" s="172"/>
      <c r="Z109" s="172"/>
    </row>
    <row r="110" hidden="1">
      <c r="A110" s="188" t="s">
        <v>68</v>
      </c>
      <c r="B110" s="189" t="s">
        <v>277</v>
      </c>
      <c r="C110" s="190"/>
      <c r="D110" s="190"/>
      <c r="E110" s="190"/>
      <c r="F110" s="182">
        <v>45.0</v>
      </c>
      <c r="G110" s="172" t="str">
        <f>IFERROR(__xludf.DUMMYFUNCTION("TRIM(REGEXREPLACE(C110, ""[0-9]+[a-f]?\."", """"))"),"")</f>
        <v/>
      </c>
      <c r="H110" s="172" t="str">
        <f>IFERROR(__xludf.DUMMYFUNCTION("TRIM(REGEXREPLACE(D110, ""[0-9]+[a-f]?\."", """"))"),"")</f>
        <v/>
      </c>
      <c r="I110" s="172" t="str">
        <f>IFERROR(__xludf.DUMMYFUNCTION("TRIM(REGEXREPLACE(E110, ""[0-9]+[a-f]?\."", """"))"),"")</f>
        <v/>
      </c>
      <c r="J110" s="172" t="s">
        <v>1044</v>
      </c>
      <c r="K110" s="172" t="s">
        <v>1046</v>
      </c>
      <c r="L110" s="172" t="s">
        <v>1047</v>
      </c>
      <c r="M110" s="172"/>
      <c r="N110" s="172"/>
      <c r="O110" s="172"/>
      <c r="P110" s="172"/>
      <c r="Q110" s="172"/>
      <c r="R110" s="172"/>
      <c r="S110" s="172"/>
      <c r="T110" s="172"/>
      <c r="U110" s="172"/>
      <c r="V110" s="172"/>
      <c r="W110" s="172"/>
      <c r="X110" s="172"/>
      <c r="Y110" s="172"/>
      <c r="Z110" s="172"/>
    </row>
    <row r="111" hidden="1">
      <c r="A111" s="188" t="s">
        <v>68</v>
      </c>
      <c r="B111" s="189" t="s">
        <v>284</v>
      </c>
      <c r="C111" s="190"/>
      <c r="D111" s="190"/>
      <c r="E111" s="190"/>
      <c r="F111" s="182">
        <v>46.0</v>
      </c>
      <c r="G111" s="172" t="str">
        <f>IFERROR(__xludf.DUMMYFUNCTION("TRIM(REGEXREPLACE(C111, ""[0-9]+[a-f]?\."", """"))"),"")</f>
        <v/>
      </c>
      <c r="H111" s="172" t="str">
        <f>IFERROR(__xludf.DUMMYFUNCTION("TRIM(REGEXREPLACE(D111, ""[0-9]+[a-f]?\."", """"))"),"")</f>
        <v/>
      </c>
      <c r="I111" s="172" t="str">
        <f>IFERROR(__xludf.DUMMYFUNCTION("TRIM(REGEXREPLACE(E111, ""[0-9]+[a-f]?\."", """"))"),"")</f>
        <v/>
      </c>
      <c r="J111" s="172" t="s">
        <v>1048</v>
      </c>
      <c r="K111" s="172" t="s">
        <v>1049</v>
      </c>
      <c r="L111" s="172" t="s">
        <v>1050</v>
      </c>
      <c r="M111" s="172"/>
      <c r="N111" s="172"/>
      <c r="O111" s="172"/>
      <c r="P111" s="172"/>
      <c r="Q111" s="172"/>
      <c r="R111" s="172"/>
      <c r="S111" s="172"/>
      <c r="T111" s="172"/>
      <c r="U111" s="172"/>
      <c r="V111" s="172"/>
      <c r="W111" s="172"/>
      <c r="X111" s="172"/>
      <c r="Y111" s="172"/>
      <c r="Z111" s="172"/>
    </row>
    <row r="112" hidden="1">
      <c r="A112" s="188" t="s">
        <v>68</v>
      </c>
      <c r="B112" s="189" t="s">
        <v>287</v>
      </c>
      <c r="C112" s="190"/>
      <c r="D112" s="190"/>
      <c r="E112" s="190"/>
      <c r="F112" s="182">
        <v>47.0</v>
      </c>
      <c r="G112" s="172" t="str">
        <f>IFERROR(__xludf.DUMMYFUNCTION("TRIM(REGEXREPLACE(C112, ""[0-9]+[a-f]?\."", """"))"),"")</f>
        <v/>
      </c>
      <c r="H112" s="172" t="str">
        <f>IFERROR(__xludf.DUMMYFUNCTION("TRIM(REGEXREPLACE(D112, ""[0-9]+[a-f]?\."", """"))"),"")</f>
        <v/>
      </c>
      <c r="I112" s="172" t="str">
        <f>IFERROR(__xludf.DUMMYFUNCTION("TRIM(REGEXREPLACE(E112, ""[0-9]+[a-f]?\."", """"))"),"")</f>
        <v/>
      </c>
      <c r="J112" s="172" t="s">
        <v>1051</v>
      </c>
      <c r="K112" s="172" t="s">
        <v>1052</v>
      </c>
      <c r="L112" s="172" t="s">
        <v>1053</v>
      </c>
      <c r="M112" s="172"/>
      <c r="N112" s="172"/>
      <c r="O112" s="172"/>
      <c r="P112" s="172"/>
      <c r="Q112" s="172"/>
      <c r="R112" s="172"/>
      <c r="S112" s="172"/>
      <c r="T112" s="172"/>
      <c r="U112" s="172"/>
      <c r="V112" s="172"/>
      <c r="W112" s="172"/>
      <c r="X112" s="172"/>
      <c r="Y112" s="172"/>
      <c r="Z112" s="172"/>
    </row>
    <row r="113" hidden="1">
      <c r="A113" s="172"/>
      <c r="B113" s="174"/>
      <c r="C113" s="174"/>
      <c r="D113" s="174"/>
      <c r="E113" s="174"/>
      <c r="F113" s="182">
        <v>48.0</v>
      </c>
      <c r="G113" s="172" t="str">
        <f>IFERROR(__xludf.DUMMYFUNCTION("TRIM(REGEXREPLACE(C113, ""[0-9]+[a-f]?\."", """"))"),"")</f>
        <v/>
      </c>
      <c r="H113" s="172" t="str">
        <f>IFERROR(__xludf.DUMMYFUNCTION("TRIM(REGEXREPLACE(D113, ""[0-9]+[a-f]?\."", """"))"),"")</f>
        <v/>
      </c>
      <c r="I113" s="172" t="str">
        <f>IFERROR(__xludf.DUMMYFUNCTION("TRIM(REGEXREPLACE(E113, ""[0-9]+[a-f]?\."", """"))"),"")</f>
        <v/>
      </c>
      <c r="J113" s="172" t="s">
        <v>1054</v>
      </c>
      <c r="K113" s="172" t="s">
        <v>1055</v>
      </c>
      <c r="L113" s="172" t="s">
        <v>1056</v>
      </c>
      <c r="M113" s="172"/>
      <c r="N113" s="172"/>
      <c r="O113" s="172"/>
      <c r="P113" s="172"/>
      <c r="Q113" s="172"/>
      <c r="R113" s="172"/>
      <c r="S113" s="172"/>
      <c r="T113" s="172"/>
      <c r="U113" s="172"/>
      <c r="V113" s="172"/>
      <c r="W113" s="172"/>
      <c r="X113" s="172"/>
      <c r="Y113" s="172"/>
      <c r="Z113" s="172"/>
    </row>
    <row r="114" hidden="1">
      <c r="A114" s="172"/>
      <c r="B114" s="174"/>
      <c r="C114" s="174"/>
      <c r="D114" s="174"/>
      <c r="E114" s="174"/>
      <c r="F114" s="182">
        <v>49.0</v>
      </c>
      <c r="G114" s="172" t="str">
        <f>IFERROR(__xludf.DUMMYFUNCTION("TRIM(REGEXREPLACE(C114, ""[0-9]+[a-f]?\."", """"))"),"")</f>
        <v/>
      </c>
      <c r="H114" s="172" t="str">
        <f>IFERROR(__xludf.DUMMYFUNCTION("TRIM(REGEXREPLACE(D114, ""[0-9]+[a-f]?\."", """"))"),"")</f>
        <v/>
      </c>
      <c r="I114" s="172" t="str">
        <f>IFERROR(__xludf.DUMMYFUNCTION("TRIM(REGEXREPLACE(E114, ""[0-9]+[a-f]?\."", """"))"),"")</f>
        <v/>
      </c>
      <c r="J114" s="172" t="s">
        <v>1061</v>
      </c>
      <c r="K114" s="172" t="s">
        <v>1062</v>
      </c>
      <c r="L114" s="172" t="s">
        <v>1063</v>
      </c>
      <c r="M114" s="172"/>
      <c r="N114" s="172"/>
      <c r="O114" s="172"/>
      <c r="P114" s="172"/>
      <c r="Q114" s="172"/>
      <c r="R114" s="172"/>
      <c r="S114" s="172"/>
      <c r="T114" s="172"/>
      <c r="U114" s="172"/>
      <c r="V114" s="172"/>
      <c r="W114" s="172"/>
      <c r="X114" s="172"/>
      <c r="Y114" s="172"/>
      <c r="Z114" s="172"/>
    </row>
    <row r="115" hidden="1">
      <c r="A115" s="188" t="s">
        <v>68</v>
      </c>
      <c r="B115" s="189" t="s">
        <v>294</v>
      </c>
      <c r="C115" s="190"/>
      <c r="D115" s="190"/>
      <c r="E115" s="190"/>
      <c r="F115" s="182">
        <v>48.0</v>
      </c>
      <c r="G115" s="172" t="str">
        <f>IFERROR(__xludf.DUMMYFUNCTION("TRIM(REGEXREPLACE(C115, ""[0-9]+[a-f]?\."", """"))"),"")</f>
        <v/>
      </c>
      <c r="H115" s="172" t="str">
        <f>IFERROR(__xludf.DUMMYFUNCTION("TRIM(REGEXREPLACE(D115, ""[0-9]+[a-f]?\."", """"))"),"")</f>
        <v/>
      </c>
      <c r="I115" s="172" t="str">
        <f>IFERROR(__xludf.DUMMYFUNCTION("TRIM(REGEXREPLACE(E115, ""[0-9]+[a-f]?\."", """"))"),"")</f>
        <v/>
      </c>
      <c r="J115" s="172" t="s">
        <v>1054</v>
      </c>
      <c r="K115" s="172" t="s">
        <v>1055</v>
      </c>
      <c r="L115" s="172" t="s">
        <v>1056</v>
      </c>
      <c r="M115" s="172"/>
      <c r="N115" s="172"/>
      <c r="O115" s="172"/>
      <c r="P115" s="172"/>
      <c r="Q115" s="172"/>
      <c r="R115" s="172"/>
      <c r="S115" s="172"/>
      <c r="T115" s="172"/>
      <c r="U115" s="172"/>
      <c r="V115" s="172"/>
      <c r="W115" s="172"/>
      <c r="X115" s="172"/>
      <c r="Y115" s="172"/>
      <c r="Z115" s="172"/>
    </row>
    <row r="116" hidden="1">
      <c r="A116" s="188" t="s">
        <v>68</v>
      </c>
      <c r="B116" s="189" t="s">
        <v>297</v>
      </c>
      <c r="C116" s="190"/>
      <c r="D116" s="190"/>
      <c r="E116" s="190"/>
      <c r="F116" s="182">
        <v>49.0</v>
      </c>
      <c r="G116" s="172" t="str">
        <f>IFERROR(__xludf.DUMMYFUNCTION("TRIM(REGEXREPLACE(C116, ""[0-9]+[a-f]?\."", """"))"),"")</f>
        <v/>
      </c>
      <c r="H116" s="172" t="str">
        <f>IFERROR(__xludf.DUMMYFUNCTION("TRIM(REGEXREPLACE(D116, ""[0-9]+[a-f]?\."", """"))"),"")</f>
        <v/>
      </c>
      <c r="I116" s="172" t="str">
        <f>IFERROR(__xludf.DUMMYFUNCTION("TRIM(REGEXREPLACE(E116, ""[0-9]+[a-f]?\."", """"))"),"")</f>
        <v/>
      </c>
      <c r="J116" s="172" t="s">
        <v>1061</v>
      </c>
      <c r="K116" s="172" t="s">
        <v>1062</v>
      </c>
      <c r="L116" s="172" t="s">
        <v>1063</v>
      </c>
      <c r="M116" s="172"/>
      <c r="N116" s="172"/>
      <c r="O116" s="172"/>
      <c r="P116" s="172"/>
      <c r="Q116" s="172"/>
      <c r="R116" s="172"/>
      <c r="S116" s="172"/>
      <c r="T116" s="172"/>
      <c r="U116" s="172"/>
      <c r="V116" s="172"/>
      <c r="W116" s="172"/>
      <c r="X116" s="172"/>
      <c r="Y116" s="172"/>
      <c r="Z116" s="172"/>
    </row>
    <row r="117" hidden="1">
      <c r="A117" s="172"/>
      <c r="B117" s="174"/>
      <c r="C117" s="174"/>
      <c r="D117" s="174"/>
      <c r="E117" s="174"/>
      <c r="F117" s="175"/>
      <c r="G117" s="172" t="str">
        <f>IFERROR(__xludf.DUMMYFUNCTION("TRIM(REGEXREPLACE(C117, ""[0-9]+[a-f]?\."", """"))"),"")</f>
        <v/>
      </c>
      <c r="H117" s="172" t="str">
        <f>IFERROR(__xludf.DUMMYFUNCTION("TRIM(REGEXREPLACE(D117, ""[0-9]+[a-f]?\."", """"))"),"")</f>
        <v/>
      </c>
      <c r="I117" s="172" t="str">
        <f>IFERROR(__xludf.DUMMYFUNCTION("TRIM(REGEXREPLACE(E117, ""[0-9]+[a-f]?\."", """"))"),"")</f>
        <v/>
      </c>
      <c r="J117" s="172" t="s">
        <v>1071</v>
      </c>
      <c r="K117" s="172" t="s">
        <v>1072</v>
      </c>
      <c r="L117" s="176" t="s">
        <v>1073</v>
      </c>
      <c r="M117" s="172"/>
      <c r="N117" s="172"/>
      <c r="O117" s="172"/>
      <c r="P117" s="172"/>
      <c r="Q117" s="172"/>
      <c r="R117" s="172"/>
      <c r="S117" s="172"/>
      <c r="T117" s="172"/>
      <c r="U117" s="172"/>
      <c r="V117" s="172"/>
      <c r="W117" s="172"/>
      <c r="X117" s="172"/>
      <c r="Y117" s="172"/>
      <c r="Z117" s="172"/>
    </row>
    <row r="118" hidden="1">
      <c r="A118" s="172"/>
      <c r="B118" s="174"/>
      <c r="C118" s="174"/>
      <c r="D118" s="174"/>
      <c r="E118" s="174"/>
      <c r="F118" s="182">
        <v>48.0</v>
      </c>
      <c r="G118" s="172" t="str">
        <f>IFERROR(__xludf.DUMMYFUNCTION("TRIM(REGEXREPLACE(C118, ""[0-9]+[a-f]?\."", """"))"),"")</f>
        <v/>
      </c>
      <c r="H118" s="172" t="str">
        <f>IFERROR(__xludf.DUMMYFUNCTION("TRIM(REGEXREPLACE(D118, ""[0-9]+[a-f]?\."", """"))"),"")</f>
        <v/>
      </c>
      <c r="I118" s="172" t="str">
        <f>IFERROR(__xludf.DUMMYFUNCTION("TRIM(REGEXREPLACE(E118, ""[0-9]+[a-f]?\."", """"))"),"")</f>
        <v/>
      </c>
      <c r="J118" s="172" t="s">
        <v>1076</v>
      </c>
      <c r="K118" s="172" t="s">
        <v>1077</v>
      </c>
      <c r="L118" s="172" t="s">
        <v>1079</v>
      </c>
      <c r="M118" s="172"/>
      <c r="N118" s="172"/>
      <c r="O118" s="172"/>
      <c r="P118" s="172"/>
      <c r="Q118" s="172"/>
      <c r="R118" s="172"/>
      <c r="S118" s="172"/>
      <c r="T118" s="172"/>
      <c r="U118" s="172"/>
      <c r="V118" s="172"/>
      <c r="W118" s="172"/>
      <c r="X118" s="172"/>
      <c r="Y118" s="172"/>
      <c r="Z118" s="172"/>
    </row>
    <row r="119" hidden="1">
      <c r="A119" s="172"/>
      <c r="B119" s="174"/>
      <c r="C119" s="174"/>
      <c r="D119" s="174"/>
      <c r="E119" s="174"/>
      <c r="F119" s="182">
        <v>50.0</v>
      </c>
      <c r="G119" s="172" t="str">
        <f>IFERROR(__xludf.DUMMYFUNCTION("TRIM(REGEXREPLACE(C119, ""[0-9]+[a-f]?\."", """"))"),"")</f>
        <v/>
      </c>
      <c r="H119" s="172" t="str">
        <f>IFERROR(__xludf.DUMMYFUNCTION("TRIM(REGEXREPLACE(D119, ""[0-9]+[a-f]?\."", """"))"),"")</f>
        <v/>
      </c>
      <c r="I119" s="172" t="str">
        <f>IFERROR(__xludf.DUMMYFUNCTION("TRIM(REGEXREPLACE(E119, ""[0-9]+[a-f]?\."", """"))"),"")</f>
        <v/>
      </c>
      <c r="J119" s="172" t="s">
        <v>1081</v>
      </c>
      <c r="K119" s="172" t="s">
        <v>1082</v>
      </c>
      <c r="L119" s="172" t="s">
        <v>1083</v>
      </c>
      <c r="M119" s="172"/>
      <c r="N119" s="172"/>
      <c r="O119" s="172"/>
      <c r="P119" s="172"/>
      <c r="Q119" s="172"/>
      <c r="R119" s="172"/>
      <c r="S119" s="172"/>
      <c r="T119" s="172"/>
      <c r="U119" s="172"/>
      <c r="V119" s="172"/>
      <c r="W119" s="172"/>
      <c r="X119" s="172"/>
      <c r="Y119" s="172"/>
      <c r="Z119" s="172"/>
    </row>
    <row r="120" hidden="1">
      <c r="A120" s="172"/>
      <c r="B120" s="174"/>
      <c r="C120" s="174"/>
      <c r="D120" s="174"/>
      <c r="E120" s="174"/>
      <c r="F120" s="175"/>
      <c r="G120" s="172" t="str">
        <f>IFERROR(__xludf.DUMMYFUNCTION("TRIM(REGEXREPLACE(C120, ""[0-9]+[a-f]?\."", """"))"),"")</f>
        <v/>
      </c>
      <c r="H120" s="172" t="str">
        <f>IFERROR(__xludf.DUMMYFUNCTION("TRIM(REGEXREPLACE(D120, ""[0-9]+[a-f]?\."", """"))"),"")</f>
        <v/>
      </c>
      <c r="I120" s="172" t="str">
        <f>IFERROR(__xludf.DUMMYFUNCTION("TRIM(REGEXREPLACE(E120, ""[0-9]+[a-f]?\."", """"))"),"")</f>
        <v/>
      </c>
      <c r="J120" s="172" t="s">
        <v>1084</v>
      </c>
      <c r="K120" s="172" t="s">
        <v>1085</v>
      </c>
      <c r="L120" s="176" t="s">
        <v>1086</v>
      </c>
      <c r="M120" s="172"/>
      <c r="N120" s="172"/>
      <c r="O120" s="172"/>
      <c r="P120" s="172"/>
      <c r="Q120" s="172"/>
      <c r="R120" s="172"/>
      <c r="S120" s="172"/>
      <c r="T120" s="172"/>
      <c r="U120" s="172"/>
      <c r="V120" s="172"/>
      <c r="W120" s="172"/>
      <c r="X120" s="172"/>
      <c r="Y120" s="172"/>
      <c r="Z120" s="172"/>
    </row>
    <row r="121" hidden="1">
      <c r="A121" s="172"/>
      <c r="B121" s="174"/>
      <c r="C121" s="174"/>
      <c r="D121" s="174"/>
      <c r="E121" s="174"/>
      <c r="F121" s="182">
        <v>51.0</v>
      </c>
      <c r="G121" s="172" t="str">
        <f>IFERROR(__xludf.DUMMYFUNCTION("TRIM(REGEXREPLACE(C121, ""[0-9]+[a-f]?\."", """"))"),"")</f>
        <v/>
      </c>
      <c r="H121" s="172" t="str">
        <f>IFERROR(__xludf.DUMMYFUNCTION("TRIM(REGEXREPLACE(D121, ""[0-9]+[a-f]?\."", """"))"),"")</f>
        <v/>
      </c>
      <c r="I121" s="172" t="str">
        <f>IFERROR(__xludf.DUMMYFUNCTION("TRIM(REGEXREPLACE(E121, ""[0-9]+[a-f]?\."", """"))"),"")</f>
        <v/>
      </c>
      <c r="J121" s="172" t="s">
        <v>1087</v>
      </c>
      <c r="K121" s="172" t="s">
        <v>1088</v>
      </c>
      <c r="L121" s="172" t="s">
        <v>1089</v>
      </c>
      <c r="M121" s="172"/>
      <c r="N121" s="172"/>
      <c r="O121" s="172"/>
      <c r="P121" s="172"/>
      <c r="Q121" s="172"/>
      <c r="R121" s="172"/>
      <c r="S121" s="172"/>
      <c r="T121" s="172"/>
      <c r="U121" s="172"/>
      <c r="V121" s="172"/>
      <c r="W121" s="172"/>
      <c r="X121" s="172"/>
      <c r="Y121" s="172"/>
      <c r="Z121" s="172"/>
    </row>
    <row r="122" hidden="1">
      <c r="A122" s="172"/>
      <c r="B122" s="174"/>
      <c r="C122" s="174"/>
      <c r="D122" s="174"/>
      <c r="E122" s="174"/>
      <c r="F122" s="182">
        <v>52.0</v>
      </c>
      <c r="G122" s="172" t="str">
        <f>IFERROR(__xludf.DUMMYFUNCTION("TRIM(REGEXREPLACE(C122, ""[0-9]+[a-f]?\."", """"))"),"")</f>
        <v/>
      </c>
      <c r="H122" s="172" t="str">
        <f>IFERROR(__xludf.DUMMYFUNCTION("TRIM(REGEXREPLACE(D122, ""[0-9]+[a-f]?\."", """"))"),"")</f>
        <v/>
      </c>
      <c r="I122" s="172" t="str">
        <f>IFERROR(__xludf.DUMMYFUNCTION("TRIM(REGEXREPLACE(E122, ""[0-9]+[a-f]?\."", """"))"),"")</f>
        <v/>
      </c>
      <c r="J122" s="172" t="s">
        <v>1090</v>
      </c>
      <c r="K122" s="172" t="s">
        <v>1091</v>
      </c>
      <c r="L122" s="172" t="s">
        <v>1091</v>
      </c>
      <c r="M122" s="172"/>
      <c r="N122" s="172"/>
      <c r="O122" s="172"/>
      <c r="P122" s="172"/>
      <c r="Q122" s="172"/>
      <c r="R122" s="172"/>
      <c r="S122" s="172"/>
      <c r="T122" s="172"/>
      <c r="U122" s="172"/>
      <c r="V122" s="172"/>
      <c r="W122" s="172"/>
      <c r="X122" s="172"/>
      <c r="Y122" s="172"/>
      <c r="Z122" s="172"/>
    </row>
    <row r="123" hidden="1">
      <c r="A123" s="172"/>
      <c r="B123" s="174"/>
      <c r="C123" s="174"/>
      <c r="D123" s="174"/>
      <c r="E123" s="174"/>
      <c r="F123" s="182">
        <v>51.0</v>
      </c>
      <c r="G123" s="172" t="str">
        <f>IFERROR(__xludf.DUMMYFUNCTION("TRIM(REGEXREPLACE(C123, ""[0-9]+[a-f]?\."", """"))"),"")</f>
        <v/>
      </c>
      <c r="H123" s="172" t="str">
        <f>IFERROR(__xludf.DUMMYFUNCTION("TRIM(REGEXREPLACE(D123, ""[0-9]+[a-f]?\."", """"))"),"")</f>
        <v/>
      </c>
      <c r="I123" s="172" t="str">
        <f>IFERROR(__xludf.DUMMYFUNCTION("TRIM(REGEXREPLACE(E123, ""[0-9]+[a-f]?\."", """"))"),"")</f>
        <v/>
      </c>
      <c r="J123" s="172" t="s">
        <v>1093</v>
      </c>
      <c r="K123" s="172" t="s">
        <v>1094</v>
      </c>
      <c r="L123" s="172" t="s">
        <v>1096</v>
      </c>
      <c r="M123" s="172"/>
      <c r="N123" s="172"/>
      <c r="O123" s="172"/>
      <c r="P123" s="172"/>
      <c r="Q123" s="172"/>
      <c r="R123" s="172"/>
      <c r="S123" s="172"/>
      <c r="T123" s="172"/>
      <c r="U123" s="172"/>
      <c r="V123" s="172"/>
      <c r="W123" s="172"/>
      <c r="X123" s="172"/>
      <c r="Y123" s="172"/>
      <c r="Z123" s="172"/>
    </row>
    <row r="124" hidden="1">
      <c r="A124" s="188" t="s">
        <v>68</v>
      </c>
      <c r="B124" s="189" t="s">
        <v>307</v>
      </c>
      <c r="C124" s="190"/>
      <c r="D124" s="190"/>
      <c r="E124" s="190"/>
      <c r="F124" s="182">
        <v>50.0</v>
      </c>
      <c r="G124" s="172" t="str">
        <f>IFERROR(__xludf.DUMMYFUNCTION("TRIM(REGEXREPLACE(C124, ""[0-9]+[a-f]?\."", """"))"),"")</f>
        <v/>
      </c>
      <c r="H124" s="172" t="str">
        <f>IFERROR(__xludf.DUMMYFUNCTION("TRIM(REGEXREPLACE(D124, ""[0-9]+[a-f]?\."", """"))"),"")</f>
        <v/>
      </c>
      <c r="I124" s="172" t="str">
        <f>IFERROR(__xludf.DUMMYFUNCTION("TRIM(REGEXREPLACE(E124, ""[0-9]+[a-f]?\."", """"))"),"")</f>
        <v/>
      </c>
      <c r="J124" s="172" t="s">
        <v>1081</v>
      </c>
      <c r="K124" s="172" t="s">
        <v>1082</v>
      </c>
      <c r="L124" s="172" t="s">
        <v>1083</v>
      </c>
      <c r="M124" s="172"/>
      <c r="N124" s="172"/>
      <c r="O124" s="172"/>
      <c r="P124" s="172"/>
      <c r="Q124" s="172"/>
      <c r="R124" s="172"/>
      <c r="S124" s="172"/>
      <c r="T124" s="172"/>
      <c r="U124" s="172"/>
      <c r="V124" s="172"/>
      <c r="W124" s="172"/>
      <c r="X124" s="172"/>
      <c r="Y124" s="172"/>
      <c r="Z124" s="172"/>
    </row>
    <row r="125" hidden="1">
      <c r="A125" s="172"/>
      <c r="B125" s="174"/>
      <c r="C125" s="174"/>
      <c r="D125" s="174"/>
      <c r="E125" s="174"/>
      <c r="F125" s="182">
        <v>54.0</v>
      </c>
      <c r="G125" s="172" t="str">
        <f>IFERROR(__xludf.DUMMYFUNCTION("TRIM(REGEXREPLACE(C125, ""[0-9]+[a-f]?\."", """"))"),"")</f>
        <v/>
      </c>
      <c r="H125" s="172" t="str">
        <f>IFERROR(__xludf.DUMMYFUNCTION("TRIM(REGEXREPLACE(D125, ""[0-9]+[a-f]?\."", """"))"),"")</f>
        <v/>
      </c>
      <c r="I125" s="172" t="str">
        <f>IFERROR(__xludf.DUMMYFUNCTION("TRIM(REGEXREPLACE(E125, ""[0-9]+[a-f]?\."", """"))"),"")</f>
        <v/>
      </c>
      <c r="J125" s="172" t="s">
        <v>1103</v>
      </c>
      <c r="K125" s="172" t="s">
        <v>1104</v>
      </c>
      <c r="L125" s="172" t="s">
        <v>1105</v>
      </c>
      <c r="M125" s="172"/>
      <c r="N125" s="172"/>
      <c r="O125" s="172"/>
      <c r="P125" s="172"/>
      <c r="Q125" s="172"/>
      <c r="R125" s="172"/>
      <c r="S125" s="172"/>
      <c r="T125" s="172"/>
      <c r="U125" s="172"/>
      <c r="V125" s="172"/>
      <c r="W125" s="172"/>
      <c r="X125" s="172"/>
      <c r="Y125" s="172"/>
      <c r="Z125" s="172"/>
    </row>
    <row r="126" hidden="1">
      <c r="A126" s="188" t="s">
        <v>68</v>
      </c>
      <c r="B126" s="189" t="s">
        <v>312</v>
      </c>
      <c r="C126" s="190"/>
      <c r="D126" s="190"/>
      <c r="E126" s="190"/>
      <c r="F126" s="182">
        <v>51.0</v>
      </c>
      <c r="G126" s="172" t="str">
        <f>IFERROR(__xludf.DUMMYFUNCTION("TRIM(REGEXREPLACE(C126, ""[0-9]+[a-f]?\."", """"))"),"")</f>
        <v/>
      </c>
      <c r="H126" s="172" t="str">
        <f>IFERROR(__xludf.DUMMYFUNCTION("TRIM(REGEXREPLACE(D126, ""[0-9]+[a-f]?\."", """"))"),"")</f>
        <v/>
      </c>
      <c r="I126" s="172" t="str">
        <f>IFERROR(__xludf.DUMMYFUNCTION("TRIM(REGEXREPLACE(E126, ""[0-9]+[a-f]?\."", """"))"),"")</f>
        <v/>
      </c>
      <c r="J126" s="172" t="s">
        <v>1087</v>
      </c>
      <c r="K126" s="172" t="s">
        <v>1088</v>
      </c>
      <c r="L126" s="172" t="s">
        <v>1089</v>
      </c>
      <c r="M126" s="172"/>
      <c r="N126" s="172"/>
      <c r="O126" s="172"/>
      <c r="P126" s="172"/>
      <c r="Q126" s="172"/>
      <c r="R126" s="172"/>
      <c r="S126" s="172"/>
      <c r="T126" s="172"/>
      <c r="U126" s="172"/>
      <c r="V126" s="172"/>
      <c r="W126" s="172"/>
      <c r="X126" s="172"/>
      <c r="Y126" s="172"/>
      <c r="Z126" s="172"/>
    </row>
    <row r="127" hidden="1">
      <c r="A127" s="188" t="s">
        <v>68</v>
      </c>
      <c r="B127" s="189" t="s">
        <v>317</v>
      </c>
      <c r="C127" s="190"/>
      <c r="D127" s="190"/>
      <c r="E127" s="190"/>
      <c r="F127" s="182">
        <v>52.0</v>
      </c>
      <c r="G127" s="172" t="str">
        <f>IFERROR(__xludf.DUMMYFUNCTION("TRIM(REGEXREPLACE(C127, ""[0-9]+[a-f]?\."", """"))"),"")</f>
        <v/>
      </c>
      <c r="H127" s="172" t="str">
        <f>IFERROR(__xludf.DUMMYFUNCTION("TRIM(REGEXREPLACE(D127, ""[0-9]+[a-f]?\."", """"))"),"")</f>
        <v/>
      </c>
      <c r="I127" s="172" t="str">
        <f>IFERROR(__xludf.DUMMYFUNCTION("TRIM(REGEXREPLACE(E127, ""[0-9]+[a-f]?\."", """"))"),"")</f>
        <v/>
      </c>
      <c r="J127" s="172" t="s">
        <v>1090</v>
      </c>
      <c r="K127" s="172" t="s">
        <v>1091</v>
      </c>
      <c r="L127" s="172" t="s">
        <v>1091</v>
      </c>
      <c r="M127" s="172"/>
      <c r="N127" s="172"/>
      <c r="O127" s="172"/>
      <c r="P127" s="172"/>
      <c r="Q127" s="172"/>
      <c r="R127" s="172"/>
      <c r="S127" s="172"/>
      <c r="T127" s="172"/>
      <c r="U127" s="172"/>
      <c r="V127" s="172"/>
      <c r="W127" s="172"/>
      <c r="X127" s="172"/>
      <c r="Y127" s="172"/>
      <c r="Z127" s="172"/>
    </row>
    <row r="128" hidden="1">
      <c r="A128" s="172"/>
      <c r="B128" s="174"/>
      <c r="C128" s="174"/>
      <c r="D128" s="174"/>
      <c r="E128" s="174"/>
      <c r="F128" s="182">
        <v>57.0</v>
      </c>
      <c r="G128" s="172" t="str">
        <f>IFERROR(__xludf.DUMMYFUNCTION("TRIM(REGEXREPLACE(C128, ""[0-9]+[a-f]?\."", """"))"),"")</f>
        <v/>
      </c>
      <c r="H128" s="172" t="str">
        <f>IFERROR(__xludf.DUMMYFUNCTION("TRIM(REGEXREPLACE(D128, ""[0-9]+[a-f]?\."", """"))"),"")</f>
        <v/>
      </c>
      <c r="I128" s="172" t="str">
        <f>IFERROR(__xludf.DUMMYFUNCTION("TRIM(REGEXREPLACE(E128, ""[0-9]+[a-f]?\."", """"))"),"")</f>
        <v/>
      </c>
      <c r="J128" s="172" t="s">
        <v>1113</v>
      </c>
      <c r="K128" s="172" t="s">
        <v>1114</v>
      </c>
      <c r="L128" s="172" t="s">
        <v>1115</v>
      </c>
      <c r="M128" s="172"/>
      <c r="N128" s="172"/>
      <c r="O128" s="172"/>
      <c r="P128" s="172"/>
      <c r="Q128" s="172"/>
      <c r="R128" s="172"/>
      <c r="S128" s="172"/>
      <c r="T128" s="172"/>
      <c r="U128" s="172"/>
      <c r="V128" s="172"/>
      <c r="W128" s="172"/>
      <c r="X128" s="172"/>
      <c r="Y128" s="172"/>
      <c r="Z128" s="172"/>
    </row>
    <row r="129" hidden="1">
      <c r="A129" s="188" t="s">
        <v>68</v>
      </c>
      <c r="B129" s="189" t="s">
        <v>324</v>
      </c>
      <c r="C129" s="190"/>
      <c r="D129" s="190"/>
      <c r="E129" s="190"/>
      <c r="F129" s="182">
        <v>53.0</v>
      </c>
      <c r="G129" s="172" t="str">
        <f>IFERROR(__xludf.DUMMYFUNCTION("TRIM(REGEXREPLACE(C129, ""[0-9]+[a-f]?\."", """"))"),"")</f>
        <v/>
      </c>
      <c r="H129" s="172" t="str">
        <f>IFERROR(__xludf.DUMMYFUNCTION("TRIM(REGEXREPLACE(D129, ""[0-9]+[a-f]?\."", """"))"),"")</f>
        <v/>
      </c>
      <c r="I129" s="172" t="str">
        <f>IFERROR(__xludf.DUMMYFUNCTION("TRIM(REGEXREPLACE(E129, ""[0-9]+[a-f]?\."", """"))"),"")</f>
        <v/>
      </c>
      <c r="J129" s="172" t="s">
        <v>1118</v>
      </c>
      <c r="K129" s="172" t="s">
        <v>1120</v>
      </c>
      <c r="L129" s="172" t="s">
        <v>1121</v>
      </c>
      <c r="M129" s="172"/>
      <c r="N129" s="172"/>
      <c r="O129" s="172"/>
      <c r="P129" s="172"/>
      <c r="Q129" s="172"/>
      <c r="R129" s="172"/>
      <c r="S129" s="172"/>
      <c r="T129" s="172"/>
      <c r="U129" s="172"/>
      <c r="V129" s="172"/>
      <c r="W129" s="172"/>
      <c r="X129" s="172"/>
      <c r="Y129" s="172"/>
      <c r="Z129" s="172"/>
    </row>
    <row r="130" hidden="1">
      <c r="A130" s="188" t="s">
        <v>68</v>
      </c>
      <c r="B130" s="189" t="s">
        <v>330</v>
      </c>
      <c r="C130" s="190"/>
      <c r="D130" s="190"/>
      <c r="E130" s="190"/>
      <c r="F130" s="182">
        <v>54.0</v>
      </c>
      <c r="G130" s="172" t="str">
        <f>IFERROR(__xludf.DUMMYFUNCTION("TRIM(REGEXREPLACE(C130, ""[0-9]+[a-f]?\."", """"))"),"")</f>
        <v/>
      </c>
      <c r="H130" s="172" t="str">
        <f>IFERROR(__xludf.DUMMYFUNCTION("TRIM(REGEXREPLACE(D130, ""[0-9]+[a-f]?\."", """"))"),"")</f>
        <v/>
      </c>
      <c r="I130" s="172" t="str">
        <f>IFERROR(__xludf.DUMMYFUNCTION("TRIM(REGEXREPLACE(E130, ""[0-9]+[a-f]?\."", """"))"),"")</f>
        <v/>
      </c>
      <c r="J130" s="172" t="s">
        <v>1103</v>
      </c>
      <c r="K130" s="172" t="s">
        <v>1104</v>
      </c>
      <c r="L130" s="172" t="s">
        <v>1105</v>
      </c>
      <c r="M130" s="172"/>
      <c r="N130" s="172"/>
      <c r="O130" s="172"/>
      <c r="P130" s="172"/>
      <c r="Q130" s="172"/>
      <c r="R130" s="172"/>
      <c r="S130" s="172"/>
      <c r="T130" s="172"/>
      <c r="U130" s="172"/>
      <c r="V130" s="172"/>
      <c r="W130" s="172"/>
      <c r="X130" s="172"/>
      <c r="Y130" s="172"/>
      <c r="Z130" s="172"/>
    </row>
    <row r="131" hidden="1">
      <c r="A131" s="188" t="s">
        <v>68</v>
      </c>
      <c r="B131" s="189" t="s">
        <v>336</v>
      </c>
      <c r="C131" s="190"/>
      <c r="D131" s="190"/>
      <c r="E131" s="190"/>
      <c r="F131" s="182">
        <v>55.0</v>
      </c>
      <c r="G131" s="172" t="str">
        <f>IFERROR(__xludf.DUMMYFUNCTION("TRIM(REGEXREPLACE(C131, ""[0-9]+[a-f]?\."", """"))"),"")</f>
        <v/>
      </c>
      <c r="H131" s="172" t="str">
        <f>IFERROR(__xludf.DUMMYFUNCTION("TRIM(REGEXREPLACE(D131, ""[0-9]+[a-f]?\."", """"))"),"")</f>
        <v/>
      </c>
      <c r="I131" s="172" t="str">
        <f>IFERROR(__xludf.DUMMYFUNCTION("TRIM(REGEXREPLACE(E131, ""[0-9]+[a-f]?\."", """"))"),"")</f>
        <v/>
      </c>
      <c r="J131" s="172" t="s">
        <v>1127</v>
      </c>
      <c r="K131" s="172" t="s">
        <v>1128</v>
      </c>
      <c r="L131" s="172" t="s">
        <v>1129</v>
      </c>
      <c r="M131" s="172"/>
      <c r="N131" s="172"/>
      <c r="O131" s="172"/>
      <c r="P131" s="172"/>
      <c r="Q131" s="172"/>
      <c r="R131" s="172"/>
      <c r="S131" s="172"/>
      <c r="T131" s="172"/>
      <c r="U131" s="172"/>
      <c r="V131" s="172"/>
      <c r="W131" s="172"/>
      <c r="X131" s="172"/>
      <c r="Y131" s="172"/>
      <c r="Z131" s="172"/>
    </row>
    <row r="132" hidden="1">
      <c r="A132" s="188" t="s">
        <v>68</v>
      </c>
      <c r="B132" s="189" t="s">
        <v>342</v>
      </c>
      <c r="C132" s="190"/>
      <c r="D132" s="190"/>
      <c r="E132" s="190"/>
      <c r="F132" s="182">
        <v>56.0</v>
      </c>
      <c r="G132" s="172" t="str">
        <f>IFERROR(__xludf.DUMMYFUNCTION("TRIM(REGEXREPLACE(C132, ""[0-9]+[a-f]?\."", """"))"),"")</f>
        <v/>
      </c>
      <c r="H132" s="172" t="str">
        <f>IFERROR(__xludf.DUMMYFUNCTION("TRIM(REGEXREPLACE(D132, ""[0-9]+[a-f]?\."", """"))"),"")</f>
        <v/>
      </c>
      <c r="I132" s="172" t="str">
        <f>IFERROR(__xludf.DUMMYFUNCTION("TRIM(REGEXREPLACE(E132, ""[0-9]+[a-f]?\."", """"))"),"")</f>
        <v/>
      </c>
      <c r="J132" s="172" t="s">
        <v>1133</v>
      </c>
      <c r="K132" s="172" t="s">
        <v>1134</v>
      </c>
      <c r="L132" s="172" t="s">
        <v>1135</v>
      </c>
      <c r="M132" s="172"/>
      <c r="N132" s="172"/>
      <c r="O132" s="172"/>
      <c r="P132" s="172"/>
      <c r="Q132" s="172"/>
      <c r="R132" s="172"/>
      <c r="S132" s="172"/>
      <c r="T132" s="172"/>
      <c r="U132" s="172"/>
      <c r="V132" s="172"/>
      <c r="W132" s="172"/>
      <c r="X132" s="172"/>
      <c r="Y132" s="172"/>
      <c r="Z132" s="172"/>
    </row>
    <row r="133" hidden="1">
      <c r="A133" s="188" t="s">
        <v>68</v>
      </c>
      <c r="B133" s="189" t="s">
        <v>1137</v>
      </c>
      <c r="C133" s="190"/>
      <c r="D133" s="190"/>
      <c r="E133" s="190"/>
      <c r="F133" s="182">
        <v>57.0</v>
      </c>
      <c r="G133" s="172" t="str">
        <f>IFERROR(__xludf.DUMMYFUNCTION("TRIM(REGEXREPLACE(C133, ""[0-9]+[a-f]?\."", """"))"),"")</f>
        <v/>
      </c>
      <c r="H133" s="172" t="str">
        <f>IFERROR(__xludf.DUMMYFUNCTION("TRIM(REGEXREPLACE(D133, ""[0-9]+[a-f]?\."", """"))"),"")</f>
        <v/>
      </c>
      <c r="I133" s="172" t="str">
        <f>IFERROR(__xludf.DUMMYFUNCTION("TRIM(REGEXREPLACE(E133, ""[0-9]+[a-f]?\."", """"))"),"")</f>
        <v/>
      </c>
      <c r="J133" s="172" t="s">
        <v>1113</v>
      </c>
      <c r="K133" s="172" t="s">
        <v>1114</v>
      </c>
      <c r="L133" s="172" t="s">
        <v>1115</v>
      </c>
      <c r="M133" s="172"/>
      <c r="N133" s="172"/>
      <c r="O133" s="172"/>
      <c r="P133" s="172"/>
      <c r="Q133" s="172"/>
      <c r="R133" s="172"/>
      <c r="S133" s="172"/>
      <c r="T133" s="172"/>
      <c r="U133" s="172"/>
      <c r="V133" s="172"/>
      <c r="W133" s="172"/>
      <c r="X133" s="172"/>
      <c r="Y133" s="172"/>
      <c r="Z133" s="172"/>
    </row>
    <row r="134">
      <c r="A134" s="207" t="s">
        <v>41</v>
      </c>
      <c r="B134" s="208" t="s">
        <v>1141</v>
      </c>
      <c r="C134" s="208" t="s">
        <v>1142</v>
      </c>
      <c r="D134" s="227"/>
      <c r="E134" s="227"/>
      <c r="F134" s="182">
        <v>9.0</v>
      </c>
      <c r="G134" s="172" t="str">
        <f>IFERROR(__xludf.DUMMYFUNCTION("TRIM(REGEXREPLACE(C134, ""[0-9]+[a-f]?\."", """"))"),"${pm_name} has already been surveyed. Please return and attempt to survey a different household.")</f>
        <v>${pm_name} has already been surveyed. Please return and attempt to survey a different household.</v>
      </c>
      <c r="H134" s="172" t="str">
        <f>IFERROR(__xludf.DUMMYFUNCTION("TRIM(REGEXREPLACE(D134, ""[0-9]+[a-f]?\."", """"))"),"")</f>
        <v/>
      </c>
      <c r="I134" s="172" t="str">
        <f>IFERROR(__xludf.DUMMYFUNCTION("TRIM(REGEXREPLACE(E134, ""[0-9]+[a-f]?\."", """"))"),"")</f>
        <v/>
      </c>
      <c r="J134" s="172" t="str">
        <f t="shared" ref="J134:L134" si="9">$F134 &amp; ". " &amp;G134</f>
        <v>9. ${pm_name} has already been surveyed. Please return and attempt to survey a different household.</v>
      </c>
      <c r="K134" s="172" t="str">
        <f t="shared" si="9"/>
        <v>9. </v>
      </c>
      <c r="L134" s="172" t="str">
        <f t="shared" si="9"/>
        <v>9. </v>
      </c>
      <c r="M134" s="172"/>
      <c r="N134" s="172"/>
      <c r="O134" s="172"/>
      <c r="P134" s="172"/>
      <c r="Q134" s="172"/>
      <c r="R134" s="172"/>
      <c r="S134" s="172"/>
      <c r="T134" s="172"/>
      <c r="U134" s="172"/>
      <c r="V134" s="172"/>
      <c r="W134" s="172"/>
      <c r="X134" s="172"/>
      <c r="Y134" s="172"/>
      <c r="Z134" s="172"/>
    </row>
    <row r="135" hidden="1">
      <c r="A135" s="172"/>
      <c r="B135" s="174"/>
      <c r="C135" s="174"/>
      <c r="D135" s="174"/>
      <c r="E135" s="174"/>
      <c r="F135" s="182">
        <v>58.0</v>
      </c>
      <c r="G135" s="172" t="str">
        <f>IFERROR(__xludf.DUMMYFUNCTION("TRIM(REGEXREPLACE(C135, ""[0-9]+[a-f]?\."", """"))"),"")</f>
        <v/>
      </c>
      <c r="H135" s="172" t="str">
        <f>IFERROR(__xludf.DUMMYFUNCTION("TRIM(REGEXREPLACE(D135, ""[0-9]+[a-f]?\."", """"))"),"")</f>
        <v/>
      </c>
      <c r="I135" s="172" t="str">
        <f>IFERROR(__xludf.DUMMYFUNCTION("TRIM(REGEXREPLACE(E135, ""[0-9]+[a-f]?\."", """"))"),"")</f>
        <v/>
      </c>
      <c r="J135" s="172" t="s">
        <v>1147</v>
      </c>
      <c r="K135" s="172" t="s">
        <v>1148</v>
      </c>
      <c r="L135" s="172" t="s">
        <v>1149</v>
      </c>
      <c r="M135" s="172"/>
      <c r="N135" s="172"/>
      <c r="O135" s="172"/>
      <c r="P135" s="172"/>
      <c r="Q135" s="172"/>
      <c r="R135" s="172"/>
      <c r="S135" s="172"/>
      <c r="T135" s="172"/>
      <c r="U135" s="172"/>
      <c r="V135" s="172"/>
      <c r="W135" s="172"/>
      <c r="X135" s="172"/>
      <c r="Y135" s="172"/>
      <c r="Z135" s="172"/>
    </row>
    <row r="136" hidden="1">
      <c r="A136" s="172"/>
      <c r="B136" s="174"/>
      <c r="C136" s="174"/>
      <c r="D136" s="174"/>
      <c r="E136" s="174"/>
      <c r="F136" s="182">
        <v>60.0</v>
      </c>
      <c r="G136" s="172" t="str">
        <f>IFERROR(__xludf.DUMMYFUNCTION("TRIM(REGEXREPLACE(C136, ""[0-9]+[a-f]?\."", """"))"),"")</f>
        <v/>
      </c>
      <c r="H136" s="172" t="str">
        <f>IFERROR(__xludf.DUMMYFUNCTION("TRIM(REGEXREPLACE(D136, ""[0-9]+[a-f]?\."", """"))"),"")</f>
        <v/>
      </c>
      <c r="I136" s="172" t="str">
        <f>IFERROR(__xludf.DUMMYFUNCTION("TRIM(REGEXREPLACE(E136, ""[0-9]+[a-f]?\."", """"))"),"")</f>
        <v/>
      </c>
      <c r="J136" s="172" t="s">
        <v>1151</v>
      </c>
      <c r="K136" s="172" t="s">
        <v>1152</v>
      </c>
      <c r="L136" s="172" t="s">
        <v>1153</v>
      </c>
      <c r="M136" s="172"/>
      <c r="N136" s="172"/>
      <c r="O136" s="172"/>
      <c r="P136" s="172"/>
      <c r="Q136" s="172"/>
      <c r="R136" s="172"/>
      <c r="S136" s="172"/>
      <c r="T136" s="172"/>
      <c r="U136" s="172"/>
      <c r="V136" s="172"/>
      <c r="W136" s="172"/>
      <c r="X136" s="172"/>
      <c r="Y136" s="172"/>
      <c r="Z136" s="172"/>
    </row>
    <row r="137" hidden="1">
      <c r="A137" s="172"/>
      <c r="B137" s="174"/>
      <c r="C137" s="174"/>
      <c r="D137" s="174"/>
      <c r="E137" s="174"/>
      <c r="F137" s="182">
        <v>61.0</v>
      </c>
      <c r="G137" s="172" t="str">
        <f>IFERROR(__xludf.DUMMYFUNCTION("TRIM(REGEXREPLACE(C137, ""[0-9]+[a-f]?\."", """"))"),"")</f>
        <v/>
      </c>
      <c r="H137" s="172" t="str">
        <f>IFERROR(__xludf.DUMMYFUNCTION("TRIM(REGEXREPLACE(D137, ""[0-9]+[a-f]?\."", """"))"),"")</f>
        <v/>
      </c>
      <c r="I137" s="172" t="str">
        <f>IFERROR(__xludf.DUMMYFUNCTION("TRIM(REGEXREPLACE(E137, ""[0-9]+[a-f]?\."", """"))"),"")</f>
        <v/>
      </c>
      <c r="J137" s="172" t="s">
        <v>1155</v>
      </c>
      <c r="K137" s="172" t="s">
        <v>1156</v>
      </c>
      <c r="L137" s="172" t="s">
        <v>1157</v>
      </c>
      <c r="M137" s="172"/>
      <c r="N137" s="172"/>
      <c r="O137" s="172"/>
      <c r="P137" s="172"/>
      <c r="Q137" s="172"/>
      <c r="R137" s="172"/>
      <c r="S137" s="172"/>
      <c r="T137" s="172"/>
      <c r="U137" s="172"/>
      <c r="V137" s="172"/>
      <c r="W137" s="172"/>
      <c r="X137" s="172"/>
      <c r="Y137" s="172"/>
      <c r="Z137" s="172"/>
    </row>
    <row r="138" hidden="1">
      <c r="A138" s="172"/>
      <c r="B138" s="174"/>
      <c r="C138" s="174"/>
      <c r="D138" s="174"/>
      <c r="E138" s="174"/>
      <c r="F138" s="182">
        <v>62.0</v>
      </c>
      <c r="G138" s="172" t="str">
        <f>IFERROR(__xludf.DUMMYFUNCTION("TRIM(REGEXREPLACE(C138, ""[0-9]+[a-f]?\."", """"))"),"")</f>
        <v/>
      </c>
      <c r="H138" s="172" t="str">
        <f>IFERROR(__xludf.DUMMYFUNCTION("TRIM(REGEXREPLACE(D138, ""[0-9]+[a-f]?\."", """"))"),"")</f>
        <v/>
      </c>
      <c r="I138" s="172" t="str">
        <f>IFERROR(__xludf.DUMMYFUNCTION("TRIM(REGEXREPLACE(E138, ""[0-9]+[a-f]?\."", """"))"),"")</f>
        <v/>
      </c>
      <c r="J138" s="172" t="s">
        <v>1158</v>
      </c>
      <c r="K138" s="172" t="s">
        <v>1159</v>
      </c>
      <c r="L138" s="172" t="s">
        <v>1160</v>
      </c>
      <c r="M138" s="172"/>
      <c r="N138" s="172"/>
      <c r="O138" s="172"/>
      <c r="P138" s="172"/>
      <c r="Q138" s="172"/>
      <c r="R138" s="172"/>
      <c r="S138" s="172"/>
      <c r="T138" s="172"/>
      <c r="U138" s="172"/>
      <c r="V138" s="172"/>
      <c r="W138" s="172"/>
      <c r="X138" s="172"/>
      <c r="Y138" s="172"/>
      <c r="Z138" s="172"/>
    </row>
    <row r="139" hidden="1">
      <c r="A139" s="228" t="s">
        <v>107</v>
      </c>
      <c r="B139" s="231" t="s">
        <v>349</v>
      </c>
      <c r="C139" s="214"/>
      <c r="D139" s="214"/>
      <c r="E139" s="214"/>
      <c r="F139" s="182">
        <v>59.0</v>
      </c>
      <c r="G139" s="172" t="str">
        <f>IFERROR(__xludf.DUMMYFUNCTION("TRIM(REGEXREPLACE(C139, ""[0-9]+[a-f]?\."", """"))"),"")</f>
        <v/>
      </c>
      <c r="H139" s="172" t="str">
        <f>IFERROR(__xludf.DUMMYFUNCTION("TRIM(REGEXREPLACE(D139, ""[0-9]+[a-f]?\."", """"))"),"")</f>
        <v/>
      </c>
      <c r="I139" s="172" t="str">
        <f>IFERROR(__xludf.DUMMYFUNCTION("TRIM(REGEXREPLACE(E139, ""[0-9]+[a-f]?\."", """"))"),"")</f>
        <v/>
      </c>
      <c r="J139" s="172" t="s">
        <v>1169</v>
      </c>
      <c r="K139" s="172" t="s">
        <v>1170</v>
      </c>
      <c r="L139" s="172" t="s">
        <v>1171</v>
      </c>
      <c r="M139" s="172"/>
      <c r="N139" s="172"/>
      <c r="O139" s="172"/>
      <c r="P139" s="172"/>
      <c r="Q139" s="172"/>
      <c r="R139" s="172"/>
      <c r="S139" s="172"/>
      <c r="T139" s="172"/>
      <c r="U139" s="172"/>
      <c r="V139" s="172"/>
      <c r="W139" s="172"/>
      <c r="X139" s="172"/>
      <c r="Y139" s="172"/>
      <c r="Z139" s="172"/>
    </row>
    <row r="140" hidden="1">
      <c r="A140" s="172"/>
      <c r="B140" s="174"/>
      <c r="C140" s="174"/>
      <c r="D140" s="174"/>
      <c r="E140" s="174"/>
      <c r="F140" s="182">
        <v>64.0</v>
      </c>
      <c r="G140" s="172" t="str">
        <f>IFERROR(__xludf.DUMMYFUNCTION("TRIM(REGEXREPLACE(C140, ""[0-9]+[a-f]?\."", """"))"),"")</f>
        <v/>
      </c>
      <c r="H140" s="172" t="str">
        <f>IFERROR(__xludf.DUMMYFUNCTION("TRIM(REGEXREPLACE(D140, ""[0-9]+[a-f]?\."", """"))"),"")</f>
        <v/>
      </c>
      <c r="I140" s="172" t="str">
        <f>IFERROR(__xludf.DUMMYFUNCTION("TRIM(REGEXREPLACE(E140, ""[0-9]+[a-f]?\."", """"))"),"")</f>
        <v/>
      </c>
      <c r="J140" s="172" t="s">
        <v>1175</v>
      </c>
      <c r="K140" s="172" t="s">
        <v>1176</v>
      </c>
      <c r="L140" s="172" t="s">
        <v>1177</v>
      </c>
      <c r="M140" s="172"/>
      <c r="N140" s="172"/>
      <c r="O140" s="172"/>
      <c r="P140" s="172"/>
      <c r="Q140" s="172"/>
      <c r="R140" s="172"/>
      <c r="S140" s="172"/>
      <c r="T140" s="172"/>
      <c r="U140" s="172"/>
      <c r="V140" s="172"/>
      <c r="W140" s="172"/>
      <c r="X140" s="172"/>
      <c r="Y140" s="172"/>
      <c r="Z140" s="172"/>
    </row>
    <row r="141">
      <c r="A141" s="215" t="s">
        <v>353</v>
      </c>
      <c r="B141" s="216" t="s">
        <v>354</v>
      </c>
      <c r="C141" s="216" t="s">
        <v>812</v>
      </c>
      <c r="D141" s="216" t="s">
        <v>815</v>
      </c>
      <c r="E141" s="216" t="s">
        <v>1178</v>
      </c>
      <c r="F141" s="182">
        <v>10.0</v>
      </c>
      <c r="G141" s="172" t="str">
        <f>IFERROR(__xludf.DUMMYFUNCTION("TRIM(REGEXREPLACE(C141, ""[0-9]+[a-f]?\."", """"))"),"You indicated that you are attempting to interview ${pm_name} (age: ${pm_age}). Is that correct?")</f>
        <v>You indicated that you are attempting to interview ${pm_name} (age: ${pm_age}). Is that correct?</v>
      </c>
      <c r="H141" s="172" t="str">
        <f>IFERROR(__xludf.DUMMYFUNCTION("TRIM(REGEXREPLACE(D141, ""[0-9]+[a-f]?\."", """"))"),"Vous avez indiqué que vous tentez d'interroger ${pm_name} (âge : ${pm_age}). Est-ce exact ?")</f>
        <v>Vous avez indiqué que vous tentez d'interroger ${pm_name} (âge : ${pm_age}). Est-ce exact ?</v>
      </c>
      <c r="I141" s="172" t="str">
        <f>IFERROR(__xludf.DUMMYFUNCTION("TRIM(REGEXREPLACE(E141, ""[0-9]+[a-f]?\."", """"))"),"Kun nuna cewa kuna ƙoƙarin yin hira da ${pm_name} (shekaru: ${pm_age}). Ko hakan daidai ne?")</f>
        <v>Kun nuna cewa kuna ƙoƙarin yin hira da ${pm_name} (shekaru: ${pm_age}). Ko hakan daidai ne?</v>
      </c>
      <c r="J141" s="172" t="str">
        <f t="shared" ref="J141:L141" si="10">$F141 &amp; ". " &amp;G141</f>
        <v>10. You indicated that you are attempting to interview ${pm_name} (age: ${pm_age}). Is that correct?</v>
      </c>
      <c r="K141" s="172" t="str">
        <f t="shared" si="10"/>
        <v>10. Vous avez indiqué que vous tentez d'interroger ${pm_name} (âge : ${pm_age}). Est-ce exact ?</v>
      </c>
      <c r="L141" s="172" t="str">
        <f t="shared" si="10"/>
        <v>10. Kun nuna cewa kuna ƙoƙarin yin hira da ${pm_name} (shekaru: ${pm_age}). Ko hakan daidai ne?</v>
      </c>
      <c r="M141" s="172"/>
      <c r="N141" s="172"/>
      <c r="O141" s="172"/>
      <c r="P141" s="172"/>
      <c r="Q141" s="172"/>
      <c r="R141" s="172"/>
      <c r="S141" s="172"/>
      <c r="T141" s="172"/>
      <c r="U141" s="172"/>
      <c r="V141" s="172"/>
      <c r="W141" s="172"/>
      <c r="X141" s="172"/>
      <c r="Y141" s="172"/>
      <c r="Z141" s="172"/>
    </row>
    <row r="142">
      <c r="A142" s="215" t="s">
        <v>360</v>
      </c>
      <c r="B142" s="216" t="s">
        <v>362</v>
      </c>
      <c r="C142" s="216" t="s">
        <v>822</v>
      </c>
      <c r="D142" s="216" t="s">
        <v>1190</v>
      </c>
      <c r="E142" s="216" t="s">
        <v>824</v>
      </c>
      <c r="F142" s="182">
        <v>11.0</v>
      </c>
      <c r="G142" s="172" t="str">
        <f>IFERROR(__xludf.DUMMYFUNCTION("TRIM(REGEXREPLACE(C142, ""[0-9]+[a-f]?\."", """"))"),"Who are you trying to interview? Here are the other respondents in this household:")</f>
        <v>Who are you trying to interview? Here are the other respondents in this household:</v>
      </c>
      <c r="H142" s="172" t="str">
        <f>IFERROR(__xludf.DUMMYFUNCTION("TRIM(REGEXREPLACE(D142, ""[0-9]+[a-f]?\."", """"))"),"Qui essayez-vous d’interroger ? Voici les autres répondants de ce ménage :")</f>
        <v>Qui essayez-vous d’interroger ? Voici les autres répondants de ce ménage :</v>
      </c>
      <c r="I142" s="172" t="str">
        <f>IFERROR(__xludf.DUMMYFUNCTION("TRIM(REGEXREPLACE(E142, ""[0-9]+[a-f]?\."", """"))"),"Wanene kuke ƙoƙarin yin hira da shi ? Ga sauran masu bada amsa a wannan gidan:")</f>
        <v>Wanene kuke ƙoƙarin yin hira da shi ? Ga sauran masu bada amsa a wannan gidan:</v>
      </c>
      <c r="J142" s="172" t="str">
        <f t="shared" ref="J142:L142" si="11">$F142 &amp; ". " &amp;G142</f>
        <v>11. Who are you trying to interview? Here are the other respondents in this household:</v>
      </c>
      <c r="K142" s="172" t="str">
        <f t="shared" si="11"/>
        <v>11. Qui essayez-vous d’interroger ? Voici les autres répondants de ce ménage :</v>
      </c>
      <c r="L142" s="172" t="str">
        <f t="shared" si="11"/>
        <v>11. Wanene kuke ƙoƙarin yin hira da shi ? Ga sauran masu bada amsa a wannan gidan:</v>
      </c>
      <c r="M142" s="172"/>
      <c r="N142" s="172"/>
      <c r="O142" s="172"/>
      <c r="P142" s="172"/>
      <c r="Q142" s="172"/>
      <c r="R142" s="172"/>
      <c r="S142" s="172"/>
      <c r="T142" s="172"/>
      <c r="U142" s="172"/>
      <c r="V142" s="172"/>
      <c r="W142" s="172"/>
      <c r="X142" s="172"/>
      <c r="Y142" s="172"/>
      <c r="Z142" s="172"/>
    </row>
    <row r="143">
      <c r="A143" s="207" t="s">
        <v>41</v>
      </c>
      <c r="B143" s="208" t="s">
        <v>371</v>
      </c>
      <c r="C143" s="208" t="s">
        <v>829</v>
      </c>
      <c r="D143" s="208" t="s">
        <v>1202</v>
      </c>
      <c r="E143" s="208" t="s">
        <v>831</v>
      </c>
      <c r="F143" s="182">
        <v>12.0</v>
      </c>
      <c r="G143" s="172" t="str">
        <f>IFERROR(__xludf.DUMMYFUNCTION("TRIM(REGEXREPLACE(C143, ""[0-9]+[a-f]?\."", """"))"),"End of survey. Please return and fill out the SHM survey to collect survey responses.")</f>
        <v>End of survey. Please return and fill out the SHM survey to collect survey responses.</v>
      </c>
      <c r="H143" s="172" t="str">
        <f>IFERROR(__xludf.DUMMYFUNCTION("TRIM(REGEXREPLACE(D143, ""[0-9]+[a-f]?\."", """"))"),"Fin de l'enquête. Veuillez revenir et remplir l'enquête du SHM pour collecter les réponses aux questions.")</f>
        <v>Fin de l'enquête. Veuillez revenir et remplir l'enquête du SHM pour collecter les réponses aux questions.</v>
      </c>
      <c r="I143" s="172" t="str">
        <f>IFERROR(__xludf.DUMMYFUNCTION("TRIM(REGEXREPLACE(E143, ""[0-9]+[a-f]?\."", """"))"),"Ƙarshen binciken kenan. Da fatan za a dawo baya a cika binciken SHM don tattara amsoshin binciken.")</f>
        <v>Ƙarshen binciken kenan. Da fatan za a dawo baya a cika binciken SHM don tattara amsoshin binciken.</v>
      </c>
      <c r="J143" s="172" t="str">
        <f t="shared" ref="J143:L143" si="12">$F143 &amp; ". " &amp;G143</f>
        <v>12. End of survey. Please return and fill out the SHM survey to collect survey responses.</v>
      </c>
      <c r="K143" s="172" t="str">
        <f t="shared" si="12"/>
        <v>12. Fin de l'enquête. Veuillez revenir et remplir l'enquête du SHM pour collecter les réponses aux questions.</v>
      </c>
      <c r="L143" s="172" t="str">
        <f t="shared" si="12"/>
        <v>12. Ƙarshen binciken kenan. Da fatan za a dawo baya a cika binciken SHM don tattara amsoshin binciken.</v>
      </c>
      <c r="M143" s="172"/>
      <c r="N143" s="172"/>
      <c r="O143" s="172"/>
      <c r="P143" s="172"/>
      <c r="Q143" s="172"/>
      <c r="R143" s="172"/>
      <c r="S143" s="172"/>
      <c r="T143" s="172"/>
      <c r="U143" s="172"/>
      <c r="V143" s="172"/>
      <c r="W143" s="172"/>
      <c r="X143" s="172"/>
      <c r="Y143" s="172"/>
      <c r="Z143" s="172"/>
    </row>
    <row r="144">
      <c r="A144" s="207" t="s">
        <v>41</v>
      </c>
      <c r="B144" s="208" t="s">
        <v>382</v>
      </c>
      <c r="C144" s="208" t="s">
        <v>1218</v>
      </c>
      <c r="D144" s="208" t="s">
        <v>1219</v>
      </c>
      <c r="E144" s="208" t="s">
        <v>1220</v>
      </c>
      <c r="F144" s="182">
        <v>13.0</v>
      </c>
      <c r="G144" s="172" t="str">
        <f>IFERROR(__xludf.DUMMYFUNCTION("TRIM(REGEXREPLACE(C144, ""[0-9]+[a-f]?\."", """"))"),"End of survey. Please return and fill out the Woman survey to collect survey responses.")</f>
        <v>End of survey. Please return and fill out the Woman survey to collect survey responses.</v>
      </c>
      <c r="H144" s="172" t="str">
        <f>IFERROR(__xludf.DUMMYFUNCTION("TRIM(REGEXREPLACE(D144, ""[0-9]+[a-f]?\."", """"))"),"Fin de l'enquête. Veuillez revenir et remplir l'enquête de la Femme pour collecter les réponses aux questions.")</f>
        <v>Fin de l'enquête. Veuillez revenir et remplir l'enquête de la Femme pour collecter les réponses aux questions.</v>
      </c>
      <c r="I144" s="172" t="str">
        <f>IFERROR(__xludf.DUMMYFUNCTION("TRIM(REGEXREPLACE(E144, ""[0-9]+[a-f]?\."", """"))"),"Ƙarshen binciken. Da fatan za a dawo baya a cika binciken Mace don tattara amsoshin binciken.")</f>
        <v>Ƙarshen binciken. Da fatan za a dawo baya a cika binciken Mace don tattara amsoshin binciken.</v>
      </c>
      <c r="J144" s="172" t="str">
        <f t="shared" ref="J144:L144" si="13">$F144 &amp; ". " &amp;G144</f>
        <v>13. End of survey. Please return and fill out the Woman survey to collect survey responses.</v>
      </c>
      <c r="K144" s="172" t="str">
        <f t="shared" si="13"/>
        <v>13. Fin de l'enquête. Veuillez revenir et remplir l'enquête de la Femme pour collecter les réponses aux questions.</v>
      </c>
      <c r="L144" s="172" t="str">
        <f t="shared" si="13"/>
        <v>13. Ƙarshen binciken. Da fatan za a dawo baya a cika binciken Mace don tattara amsoshin binciken.</v>
      </c>
      <c r="M144" s="172"/>
      <c r="N144" s="172"/>
      <c r="O144" s="172"/>
      <c r="P144" s="172"/>
      <c r="Q144" s="172"/>
      <c r="R144" s="172"/>
      <c r="S144" s="172"/>
      <c r="T144" s="172"/>
      <c r="U144" s="172"/>
      <c r="V144" s="172"/>
      <c r="W144" s="172"/>
      <c r="X144" s="172"/>
      <c r="Y144" s="172"/>
      <c r="Z144" s="172"/>
    </row>
    <row r="145">
      <c r="A145" s="215" t="s">
        <v>353</v>
      </c>
      <c r="B145" s="216" t="s">
        <v>392</v>
      </c>
      <c r="C145" s="216" t="s">
        <v>1232</v>
      </c>
      <c r="D145" s="216" t="s">
        <v>1233</v>
      </c>
      <c r="E145" s="216" t="s">
        <v>1235</v>
      </c>
      <c r="F145" s="182">
        <v>14.0</v>
      </c>
      <c r="G145" s="172" t="str">
        <f>IFERROR(__xludf.DUMMYFUNCTION("TRIM(REGEXREPLACE(C145, ""[0-9]+[a-f]?\."", """"))"),"Is ${pm_name} available to be interviewed?")</f>
        <v>Is ${pm_name} available to be interviewed?</v>
      </c>
      <c r="H145" s="172" t="str">
        <f>IFERROR(__xludf.DUMMYFUNCTION("TRIM(REGEXREPLACE(D145, ""[0-9]+[a-f]?\."", """"))"),"Est-ce que ${pm_name} est disponible pour être interviewé ?")</f>
        <v>Est-ce que ${pm_name} est disponible pour être interviewé ?</v>
      </c>
      <c r="I145" s="172" t="str">
        <f>IFERROR(__xludf.DUMMYFUNCTION("TRIM(REGEXREPLACE(E145, ""[0-9]+[a-f]?\."", """"))"),"Ko ${pm_name} yana da damar yin hira mu?")</f>
        <v>Ko ${pm_name} yana da damar yin hira mu?</v>
      </c>
      <c r="J145" s="172" t="str">
        <f t="shared" ref="J145:L145" si="14">$F145 &amp; ". " &amp;G145</f>
        <v>14. Is ${pm_name} available to be interviewed?</v>
      </c>
      <c r="K145" s="172" t="str">
        <f t="shared" si="14"/>
        <v>14. Est-ce que ${pm_name} est disponible pour être interviewé ?</v>
      </c>
      <c r="L145" s="172" t="str">
        <f t="shared" si="14"/>
        <v>14. Ko ${pm_name} yana da damar yin hira mu?</v>
      </c>
      <c r="M145" s="172"/>
      <c r="N145" s="172"/>
      <c r="O145" s="172"/>
      <c r="P145" s="172"/>
      <c r="Q145" s="172"/>
      <c r="R145" s="172"/>
      <c r="S145" s="172"/>
      <c r="T145" s="172"/>
      <c r="U145" s="172"/>
      <c r="V145" s="172"/>
      <c r="W145" s="172"/>
      <c r="X145" s="172"/>
      <c r="Y145" s="172"/>
      <c r="Z145" s="172"/>
    </row>
    <row r="146">
      <c r="A146" s="215" t="s">
        <v>399</v>
      </c>
      <c r="B146" s="216" t="s">
        <v>400</v>
      </c>
      <c r="C146" s="216" t="s">
        <v>1248</v>
      </c>
      <c r="D146" s="216" t="s">
        <v>1249</v>
      </c>
      <c r="E146" s="216" t="s">
        <v>1250</v>
      </c>
      <c r="F146" s="182">
        <v>15.0</v>
      </c>
      <c r="G146" s="172" t="str">
        <f>IFERROR(__xludf.DUMMYFUNCTION("TRIM(REGEXREPLACE(C146, ""[0-9]+[a-f]?\."", """"))"),"Enumerator: Please specify why ${pm_name} is not available right now:")</f>
        <v>Enumerator: Please specify why ${pm_name} is not available right now:</v>
      </c>
      <c r="H146" s="172" t="str">
        <f>IFERROR(__xludf.DUMMYFUNCTION("TRIM(REGEXREPLACE(D146, ""[0-9]+[a-f]?\."", """"))"),"Enqueteur: veuillez specifier pourquoi ${pm_name} n'est pas disponible maintenant")</f>
        <v>Enqueteur: veuillez specifier pourquoi ${pm_name} n'est pas disponible maintenant</v>
      </c>
      <c r="I146" s="172" t="str">
        <f>IFERROR(__xludf.DUMMYFUNCTION("TRIM(REGEXREPLACE(E146, ""[0-9]+[a-f]?\."", """"))"),"Dan binkike: dan mine ${pm_name} bai nan a yanzu")</f>
        <v>Dan binkike: dan mine ${pm_name} bai nan a yanzu</v>
      </c>
      <c r="J146" s="172" t="str">
        <f t="shared" ref="J146:L146" si="15">$F146 &amp; ". " &amp;G146</f>
        <v>15. Enumerator: Please specify why ${pm_name} is not available right now:</v>
      </c>
      <c r="K146" s="172" t="str">
        <f t="shared" si="15"/>
        <v>15. Enqueteur: veuillez specifier pourquoi ${pm_name} n'est pas disponible maintenant</v>
      </c>
      <c r="L146" s="172" t="str">
        <f t="shared" si="15"/>
        <v>15. Dan binkike: dan mine ${pm_name} bai nan a yanzu</v>
      </c>
      <c r="M146" s="172"/>
      <c r="N146" s="172"/>
      <c r="O146" s="172"/>
      <c r="P146" s="172"/>
      <c r="Q146" s="172"/>
      <c r="R146" s="172"/>
      <c r="S146" s="172"/>
      <c r="T146" s="172"/>
      <c r="U146" s="172"/>
      <c r="V146" s="172"/>
      <c r="W146" s="172"/>
      <c r="X146" s="172"/>
      <c r="Y146" s="172"/>
      <c r="Z146" s="172"/>
    </row>
    <row r="147" hidden="1">
      <c r="A147" s="172"/>
      <c r="B147" s="174"/>
      <c r="C147" s="174"/>
      <c r="D147" s="174"/>
      <c r="E147" s="174"/>
      <c r="F147" s="175"/>
      <c r="G147" s="172" t="str">
        <f>IFERROR(__xludf.DUMMYFUNCTION("TRIM(REGEXREPLACE(C147, ""[0-9]+[a-f]?\."", """"))"),"")</f>
        <v/>
      </c>
      <c r="H147" s="172" t="str">
        <f>IFERROR(__xludf.DUMMYFUNCTION("TRIM(REGEXREPLACE(D147, ""[0-9]+[a-f]?\."", """"))"),"")</f>
        <v/>
      </c>
      <c r="I147" s="172" t="str">
        <f>IFERROR(__xludf.DUMMYFUNCTION("TRIM(REGEXREPLACE(E147, ""[0-9]+[a-f]?\."", """"))"),"")</f>
        <v/>
      </c>
      <c r="J147" s="172" t="s">
        <v>1257</v>
      </c>
      <c r="K147" s="172" t="s">
        <v>1258</v>
      </c>
      <c r="L147" s="176" t="s">
        <v>1259</v>
      </c>
      <c r="M147" s="172"/>
      <c r="N147" s="172"/>
      <c r="O147" s="172"/>
      <c r="P147" s="172"/>
      <c r="Q147" s="172"/>
      <c r="R147" s="172"/>
      <c r="S147" s="172"/>
      <c r="T147" s="172"/>
      <c r="U147" s="172"/>
      <c r="V147" s="172"/>
      <c r="W147" s="172"/>
      <c r="X147" s="172"/>
      <c r="Y147" s="172"/>
      <c r="Z147" s="172"/>
    </row>
    <row r="148" hidden="1">
      <c r="A148" s="172"/>
      <c r="B148" s="174"/>
      <c r="C148" s="174"/>
      <c r="D148" s="174"/>
      <c r="E148" s="174"/>
      <c r="F148" s="182">
        <v>62.0</v>
      </c>
      <c r="G148" s="172" t="str">
        <f>IFERROR(__xludf.DUMMYFUNCTION("TRIM(REGEXREPLACE(C148, ""[0-9]+[a-f]?\."", """"))"),"")</f>
        <v/>
      </c>
      <c r="H148" s="172" t="str">
        <f>IFERROR(__xludf.DUMMYFUNCTION("TRIM(REGEXREPLACE(D148, ""[0-9]+[a-f]?\."", """"))"),"")</f>
        <v/>
      </c>
      <c r="I148" s="172" t="str">
        <f>IFERROR(__xludf.DUMMYFUNCTION("TRIM(REGEXREPLACE(E148, ""[0-9]+[a-f]?\."", """"))"),"")</f>
        <v/>
      </c>
      <c r="J148" s="172" t="s">
        <v>1265</v>
      </c>
      <c r="K148" s="172" t="s">
        <v>1267</v>
      </c>
      <c r="L148" s="172" t="s">
        <v>1267</v>
      </c>
      <c r="M148" s="172"/>
      <c r="N148" s="172"/>
      <c r="O148" s="172"/>
      <c r="P148" s="172"/>
      <c r="Q148" s="172"/>
      <c r="R148" s="172"/>
      <c r="S148" s="172"/>
      <c r="T148" s="172"/>
      <c r="U148" s="172"/>
      <c r="V148" s="172"/>
      <c r="W148" s="172"/>
      <c r="X148" s="172"/>
      <c r="Y148" s="172"/>
      <c r="Z148" s="172"/>
    </row>
    <row r="149" hidden="1">
      <c r="A149" s="172"/>
      <c r="B149" s="174"/>
      <c r="C149" s="174"/>
      <c r="D149" s="174"/>
      <c r="E149" s="174"/>
      <c r="F149" s="182">
        <v>63.0</v>
      </c>
      <c r="G149" s="172" t="str">
        <f>IFERROR(__xludf.DUMMYFUNCTION("TRIM(REGEXREPLACE(C149, ""[0-9]+[a-f]?\."", """"))"),"")</f>
        <v/>
      </c>
      <c r="H149" s="172" t="str">
        <f>IFERROR(__xludf.DUMMYFUNCTION("TRIM(REGEXREPLACE(D149, ""[0-9]+[a-f]?\."", """"))"),"")</f>
        <v/>
      </c>
      <c r="I149" s="172" t="str">
        <f>IFERROR(__xludf.DUMMYFUNCTION("TRIM(REGEXREPLACE(E149, ""[0-9]+[a-f]?\."", """"))"),"")</f>
        <v/>
      </c>
      <c r="J149" s="172" t="s">
        <v>1281</v>
      </c>
      <c r="K149" s="172" t="s">
        <v>1282</v>
      </c>
      <c r="L149" s="172" t="s">
        <v>1283</v>
      </c>
      <c r="M149" s="172"/>
      <c r="N149" s="172"/>
      <c r="O149" s="172"/>
      <c r="P149" s="172"/>
      <c r="Q149" s="172"/>
      <c r="R149" s="172"/>
      <c r="S149" s="172"/>
      <c r="T149" s="172"/>
      <c r="U149" s="172"/>
      <c r="V149" s="172"/>
      <c r="W149" s="172"/>
      <c r="X149" s="172"/>
      <c r="Y149" s="172"/>
      <c r="Z149" s="172"/>
    </row>
    <row r="150" hidden="1">
      <c r="A150" s="172"/>
      <c r="B150" s="174"/>
      <c r="C150" s="174"/>
      <c r="D150" s="174"/>
      <c r="E150" s="174"/>
      <c r="F150" s="182">
        <v>64.0</v>
      </c>
      <c r="G150" s="172" t="str">
        <f>IFERROR(__xludf.DUMMYFUNCTION("TRIM(REGEXREPLACE(C150, ""[0-9]+[a-f]?\."", """"))"),"")</f>
        <v/>
      </c>
      <c r="H150" s="172" t="str">
        <f>IFERROR(__xludf.DUMMYFUNCTION("TRIM(REGEXREPLACE(D150, ""[0-9]+[a-f]?\."", """"))"),"")</f>
        <v/>
      </c>
      <c r="I150" s="172" t="str">
        <f>IFERROR(__xludf.DUMMYFUNCTION("TRIM(REGEXREPLACE(E150, ""[0-9]+[a-f]?\."", """"))"),"")</f>
        <v/>
      </c>
      <c r="J150" s="172" t="s">
        <v>1291</v>
      </c>
      <c r="K150" s="172" t="s">
        <v>1292</v>
      </c>
      <c r="L150" s="172" t="s">
        <v>1293</v>
      </c>
      <c r="M150" s="172"/>
      <c r="N150" s="172"/>
      <c r="O150" s="172"/>
      <c r="P150" s="172"/>
      <c r="Q150" s="172"/>
      <c r="R150" s="172"/>
      <c r="S150" s="172"/>
      <c r="T150" s="172"/>
      <c r="U150" s="172"/>
      <c r="V150" s="172"/>
      <c r="W150" s="172"/>
      <c r="X150" s="172"/>
      <c r="Y150" s="172"/>
      <c r="Z150" s="172"/>
    </row>
    <row r="151" hidden="1">
      <c r="A151" s="172"/>
      <c r="B151" s="174"/>
      <c r="C151" s="174"/>
      <c r="D151" s="174"/>
      <c r="E151" s="174"/>
      <c r="F151" s="182">
        <v>66.0</v>
      </c>
      <c r="G151" s="172" t="str">
        <f>IFERROR(__xludf.DUMMYFUNCTION("TRIM(REGEXREPLACE(C151, ""[0-9]+[a-f]?\."", """"))"),"")</f>
        <v/>
      </c>
      <c r="H151" s="172" t="str">
        <f>IFERROR(__xludf.DUMMYFUNCTION("TRIM(REGEXREPLACE(D151, ""[0-9]+[a-f]?\."", """"))"),"")</f>
        <v/>
      </c>
      <c r="I151" s="172" t="str">
        <f>IFERROR(__xludf.DUMMYFUNCTION("TRIM(REGEXREPLACE(E151, ""[0-9]+[a-f]?\."", """"))"),"")</f>
        <v/>
      </c>
      <c r="J151" s="172" t="s">
        <v>1301</v>
      </c>
      <c r="K151" s="172" t="s">
        <v>1302</v>
      </c>
      <c r="L151" s="172" t="s">
        <v>1302</v>
      </c>
      <c r="M151" s="172"/>
      <c r="N151" s="172"/>
      <c r="O151" s="172"/>
      <c r="P151" s="172"/>
      <c r="Q151" s="172"/>
      <c r="R151" s="172"/>
      <c r="S151" s="172"/>
      <c r="T151" s="172"/>
      <c r="U151" s="172"/>
      <c r="V151" s="172"/>
      <c r="W151" s="172"/>
      <c r="X151" s="172"/>
      <c r="Y151" s="172"/>
      <c r="Z151" s="172"/>
    </row>
    <row r="152" hidden="1">
      <c r="A152" s="172"/>
      <c r="B152" s="174"/>
      <c r="C152" s="174"/>
      <c r="D152" s="174"/>
      <c r="E152" s="174"/>
      <c r="F152" s="182">
        <v>67.0</v>
      </c>
      <c r="G152" s="172" t="str">
        <f>IFERROR(__xludf.DUMMYFUNCTION("TRIM(REGEXREPLACE(C152, ""[0-9]+[a-f]?\."", """"))"),"")</f>
        <v/>
      </c>
      <c r="H152" s="172" t="str">
        <f>IFERROR(__xludf.DUMMYFUNCTION("TRIM(REGEXREPLACE(D152, ""[0-9]+[a-f]?\."", """"))"),"")</f>
        <v/>
      </c>
      <c r="I152" s="172" t="str">
        <f>IFERROR(__xludf.DUMMYFUNCTION("TRIM(REGEXREPLACE(E152, ""[0-9]+[a-f]?\."", """"))"),"")</f>
        <v/>
      </c>
      <c r="J152" s="172" t="s">
        <v>1307</v>
      </c>
      <c r="K152" s="172" t="s">
        <v>1308</v>
      </c>
      <c r="L152" s="172" t="s">
        <v>1310</v>
      </c>
      <c r="M152" s="172"/>
      <c r="N152" s="172"/>
      <c r="O152" s="172"/>
      <c r="P152" s="172"/>
      <c r="Q152" s="172"/>
      <c r="R152" s="172"/>
      <c r="S152" s="172"/>
      <c r="T152" s="172"/>
      <c r="U152" s="172"/>
      <c r="V152" s="172"/>
      <c r="W152" s="172"/>
      <c r="X152" s="172"/>
      <c r="Y152" s="172"/>
      <c r="Z152" s="172"/>
    </row>
    <row r="153" hidden="1">
      <c r="A153" s="172"/>
      <c r="B153" s="174"/>
      <c r="C153" s="174"/>
      <c r="D153" s="174"/>
      <c r="E153" s="174"/>
      <c r="F153" s="182">
        <v>68.0</v>
      </c>
      <c r="G153" s="172" t="str">
        <f>IFERROR(__xludf.DUMMYFUNCTION("TRIM(REGEXREPLACE(C153, ""[0-9]+[a-f]?\."", """"))"),"")</f>
        <v/>
      </c>
      <c r="H153" s="172" t="str">
        <f>IFERROR(__xludf.DUMMYFUNCTION("TRIM(REGEXREPLACE(D153, ""[0-9]+[a-f]?\."", """"))"),"")</f>
        <v/>
      </c>
      <c r="I153" s="172" t="str">
        <f>IFERROR(__xludf.DUMMYFUNCTION("TRIM(REGEXREPLACE(E153, ""[0-9]+[a-f]?\."", """"))"),"")</f>
        <v/>
      </c>
      <c r="J153" s="172" t="s">
        <v>1318</v>
      </c>
      <c r="K153" s="172" t="s">
        <v>1319</v>
      </c>
      <c r="L153" s="172" t="s">
        <v>1321</v>
      </c>
      <c r="M153" s="172"/>
      <c r="N153" s="172"/>
      <c r="O153" s="172"/>
      <c r="P153" s="172"/>
      <c r="Q153" s="172"/>
      <c r="R153" s="172"/>
      <c r="S153" s="172"/>
      <c r="T153" s="172"/>
      <c r="U153" s="172"/>
      <c r="V153" s="172"/>
      <c r="W153" s="172"/>
      <c r="X153" s="172"/>
      <c r="Y153" s="172"/>
      <c r="Z153" s="172"/>
    </row>
    <row r="154" hidden="1">
      <c r="A154" s="172"/>
      <c r="B154" s="174"/>
      <c r="C154" s="174"/>
      <c r="D154" s="174"/>
      <c r="E154" s="174"/>
      <c r="F154" s="182">
        <v>69.0</v>
      </c>
      <c r="G154" s="172" t="str">
        <f>IFERROR(__xludf.DUMMYFUNCTION("TRIM(REGEXREPLACE(C154, ""[0-9]+[a-f]?\."", """"))"),"")</f>
        <v/>
      </c>
      <c r="H154" s="172" t="str">
        <f>IFERROR(__xludf.DUMMYFUNCTION("TRIM(REGEXREPLACE(D154, ""[0-9]+[a-f]?\."", """"))"),"")</f>
        <v/>
      </c>
      <c r="I154" s="172" t="str">
        <f>IFERROR(__xludf.DUMMYFUNCTION("TRIM(REGEXREPLACE(E154, ""[0-9]+[a-f]?\."", """"))"),"")</f>
        <v/>
      </c>
      <c r="J154" s="172" t="s">
        <v>1327</v>
      </c>
      <c r="K154" s="172" t="s">
        <v>1329</v>
      </c>
      <c r="L154" s="172" t="s">
        <v>1330</v>
      </c>
      <c r="M154" s="172"/>
      <c r="N154" s="172"/>
      <c r="O154" s="172"/>
      <c r="P154" s="172"/>
      <c r="Q154" s="172"/>
      <c r="R154" s="172"/>
      <c r="S154" s="172"/>
      <c r="T154" s="172"/>
      <c r="U154" s="172"/>
      <c r="V154" s="172"/>
      <c r="W154" s="172"/>
      <c r="X154" s="172"/>
      <c r="Y154" s="172"/>
      <c r="Z154" s="172"/>
    </row>
    <row r="155" hidden="1">
      <c r="A155" s="174"/>
      <c r="B155" s="174"/>
      <c r="C155" s="174"/>
      <c r="D155" s="174"/>
      <c r="E155" s="174"/>
      <c r="F155" s="182">
        <v>70.0</v>
      </c>
      <c r="G155" s="172" t="str">
        <f>IFERROR(__xludf.DUMMYFUNCTION("TRIM(REGEXREPLACE(C155, ""[0-9]+[a-f]?\."", """"))"),"")</f>
        <v/>
      </c>
      <c r="H155" s="172" t="str">
        <f>IFERROR(__xludf.DUMMYFUNCTION("TRIM(REGEXREPLACE(D155, ""[0-9]+[a-f]?\."", """"))"),"")</f>
        <v/>
      </c>
      <c r="I155" s="172" t="str">
        <f>IFERROR(__xludf.DUMMYFUNCTION("TRIM(REGEXREPLACE(E155, ""[0-9]+[a-f]?\."", """"))"),"")</f>
        <v/>
      </c>
      <c r="J155" s="172" t="s">
        <v>1336</v>
      </c>
      <c r="K155" s="172" t="s">
        <v>1337</v>
      </c>
      <c r="L155" s="172" t="s">
        <v>1338</v>
      </c>
      <c r="M155" s="172"/>
      <c r="N155" s="172"/>
      <c r="O155" s="172"/>
      <c r="P155" s="172"/>
      <c r="Q155" s="172"/>
      <c r="R155" s="172"/>
      <c r="S155" s="172"/>
      <c r="T155" s="172"/>
      <c r="U155" s="172"/>
      <c r="V155" s="172"/>
      <c r="W155" s="172"/>
      <c r="X155" s="172"/>
      <c r="Y155" s="172"/>
      <c r="Z155" s="172"/>
    </row>
    <row r="156">
      <c r="A156" s="246" t="s">
        <v>231</v>
      </c>
      <c r="B156" s="247" t="s">
        <v>408</v>
      </c>
      <c r="C156" s="247" t="s">
        <v>1344</v>
      </c>
      <c r="D156" s="247" t="s">
        <v>1346</v>
      </c>
      <c r="E156" s="247" t="s">
        <v>1347</v>
      </c>
      <c r="F156" s="182">
        <v>16.0</v>
      </c>
      <c r="G156" s="172" t="str">
        <f>IFERROR(__xludf.DUMMYFUNCTION("TRIM(REGEXREPLACE(C156, ""[0-9]+[a-f]?\."", """"))"),"Other, specify:")</f>
        <v>Other, specify:</v>
      </c>
      <c r="H156" s="172" t="str">
        <f>IFERROR(__xludf.DUMMYFUNCTION("TRIM(REGEXREPLACE(D156, ""[0-9]+[a-f]?\."", """"))"),"Autre précisez:")</f>
        <v>Autre précisez:</v>
      </c>
      <c r="I156" s="172" t="str">
        <f>IFERROR(__xludf.DUMMYFUNCTION("TRIM(REGEXREPLACE(E156, ""[0-9]+[a-f]?\."", """"))"),"Sauran, bayar da cikakkun bayanai:")</f>
        <v>Sauran, bayar da cikakkun bayanai:</v>
      </c>
      <c r="J156" s="172" t="str">
        <f t="shared" ref="J156:L156" si="16">$F156 &amp; ". " &amp;G156</f>
        <v>16. Other, specify:</v>
      </c>
      <c r="K156" s="172" t="str">
        <f t="shared" si="16"/>
        <v>16. Autre précisez:</v>
      </c>
      <c r="L156" s="172" t="str">
        <f t="shared" si="16"/>
        <v>16. Sauran, bayar da cikakkun bayanai:</v>
      </c>
      <c r="M156" s="172"/>
      <c r="N156" s="172"/>
      <c r="O156" s="172"/>
      <c r="P156" s="172"/>
      <c r="Q156" s="172"/>
      <c r="R156" s="172"/>
      <c r="S156" s="172"/>
      <c r="T156" s="172"/>
      <c r="U156" s="172"/>
      <c r="V156" s="172"/>
      <c r="W156" s="172"/>
      <c r="X156" s="172"/>
      <c r="Y156" s="172"/>
      <c r="Z156" s="172"/>
    </row>
    <row r="157" hidden="1">
      <c r="A157" s="211" t="s">
        <v>238</v>
      </c>
      <c r="B157" s="224" t="s">
        <v>94</v>
      </c>
      <c r="C157" s="225"/>
      <c r="D157" s="225"/>
      <c r="E157" s="225"/>
      <c r="F157" s="182">
        <v>67.0</v>
      </c>
      <c r="G157" s="172" t="str">
        <f>IFERROR(__xludf.DUMMYFUNCTION("TRIM(REGEXREPLACE(C157, ""[0-9]+[a-f]?\."", """"))"),"")</f>
        <v/>
      </c>
      <c r="H157" s="172" t="str">
        <f>IFERROR(__xludf.DUMMYFUNCTION("TRIM(REGEXREPLACE(D157, ""[0-9]+[a-f]?\."", """"))"),"")</f>
        <v/>
      </c>
      <c r="I157" s="172" t="str">
        <f>IFERROR(__xludf.DUMMYFUNCTION("TRIM(REGEXREPLACE(E157, ""[0-9]+[a-f]?\."", """"))"),"")</f>
        <v/>
      </c>
      <c r="J157" s="172" t="s">
        <v>1353</v>
      </c>
      <c r="K157" s="172" t="s">
        <v>1308</v>
      </c>
      <c r="L157" s="172" t="s">
        <v>1310</v>
      </c>
      <c r="M157" s="172"/>
      <c r="N157" s="172"/>
      <c r="O157" s="172"/>
      <c r="P157" s="172"/>
      <c r="Q157" s="172"/>
      <c r="R157" s="172"/>
      <c r="S157" s="172"/>
      <c r="T157" s="172"/>
      <c r="U157" s="172"/>
      <c r="V157" s="172"/>
      <c r="W157" s="172"/>
      <c r="X157" s="172"/>
      <c r="Y157" s="172"/>
      <c r="Z157" s="172"/>
    </row>
    <row r="158">
      <c r="A158" s="248" t="s">
        <v>353</v>
      </c>
      <c r="B158" s="249" t="s">
        <v>1358</v>
      </c>
      <c r="C158" s="216" t="s">
        <v>1359</v>
      </c>
      <c r="D158" s="216" t="s">
        <v>1360</v>
      </c>
      <c r="E158" s="216" t="s">
        <v>1362</v>
      </c>
      <c r="F158" s="182">
        <v>17.0</v>
      </c>
      <c r="G158" s="172" t="str">
        <f>IFERROR(__xludf.DUMMYFUNCTION("TRIM(REGEXREPLACE(C158, ""[0-9]+[a-f]?\."", """"))"),"Has the survey team already contacted you over the phone?")</f>
        <v>Has the survey team already contacted you over the phone?</v>
      </c>
      <c r="H158" s="172" t="str">
        <f>IFERROR(__xludf.DUMMYFUNCTION("TRIM(REGEXREPLACE(D158, ""[0-9]+[a-f]?\."", """"))"),"Avez-vous déjà répondu à une enquête par téléphone avec l'équipe d'enquête ?")</f>
        <v>Avez-vous déjà répondu à une enquête par téléphone avec l'équipe d'enquête ?</v>
      </c>
      <c r="I158" s="172" t="str">
        <f>IFERROR(__xludf.DUMMYFUNCTION("TRIM(REGEXREPLACE(E158, ""[0-9]+[a-f]?\."", """"))"),"Ko kun taɓa hira ta wayar salula tare da ƴan bincike?")</f>
        <v>Ko kun taɓa hira ta wayar salula tare da ƴan bincike?</v>
      </c>
      <c r="J158" s="172" t="str">
        <f t="shared" ref="J158:L158" si="17">$F158 &amp; ". " &amp;G158</f>
        <v>17. Has the survey team already contacted you over the phone?</v>
      </c>
      <c r="K158" s="172" t="str">
        <f t="shared" si="17"/>
        <v>17. Avez-vous déjà répondu à une enquête par téléphone avec l'équipe d'enquête ?</v>
      </c>
      <c r="L158" s="172" t="str">
        <f t="shared" si="17"/>
        <v>17. Ko kun taɓa hira ta wayar salula tare da ƴan bincike?</v>
      </c>
      <c r="M158" s="172"/>
      <c r="N158" s="172"/>
      <c r="O158" s="172"/>
      <c r="P158" s="172"/>
      <c r="Q158" s="172"/>
      <c r="R158" s="172"/>
      <c r="S158" s="172"/>
      <c r="T158" s="172"/>
      <c r="U158" s="172"/>
      <c r="V158" s="172"/>
      <c r="W158" s="172"/>
      <c r="X158" s="172"/>
      <c r="Y158" s="172"/>
      <c r="Z158" s="172"/>
    </row>
    <row r="159">
      <c r="A159" s="215" t="s">
        <v>353</v>
      </c>
      <c r="B159" s="216" t="s">
        <v>418</v>
      </c>
      <c r="C159" s="216" t="s">
        <v>1368</v>
      </c>
      <c r="D159" s="216" t="s">
        <v>1369</v>
      </c>
      <c r="E159" s="216" t="s">
        <v>1370</v>
      </c>
      <c r="F159" s="182">
        <v>18.0</v>
      </c>
      <c r="G159" s="172" t="str">
        <f>IFERROR(__xludf.DUMMYFUNCTION("TRIM(REGEXREPLACE(C159, ""[0-9]+[a-f]?\."", """"))"),"&lt;p&gt;&lt;span style=""color: #ff0000;""&gt;&lt;b&gt;ENUMERATOR: Starting now, you will read the questions out loud.&lt;/b&gt;&lt;/span&gt;
 &lt;br&gt; &lt;br&gt; 
 Great, I am visiting to ask you questions to learn about how you have been since the last time you spoke with us.&lt;br&gt; &lt;br&gt; 
 "&amp;"To remind you, we asked your permission to visit you once every 6 months and reach you by phone between our in-person visits. If you complete each in-person survey, we will send you ${treatment_cfa} in phone credit each time. You are free to skip any ques"&amp;"tions you do not wish to answer or to end the survey at any time. &lt;br&gt;&lt;br&gt;
 &lt;b&gt;Can I ask you these questions now?&lt;/b&gt;")</f>
        <v>&lt;p&gt;&lt;span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and reach you by phone between our in-person visits. If you complete each in-person survey, we will send you ${treatment_cfa} in phone credit each time. You are free to skip any questions you do not wish to answer or to end the survey at any time. &lt;br&gt;&lt;br&gt;
 &lt;b&gt;Can I ask you these questions now?&lt;/b&gt;</v>
      </c>
      <c r="H159" s="172" t="str">
        <f>IFERROR(__xludf.DUMMYFUNCTION("TRIM(REGEXREPLACE(D159, ""[0-9]+[a-f]?\."", """"))"),"&lt;p&gt;&lt;span style=""color: #ff0000;""&gt;&lt;b&gt;ENQUETEUR : À partir de maintenant, vous lirez les questions à haute voix.&lt;/b&gt;&lt;/span&gt;
 &lt;br&gt; &lt;br&gt; 
 Super, je viens vous poser des questions afin de savoir comment vous allez depuis la dernière fois que vous nous ave"&amp;"z parlé.
 &lt;br&gt; &lt;br&gt; 
 Pour rappel, nous avons demandé votre autorisation pour vous rendre visite une fois tous les 6 mois. Si vous répondez à chaque enquête en personne, nous vous enverrons à chaque fois ${treatment_cfa} de crédit téléphonique. Vous ête"&amp;"s libre de sauter les questions auxquelles vous ne souhaitez pas répondre ou de mettre fin à l'enquête à tout moment.&lt;br&gt;&lt;br&gt;
 &lt;b&gt;Puis-je vous poser ces questions maintenant?&lt;/b&gt;")</f>
        <v>&lt;p&gt;&lt;span style="color: #ff0000;"&gt;&lt;b&gt;ENQUETEUR : À partir de maintenant, vous lirez les questions à haute voix.&lt;/b&gt;&lt;/span&gt;
 &lt;br&gt; &lt;br&gt; 
 Super, je viens vous poser des questions afin de savoir comment vous allez depuis la dernière fois que vous nous avez parlé.
 &lt;br&gt; &lt;br&gt; 
 Pour rappel, nous avons demandé votre autorisation pour vous rendre visite une fois tous les 6 mois. Si vous répondez à chaque enquête en personne, nous vous enverrons à chaque fois ${treatment_cfa} de crédit téléphonique. Vous êtes libre de sauter les questions auxquelles vous ne souhaitez pas répondre ou de mettre fin à l'enquête à tout moment.&lt;br&gt;&lt;br&gt;
 &lt;b&gt;Puis-je vous poser ces questions maintenant?&lt;/b&gt;</v>
      </c>
      <c r="I159" s="172" t="str">
        <f>IFERROR(__xludf.DUMMYFUNCTION("TRIM(REGEXREPLACE(E159, ""[0-9]+[a-f]?\."", """"))"),"&lt;p&gt;&lt;span style=""color: #ff0000;""&gt;&lt;b&gt;Mai bincike: Daga yanzu, za ka karanta tambayoyin da babbar murya.&lt;/b&gt;&lt;/span&gt;
 &lt;br&gt; &lt;br&gt; 
 Madalla, na ziyarce ku ne domin in yi muku tambayoyi don sanin yadda kuka kasance tun lokacin da kuka yi magana da mu.&lt;br&gt; &lt;"&amp;"br&gt; 
 Don tunatar da ku, mun nemi izinin ku don ziyartar ku sau ɗaya a kowane watanni Idan kun bada amsa ga kowane binciken na gaba da gaba, za mu aika muku ${treatment_cfa} a kuɗin waya kowane lokaci. Kuna da ƴanci tsallake kowace tambaya idan ba ku so"&amp;" bada amsa ba ko tsaida binciken gaba ɗaya a kowane lokaci.&lt;br&gt;&lt;br&gt;
 &lt;b&gt;Zan iya yi muku wadannan tambayoyin yanzu?&lt;/b&gt;")</f>
        <v>&lt;p&gt;&lt;span style="color: #ff0000;"&gt;&lt;b&gt;Mai bincike: Daga yanzu, za ka karanta tambayoyin da babbar murya.&lt;/b&gt;&lt;/span&gt;
 &lt;br&gt; &lt;br&gt; 
 Madalla, na ziyarce ku ne domin in yi muku tambayoyi don sanin yadda kuka kasance tun lokacin da kuka yi magana da mu.&lt;br&gt; &lt;br&gt; 
 Don tunatar da ku, mun nemi izinin ku don ziyartar ku sau ɗaya a kowane watanni Idan kun bada amsa ga kowane binciken na gaba da gaba, za mu aika muku ${treatment_cfa} a kuɗin waya kowane lokaci. Kuna da ƴanci tsallake kowace tambaya idan ba ku so bada amsa ba ko tsaida binciken gaba ɗaya a kowane lokaci.&lt;br&gt;&lt;br&gt;
 &lt;b&gt;Zan iya yi muku wadannan tambayoyin yanzu?&lt;/b&gt;</v>
      </c>
      <c r="J159" s="172" t="str">
        <f t="shared" ref="J159:L159" si="18">$F159 &amp; ". " &amp;G159</f>
        <v>18. &lt;p&gt;&lt;span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and reach you by phone between our in-person visits. If you complete each in-person survey, we will send you ${treatment_cfa} in phone credit each time. You are free to skip any questions you do not wish to answer or to end the survey at any time. &lt;br&gt;&lt;br&gt;
 &lt;b&gt;Can I ask you these questions now?&lt;/b&gt;</v>
      </c>
      <c r="K159" s="172" t="str">
        <f t="shared" si="18"/>
        <v>18. &lt;p&gt;&lt;span style="color: #ff0000;"&gt;&lt;b&gt;ENQUETEUR : À partir de maintenant, vous lirez les questions à haute voix.&lt;/b&gt;&lt;/span&gt;
 &lt;br&gt; &lt;br&gt; 
 Super, je viens vous poser des questions afin de savoir comment vous allez depuis la dernière fois que vous nous avez parlé.
 &lt;br&gt; &lt;br&gt; 
 Pour rappel, nous avons demandé votre autorisation pour vous rendre visite une fois tous les 6 mois. Si vous répondez à chaque enquête en personne, nous vous enverrons à chaque fois ${treatment_cfa} de crédit téléphonique. Vous êtes libre de sauter les questions auxquelles vous ne souhaitez pas répondre ou de mettre fin à l'enquête à tout moment.&lt;br&gt;&lt;br&gt;
 &lt;b&gt;Puis-je vous poser ces questions maintenant?&lt;/b&gt;</v>
      </c>
      <c r="L159" s="172" t="str">
        <f t="shared" si="18"/>
        <v>18. &lt;p&gt;&lt;span style="color: #ff0000;"&gt;&lt;b&gt;Mai bincike: Daga yanzu, za ka karanta tambayoyin da babbar murya.&lt;/b&gt;&lt;/span&gt;
 &lt;br&gt; &lt;br&gt; 
 Madalla, na ziyarce ku ne domin in yi muku tambayoyi don sanin yadda kuka kasance tun lokacin da kuka yi magana da mu.&lt;br&gt; &lt;br&gt; 
 Don tunatar da ku, mun nemi izinin ku don ziyartar ku sau ɗaya a kowane watanni Idan kun bada amsa ga kowane binciken na gaba da gaba, za mu aika muku ${treatment_cfa} a kuɗin waya kowane lokaci. Kuna da ƴanci tsallake kowace tambaya idan ba ku so bada amsa ba ko tsaida binciken gaba ɗaya a kowane lokaci.&lt;br&gt;&lt;br&gt;
 &lt;b&gt;Zan iya yi muku wadannan tambayoyin yanzu?&lt;/b&gt;</v>
      </c>
      <c r="M159" s="172"/>
      <c r="N159" s="172"/>
      <c r="O159" s="172"/>
      <c r="P159" s="172"/>
      <c r="Q159" s="172"/>
      <c r="R159" s="172"/>
      <c r="S159" s="172"/>
      <c r="T159" s="172"/>
      <c r="U159" s="172"/>
      <c r="V159" s="172"/>
      <c r="W159" s="172"/>
      <c r="X159" s="172"/>
      <c r="Y159" s="172"/>
      <c r="Z159" s="172"/>
    </row>
    <row r="160" hidden="1">
      <c r="A160" s="188" t="s">
        <v>118</v>
      </c>
      <c r="B160" s="189" t="s">
        <v>423</v>
      </c>
      <c r="C160" s="190"/>
      <c r="D160" s="190"/>
      <c r="E160" s="190"/>
      <c r="F160" s="182">
        <v>70.0</v>
      </c>
      <c r="G160" s="172" t="str">
        <f>IFERROR(__xludf.DUMMYFUNCTION("TRIM(REGEXREPLACE(C160, ""[0-9]+[a-f]?\."", """"))"),"")</f>
        <v/>
      </c>
      <c r="H160" s="172" t="str">
        <f>IFERROR(__xludf.DUMMYFUNCTION("TRIM(REGEXREPLACE(D160, ""[0-9]+[a-f]?\."", """"))"),"")</f>
        <v/>
      </c>
      <c r="I160" s="172" t="str">
        <f>IFERROR(__xludf.DUMMYFUNCTION("TRIM(REGEXREPLACE(E160, ""[0-9]+[a-f]?\."", """"))"),"")</f>
        <v/>
      </c>
      <c r="J160" s="172" t="s">
        <v>1336</v>
      </c>
      <c r="K160" s="172" t="s">
        <v>1337</v>
      </c>
      <c r="L160" s="172" t="s">
        <v>1338</v>
      </c>
      <c r="M160" s="172"/>
      <c r="N160" s="172"/>
      <c r="O160" s="172"/>
      <c r="P160" s="172"/>
      <c r="Q160" s="172"/>
      <c r="R160" s="172"/>
      <c r="S160" s="172"/>
      <c r="T160" s="172"/>
      <c r="U160" s="172"/>
      <c r="V160" s="172"/>
      <c r="W160" s="172"/>
      <c r="X160" s="172"/>
      <c r="Y160" s="172"/>
      <c r="Z160" s="172"/>
    </row>
    <row r="161" hidden="1">
      <c r="A161" s="188" t="s">
        <v>68</v>
      </c>
      <c r="B161" s="189" t="s">
        <v>430</v>
      </c>
      <c r="C161" s="190"/>
      <c r="D161" s="190"/>
      <c r="E161" s="190"/>
      <c r="F161" s="182">
        <v>71.0</v>
      </c>
      <c r="G161" s="172" t="str">
        <f>IFERROR(__xludf.DUMMYFUNCTION("TRIM(REGEXREPLACE(C161, ""[0-9]+[a-f]?\."", """"))"),"")</f>
        <v/>
      </c>
      <c r="H161" s="172" t="str">
        <f>IFERROR(__xludf.DUMMYFUNCTION("TRIM(REGEXREPLACE(D161, ""[0-9]+[a-f]?\."", """"))"),"")</f>
        <v/>
      </c>
      <c r="I161" s="172" t="str">
        <f>IFERROR(__xludf.DUMMYFUNCTION("TRIM(REGEXREPLACE(E161, ""[0-9]+[a-f]?\."", """"))"),"")</f>
        <v/>
      </c>
      <c r="J161" s="172" t="s">
        <v>1377</v>
      </c>
      <c r="K161" s="172" t="s">
        <v>1378</v>
      </c>
      <c r="L161" s="172" t="s">
        <v>1379</v>
      </c>
      <c r="M161" s="172"/>
      <c r="N161" s="172"/>
      <c r="O161" s="172"/>
      <c r="P161" s="172"/>
      <c r="Q161" s="172"/>
      <c r="R161" s="172"/>
      <c r="S161" s="172"/>
      <c r="T161" s="172"/>
      <c r="U161" s="172"/>
      <c r="V161" s="172"/>
      <c r="W161" s="172"/>
      <c r="X161" s="172"/>
      <c r="Y161" s="172"/>
      <c r="Z161" s="172"/>
    </row>
    <row r="162" hidden="1">
      <c r="A162" s="211" t="s">
        <v>107</v>
      </c>
      <c r="B162" s="212" t="s">
        <v>435</v>
      </c>
      <c r="C162" s="212" t="s">
        <v>436</v>
      </c>
      <c r="D162" s="214"/>
      <c r="E162" s="214"/>
      <c r="F162" s="182">
        <v>72.0</v>
      </c>
      <c r="G162" s="172" t="str">
        <f>IFERROR(__xludf.DUMMYFUNCTION("TRIM(REGEXREPLACE(C162, ""[0-9]+[a-f]?\."", """"))"),"Consent: Yes")</f>
        <v>Consent: Yes</v>
      </c>
      <c r="H162" s="172" t="str">
        <f>IFERROR(__xludf.DUMMYFUNCTION("TRIM(REGEXREPLACE(D162, ""[0-9]+[a-f]?\."", """"))"),"")</f>
        <v/>
      </c>
      <c r="I162" s="172" t="str">
        <f>IFERROR(__xludf.DUMMYFUNCTION("TRIM(REGEXREPLACE(E162, ""[0-9]+[a-f]?\."", """"))"),"")</f>
        <v/>
      </c>
      <c r="J162" s="172" t="s">
        <v>1383</v>
      </c>
      <c r="K162" s="172" t="s">
        <v>1384</v>
      </c>
      <c r="L162" s="172" t="s">
        <v>1385</v>
      </c>
      <c r="M162" s="172"/>
      <c r="N162" s="172"/>
      <c r="O162" s="172"/>
      <c r="P162" s="172"/>
      <c r="Q162" s="172"/>
      <c r="R162" s="172"/>
      <c r="S162" s="172"/>
      <c r="T162" s="172"/>
      <c r="U162" s="172"/>
      <c r="V162" s="172"/>
      <c r="W162" s="172"/>
      <c r="X162" s="172"/>
      <c r="Y162" s="172"/>
      <c r="Z162" s="172"/>
    </row>
    <row r="163" hidden="1">
      <c r="A163" s="211" t="s">
        <v>107</v>
      </c>
      <c r="B163" s="212" t="s">
        <v>440</v>
      </c>
      <c r="C163" s="214"/>
      <c r="D163" s="214"/>
      <c r="E163" s="214"/>
      <c r="F163" s="182">
        <v>73.0</v>
      </c>
      <c r="G163" s="172" t="str">
        <f>IFERROR(__xludf.DUMMYFUNCTION("TRIM(REGEXREPLACE(C163, ""[0-9]+[a-f]?\."", """"))"),"")</f>
        <v/>
      </c>
      <c r="H163" s="172" t="str">
        <f>IFERROR(__xludf.DUMMYFUNCTION("TRIM(REGEXREPLACE(D163, ""[0-9]+[a-f]?\."", """"))"),"")</f>
        <v/>
      </c>
      <c r="I163" s="172" t="str">
        <f>IFERROR(__xludf.DUMMYFUNCTION("TRIM(REGEXREPLACE(E163, ""[0-9]+[a-f]?\."", """"))"),"")</f>
        <v/>
      </c>
      <c r="J163" s="172" t="s">
        <v>1389</v>
      </c>
      <c r="K163" s="172" t="s">
        <v>1390</v>
      </c>
      <c r="L163" s="172" t="s">
        <v>1390</v>
      </c>
      <c r="M163" s="172"/>
      <c r="N163" s="172"/>
      <c r="O163" s="172"/>
      <c r="P163" s="172"/>
      <c r="Q163" s="172"/>
      <c r="R163" s="172"/>
      <c r="S163" s="172"/>
      <c r="T163" s="172"/>
      <c r="U163" s="172"/>
      <c r="V163" s="172"/>
      <c r="W163" s="172"/>
      <c r="X163" s="172"/>
      <c r="Y163" s="172"/>
      <c r="Z163" s="172"/>
    </row>
    <row r="164" hidden="1">
      <c r="A164" s="174"/>
      <c r="B164" s="174"/>
      <c r="C164" s="174"/>
      <c r="D164" s="174"/>
      <c r="E164" s="174"/>
      <c r="F164" s="182">
        <v>74.0</v>
      </c>
      <c r="G164" s="172" t="str">
        <f>IFERROR(__xludf.DUMMYFUNCTION("TRIM(REGEXREPLACE(C164, ""[0-9]+[a-f]?\."", """"))"),"")</f>
        <v/>
      </c>
      <c r="H164" s="172" t="str">
        <f>IFERROR(__xludf.DUMMYFUNCTION("TRIM(REGEXREPLACE(D164, ""[0-9]+[a-f]?\."", """"))"),"")</f>
        <v/>
      </c>
      <c r="I164" s="172" t="str">
        <f>IFERROR(__xludf.DUMMYFUNCTION("TRIM(REGEXREPLACE(E164, ""[0-9]+[a-f]?\."", """"))"),"")</f>
        <v/>
      </c>
      <c r="J164" s="172" t="s">
        <v>1391</v>
      </c>
      <c r="K164" s="172" t="s">
        <v>1392</v>
      </c>
      <c r="L164" s="172" t="s">
        <v>1393</v>
      </c>
      <c r="M164" s="172"/>
      <c r="N164" s="172"/>
      <c r="O164" s="172"/>
      <c r="P164" s="172"/>
      <c r="Q164" s="172"/>
      <c r="R164" s="172"/>
      <c r="S164" s="172"/>
      <c r="T164" s="172"/>
      <c r="U164" s="172"/>
      <c r="V164" s="172"/>
      <c r="W164" s="172"/>
      <c r="X164" s="172"/>
      <c r="Y164" s="172"/>
      <c r="Z164" s="172"/>
    </row>
    <row r="165" hidden="1">
      <c r="A165" s="172"/>
      <c r="B165" s="174"/>
      <c r="C165" s="174"/>
      <c r="D165" s="174"/>
      <c r="E165" s="174"/>
      <c r="F165" s="182">
        <v>77.0</v>
      </c>
      <c r="G165" s="172" t="str">
        <f>IFERROR(__xludf.DUMMYFUNCTION("TRIM(REGEXREPLACE(C165, ""[0-9]+[a-f]?\."", """"))"),"")</f>
        <v/>
      </c>
      <c r="H165" s="172" t="str">
        <f>IFERROR(__xludf.DUMMYFUNCTION("TRIM(REGEXREPLACE(D165, ""[0-9]+[a-f]?\."", """"))"),"")</f>
        <v/>
      </c>
      <c r="I165" s="172" t="str">
        <f>IFERROR(__xludf.DUMMYFUNCTION("TRIM(REGEXREPLACE(E165, ""[0-9]+[a-f]?\."", """"))"),"")</f>
        <v/>
      </c>
      <c r="J165" s="172" t="s">
        <v>1397</v>
      </c>
      <c r="K165" s="172" t="s">
        <v>1398</v>
      </c>
      <c r="L165" s="172" t="s">
        <v>1398</v>
      </c>
      <c r="M165" s="172"/>
      <c r="N165" s="172"/>
      <c r="O165" s="172"/>
      <c r="P165" s="172"/>
      <c r="Q165" s="172"/>
      <c r="R165" s="172"/>
      <c r="S165" s="172"/>
      <c r="T165" s="172"/>
      <c r="U165" s="172"/>
      <c r="V165" s="172"/>
      <c r="W165" s="172"/>
      <c r="X165" s="172"/>
      <c r="Y165" s="172"/>
      <c r="Z165" s="172"/>
    </row>
    <row r="166" hidden="1">
      <c r="A166" s="172"/>
      <c r="B166" s="174"/>
      <c r="C166" s="174"/>
      <c r="D166" s="174"/>
      <c r="E166" s="174"/>
      <c r="F166" s="182">
        <v>78.0</v>
      </c>
      <c r="G166" s="172" t="str">
        <f>IFERROR(__xludf.DUMMYFUNCTION("TRIM(REGEXREPLACE(C166, ""[0-9]+[a-f]?\."", """"))"),"")</f>
        <v/>
      </c>
      <c r="H166" s="172" t="str">
        <f>IFERROR(__xludf.DUMMYFUNCTION("TRIM(REGEXREPLACE(D166, ""[0-9]+[a-f]?\."", """"))"),"")</f>
        <v/>
      </c>
      <c r="I166" s="172" t="str">
        <f>IFERROR(__xludf.DUMMYFUNCTION("TRIM(REGEXREPLACE(E166, ""[0-9]+[a-f]?\."", """"))"),"")</f>
        <v/>
      </c>
      <c r="J166" s="172" t="s">
        <v>1402</v>
      </c>
      <c r="K166" s="172" t="s">
        <v>1403</v>
      </c>
      <c r="L166" s="172" t="s">
        <v>1403</v>
      </c>
      <c r="M166" s="172"/>
      <c r="N166" s="172"/>
      <c r="O166" s="172"/>
      <c r="P166" s="172"/>
      <c r="Q166" s="172"/>
      <c r="R166" s="172"/>
      <c r="S166" s="172"/>
      <c r="T166" s="172"/>
      <c r="U166" s="172"/>
      <c r="V166" s="172"/>
      <c r="W166" s="172"/>
      <c r="X166" s="172"/>
      <c r="Y166" s="172"/>
      <c r="Z166" s="172"/>
    </row>
    <row r="167" hidden="1">
      <c r="A167" s="172"/>
      <c r="B167" s="174"/>
      <c r="C167" s="174"/>
      <c r="D167" s="174"/>
      <c r="E167" s="174"/>
      <c r="F167" s="182">
        <v>79.0</v>
      </c>
      <c r="G167" s="172" t="str">
        <f>IFERROR(__xludf.DUMMYFUNCTION("TRIM(REGEXREPLACE(C167, ""[0-9]+[a-f]?\."", """"))"),"")</f>
        <v/>
      </c>
      <c r="H167" s="172" t="str">
        <f>IFERROR(__xludf.DUMMYFUNCTION("TRIM(REGEXREPLACE(D167, ""[0-9]+[a-f]?\."", """"))"),"")</f>
        <v/>
      </c>
      <c r="I167" s="172" t="str">
        <f>IFERROR(__xludf.DUMMYFUNCTION("TRIM(REGEXREPLACE(E167, ""[0-9]+[a-f]?\."", """"))"),"")</f>
        <v/>
      </c>
      <c r="J167" s="172" t="s">
        <v>1404</v>
      </c>
      <c r="K167" s="172" t="s">
        <v>1405</v>
      </c>
      <c r="L167" s="172" t="s">
        <v>1405</v>
      </c>
      <c r="M167" s="172"/>
      <c r="N167" s="172"/>
      <c r="O167" s="172"/>
      <c r="P167" s="172"/>
      <c r="Q167" s="172"/>
      <c r="R167" s="172"/>
      <c r="S167" s="172"/>
      <c r="T167" s="172"/>
      <c r="U167" s="172"/>
      <c r="V167" s="172"/>
      <c r="W167" s="172"/>
      <c r="X167" s="172"/>
      <c r="Y167" s="172"/>
      <c r="Z167" s="172"/>
    </row>
    <row r="168" hidden="1">
      <c r="A168" s="172"/>
      <c r="B168" s="174"/>
      <c r="C168" s="174"/>
      <c r="D168" s="174"/>
      <c r="E168" s="174"/>
      <c r="F168" s="182">
        <v>80.0</v>
      </c>
      <c r="G168" s="172" t="str">
        <f>IFERROR(__xludf.DUMMYFUNCTION("TRIM(REGEXREPLACE(C168, ""[0-9]+[a-f]?\."", """"))"),"")</f>
        <v/>
      </c>
      <c r="H168" s="172" t="str">
        <f>IFERROR(__xludf.DUMMYFUNCTION("TRIM(REGEXREPLACE(D168, ""[0-9]+[a-f]?\."", """"))"),"")</f>
        <v/>
      </c>
      <c r="I168" s="172" t="str">
        <f>IFERROR(__xludf.DUMMYFUNCTION("TRIM(REGEXREPLACE(E168, ""[0-9]+[a-f]?\."", """"))"),"")</f>
        <v/>
      </c>
      <c r="J168" s="172" t="s">
        <v>1408</v>
      </c>
      <c r="K168" s="172" t="s">
        <v>1409</v>
      </c>
      <c r="L168" s="172" t="s">
        <v>1409</v>
      </c>
      <c r="M168" s="172"/>
      <c r="N168" s="172"/>
      <c r="O168" s="172"/>
      <c r="P168" s="172"/>
      <c r="Q168" s="172"/>
      <c r="R168" s="172"/>
      <c r="S168" s="172"/>
      <c r="T168" s="172"/>
      <c r="U168" s="172"/>
      <c r="V168" s="172"/>
      <c r="W168" s="172"/>
      <c r="X168" s="172"/>
      <c r="Y168" s="172"/>
      <c r="Z168" s="172"/>
    </row>
    <row r="169" hidden="1">
      <c r="A169" s="172"/>
      <c r="B169" s="174"/>
      <c r="C169" s="174"/>
      <c r="D169" s="174"/>
      <c r="E169" s="174"/>
      <c r="F169" s="182">
        <v>81.0</v>
      </c>
      <c r="G169" s="172" t="str">
        <f>IFERROR(__xludf.DUMMYFUNCTION("TRIM(REGEXREPLACE(C169, ""[0-9]+[a-f]?\."", """"))"),"")</f>
        <v/>
      </c>
      <c r="H169" s="172" t="str">
        <f>IFERROR(__xludf.DUMMYFUNCTION("TRIM(REGEXREPLACE(D169, ""[0-9]+[a-f]?\."", """"))"),"")</f>
        <v/>
      </c>
      <c r="I169" s="172" t="str">
        <f>IFERROR(__xludf.DUMMYFUNCTION("TRIM(REGEXREPLACE(E169, ""[0-9]+[a-f]?\."", """"))"),"")</f>
        <v/>
      </c>
      <c r="J169" s="172" t="s">
        <v>1413</v>
      </c>
      <c r="K169" s="172" t="s">
        <v>1414</v>
      </c>
      <c r="L169" s="172" t="s">
        <v>1414</v>
      </c>
      <c r="M169" s="172"/>
      <c r="N169" s="172"/>
      <c r="O169" s="172"/>
      <c r="P169" s="172"/>
      <c r="Q169" s="172"/>
      <c r="R169" s="172"/>
      <c r="S169" s="172"/>
      <c r="T169" s="172"/>
      <c r="U169" s="172"/>
      <c r="V169" s="172"/>
      <c r="W169" s="172"/>
      <c r="X169" s="172"/>
      <c r="Y169" s="172"/>
      <c r="Z169" s="172"/>
    </row>
    <row r="170" hidden="1">
      <c r="A170" s="188" t="s">
        <v>118</v>
      </c>
      <c r="B170" s="189" t="s">
        <v>446</v>
      </c>
      <c r="C170" s="190"/>
      <c r="D170" s="190"/>
      <c r="E170" s="190"/>
      <c r="F170" s="182">
        <v>75.0</v>
      </c>
      <c r="G170" s="172" t="str">
        <f>IFERROR(__xludf.DUMMYFUNCTION("TRIM(REGEXREPLACE(C170, ""[0-9]+[a-f]?\."", """"))"),"")</f>
        <v/>
      </c>
      <c r="H170" s="172" t="str">
        <f>IFERROR(__xludf.DUMMYFUNCTION("TRIM(REGEXREPLACE(D170, ""[0-9]+[a-f]?\."", """"))"),"")</f>
        <v/>
      </c>
      <c r="I170" s="172" t="str">
        <f>IFERROR(__xludf.DUMMYFUNCTION("TRIM(REGEXREPLACE(E170, ""[0-9]+[a-f]?\."", """"))"),"")</f>
        <v/>
      </c>
      <c r="J170" s="172" t="s">
        <v>1417</v>
      </c>
      <c r="K170" s="172" t="s">
        <v>1418</v>
      </c>
      <c r="L170" s="172" t="s">
        <v>1419</v>
      </c>
      <c r="M170" s="172"/>
      <c r="N170" s="172"/>
      <c r="O170" s="172"/>
      <c r="P170" s="172"/>
      <c r="Q170" s="172"/>
      <c r="R170" s="172"/>
      <c r="S170" s="172"/>
      <c r="T170" s="172"/>
      <c r="U170" s="172"/>
      <c r="V170" s="172"/>
      <c r="W170" s="172"/>
      <c r="X170" s="172"/>
      <c r="Y170" s="172"/>
      <c r="Z170" s="172"/>
    </row>
    <row r="171" hidden="1">
      <c r="A171" s="211" t="s">
        <v>107</v>
      </c>
      <c r="B171" s="212" t="s">
        <v>451</v>
      </c>
      <c r="C171" s="212" t="s">
        <v>452</v>
      </c>
      <c r="D171" s="214"/>
      <c r="E171" s="214"/>
      <c r="F171" s="182">
        <v>76.0</v>
      </c>
      <c r="G171" s="172" t="str">
        <f>IFERROR(__xludf.DUMMYFUNCTION("TRIM(REGEXREPLACE(C171, ""[0-9]+[a-f]?\."", """"))"),"PM Questionnaire")</f>
        <v>PM Questionnaire</v>
      </c>
      <c r="H171" s="172" t="str">
        <f>IFERROR(__xludf.DUMMYFUNCTION("TRIM(REGEXREPLACE(D171, ""[0-9]+[a-f]?\."", """"))"),"")</f>
        <v/>
      </c>
      <c r="I171" s="172" t="str">
        <f>IFERROR(__xludf.DUMMYFUNCTION("TRIM(REGEXREPLACE(E171, ""[0-9]+[a-f]?\."", """"))"),"")</f>
        <v/>
      </c>
      <c r="J171" s="172" t="s">
        <v>1420</v>
      </c>
      <c r="K171" s="172" t="s">
        <v>1421</v>
      </c>
      <c r="L171" s="172" t="s">
        <v>1423</v>
      </c>
      <c r="M171" s="172"/>
      <c r="N171" s="172"/>
      <c r="O171" s="172"/>
      <c r="P171" s="172"/>
      <c r="Q171" s="172"/>
      <c r="R171" s="172"/>
      <c r="S171" s="172"/>
      <c r="T171" s="172"/>
      <c r="U171" s="172"/>
      <c r="V171" s="172"/>
      <c r="W171" s="172"/>
      <c r="X171" s="172"/>
      <c r="Y171" s="172"/>
      <c r="Z171" s="172"/>
    </row>
    <row r="172">
      <c r="A172" s="207" t="s">
        <v>41</v>
      </c>
      <c r="B172" s="208" t="s">
        <v>457</v>
      </c>
      <c r="C172" s="208" t="s">
        <v>870</v>
      </c>
      <c r="D172" s="208" t="s">
        <v>873</v>
      </c>
      <c r="E172" s="208" t="s">
        <v>1425</v>
      </c>
      <c r="F172" s="182">
        <v>19.0</v>
      </c>
      <c r="G172" s="172" t="str">
        <f>IFERROR(__xludf.DUMMYFUNCTION("TRIM(REGEXREPLACE(C172, ""[0-9]+[a-f]?\."", """"))"),"PM Questions")</f>
        <v>PM Questions</v>
      </c>
      <c r="H172" s="172" t="str">
        <f>IFERROR(__xludf.DUMMYFUNCTION("TRIM(REGEXREPLACE(D172, ""[0-9]+[a-f]?\."", """"))"),"Questions du Migrant potentiel")</f>
        <v>Questions du Migrant potentiel</v>
      </c>
      <c r="I172" s="172" t="str">
        <f>IFERROR(__xludf.DUMMYFUNCTION("TRIM(REGEXREPLACE(E172, ""[0-9]+[a-f]?\."", """"))"),"Tambayoyin mai zuwa biɗa")</f>
        <v>Tambayoyin mai zuwa biɗa</v>
      </c>
      <c r="J172" s="172" t="str">
        <f t="shared" ref="J172:L172" si="19">$F172 &amp; ". " &amp;G172</f>
        <v>19. PM Questions</v>
      </c>
      <c r="K172" s="172" t="str">
        <f t="shared" si="19"/>
        <v>19. Questions du Migrant potentiel</v>
      </c>
      <c r="L172" s="172" t="str">
        <f t="shared" si="19"/>
        <v>19. Tambayoyin mai zuwa biɗa</v>
      </c>
      <c r="M172" s="172"/>
      <c r="N172" s="172"/>
      <c r="O172" s="172"/>
      <c r="P172" s="172"/>
      <c r="Q172" s="172"/>
      <c r="R172" s="172"/>
      <c r="S172" s="172"/>
      <c r="T172" s="172"/>
      <c r="U172" s="172"/>
      <c r="V172" s="172"/>
      <c r="W172" s="172"/>
      <c r="X172" s="172"/>
      <c r="Y172" s="172"/>
      <c r="Z172" s="172"/>
    </row>
    <row r="173" hidden="1">
      <c r="A173" s="211" t="s">
        <v>107</v>
      </c>
      <c r="B173" s="212" t="s">
        <v>1429</v>
      </c>
      <c r="C173" s="212" t="s">
        <v>1430</v>
      </c>
      <c r="D173" s="214"/>
      <c r="E173" s="214"/>
      <c r="F173" s="182">
        <v>78.0</v>
      </c>
      <c r="G173" s="172" t="str">
        <f>IFERROR(__xludf.DUMMYFUNCTION("TRIM(REGEXREPLACE(C173, ""[0-9]+[a-f]?\."", """"))"),"Missed Previous Followup")</f>
        <v>Missed Previous Followup</v>
      </c>
      <c r="H173" s="172" t="str">
        <f>IFERROR(__xludf.DUMMYFUNCTION("TRIM(REGEXREPLACE(D173, ""[0-9]+[a-f]?\."", """"))"),"")</f>
        <v/>
      </c>
      <c r="I173" s="172" t="str">
        <f>IFERROR(__xludf.DUMMYFUNCTION("TRIM(REGEXREPLACE(E173, ""[0-9]+[a-f]?\."", """"))"),"")</f>
        <v/>
      </c>
      <c r="J173" s="172" t="s">
        <v>1431</v>
      </c>
      <c r="K173" s="172" t="s">
        <v>1432</v>
      </c>
      <c r="L173" s="172" t="s">
        <v>1433</v>
      </c>
      <c r="M173" s="172"/>
      <c r="N173" s="172"/>
      <c r="O173" s="172"/>
      <c r="P173" s="172"/>
      <c r="Q173" s="172"/>
      <c r="R173" s="172"/>
      <c r="S173" s="172"/>
      <c r="T173" s="172"/>
      <c r="U173" s="172"/>
      <c r="V173" s="172"/>
      <c r="W173" s="172"/>
      <c r="X173" s="172"/>
      <c r="Y173" s="172"/>
      <c r="Z173" s="172"/>
    </row>
    <row r="174" hidden="1">
      <c r="A174" s="188" t="s">
        <v>118</v>
      </c>
      <c r="B174" s="189" t="s">
        <v>1435</v>
      </c>
      <c r="C174" s="190"/>
      <c r="D174" s="190"/>
      <c r="E174" s="190"/>
      <c r="F174" s="182">
        <v>79.0</v>
      </c>
      <c r="G174" s="172" t="str">
        <f>IFERROR(__xludf.DUMMYFUNCTION("TRIM(REGEXREPLACE(C174, ""[0-9]+[a-f]?\."", """"))"),"")</f>
        <v/>
      </c>
      <c r="H174" s="172" t="str">
        <f>IFERROR(__xludf.DUMMYFUNCTION("TRIM(REGEXREPLACE(D174, ""[0-9]+[a-f]?\."", """"))"),"")</f>
        <v/>
      </c>
      <c r="I174" s="172" t="str">
        <f>IFERROR(__xludf.DUMMYFUNCTION("TRIM(REGEXREPLACE(E174, ""[0-9]+[a-f]?\."", """"))"),"")</f>
        <v/>
      </c>
      <c r="J174" s="172" t="s">
        <v>1438</v>
      </c>
      <c r="K174" s="172" t="s">
        <v>1439</v>
      </c>
      <c r="L174" s="172" t="s">
        <v>1440</v>
      </c>
      <c r="M174" s="172"/>
      <c r="N174" s="172"/>
      <c r="O174" s="172"/>
      <c r="P174" s="172"/>
      <c r="Q174" s="172"/>
      <c r="R174" s="172"/>
      <c r="S174" s="172"/>
      <c r="T174" s="172"/>
      <c r="U174" s="172"/>
      <c r="V174" s="172"/>
      <c r="W174" s="172"/>
      <c r="X174" s="172"/>
      <c r="Y174" s="172"/>
      <c r="Z174" s="172"/>
    </row>
    <row r="175">
      <c r="A175" s="207" t="s">
        <v>41</v>
      </c>
      <c r="B175" s="208" t="s">
        <v>1441</v>
      </c>
      <c r="C175" s="208" t="s">
        <v>890</v>
      </c>
      <c r="D175" s="208" t="s">
        <v>891</v>
      </c>
      <c r="E175" s="208" t="s">
        <v>892</v>
      </c>
      <c r="F175" s="182">
        <v>20.0</v>
      </c>
      <c r="G175" s="172" t="str">
        <f>IFERROR(__xludf.DUMMYFUNCTION("TRIM(REGEXREPLACE(C175, ""[0-9]+[a-f]?\."", """"))"),"We were not able to contact you during ${pm_missed_period} and want to ask you a few questions about your life during this time.")</f>
        <v>We were not able to contact you during ${pm_missed_period} and want to ask you a few questions about your life during this time.</v>
      </c>
      <c r="H175" s="172" t="str">
        <f>IFERROR(__xludf.DUMMYFUNCTION("TRIM(REGEXREPLACE(D175, ""[0-9]+[a-f]?\."", """"))"),"Nous n'avons pas pu vous contacter pendant ${pm_missed_period_french} et nous voulons vous poser quelques questions sur votre vie pendant cette période.")</f>
        <v>Nous n'avons pas pu vous contacter pendant ${pm_missed_period_french} et nous voulons vous poser quelques questions sur votre vie pendant cette période.</v>
      </c>
      <c r="I175" s="172" t="str">
        <f>IFERROR(__xludf.DUMMYFUNCTION("TRIM(REGEXREPLACE(E175, ""[0-9]+[a-f]?\."", """"))"),"Ba mu samu tuntuɓar ku yayin ${pm_missed_period_hausa} kuma muna son mu yi muku wasu tambayoyi game da rayuwar ku a wannan lokacin.")</f>
        <v>Ba mu samu tuntuɓar ku yayin ${pm_missed_period_hausa} kuma muna son mu yi muku wasu tambayoyi game da rayuwar ku a wannan lokacin.</v>
      </c>
      <c r="J175" s="172" t="str">
        <f t="shared" ref="J175:L175" si="20">$F175 &amp; ". " &amp;G175</f>
        <v>20. We were not able to contact you during ${pm_missed_period} and want to ask you a few questions about your life during this time.</v>
      </c>
      <c r="K175" s="172" t="str">
        <f t="shared" si="20"/>
        <v>20. Nous n'avons pas pu vous contacter pendant ${pm_missed_period_french} et nous voulons vous poser quelques questions sur votre vie pendant cette période.</v>
      </c>
      <c r="L175" s="172" t="str">
        <f t="shared" si="20"/>
        <v>20. Ba mu samu tuntuɓar ku yayin ${pm_missed_period_hausa} kuma muna son mu yi muku wasu tambayoyi game da rayuwar ku a wannan lokacin.</v>
      </c>
      <c r="M175" s="172"/>
      <c r="N175" s="172"/>
      <c r="O175" s="172"/>
      <c r="P175" s="172"/>
      <c r="Q175" s="172"/>
      <c r="R175" s="172"/>
      <c r="S175" s="172"/>
      <c r="T175" s="172"/>
      <c r="U175" s="172"/>
      <c r="V175" s="172"/>
      <c r="W175" s="172"/>
      <c r="X175" s="172"/>
      <c r="Y175" s="172"/>
      <c r="Z175" s="172"/>
    </row>
    <row r="176">
      <c r="A176" s="215" t="s">
        <v>353</v>
      </c>
      <c r="B176" s="216" t="s">
        <v>1445</v>
      </c>
      <c r="C176" s="216" t="s">
        <v>893</v>
      </c>
      <c r="D176" s="216" t="s">
        <v>894</v>
      </c>
      <c r="E176" s="216" t="s">
        <v>1446</v>
      </c>
      <c r="F176" s="182">
        <v>21.0</v>
      </c>
      <c r="G176" s="172" t="str">
        <f>IFERROR(__xludf.DUMMYFUNCTION("TRIM(REGEXREPLACE(C176, ""[0-9]+[a-f]?\."", """"))"),"Think about ${pm_missed_period}, during this time were you living at home in ${pm_home_location}?")</f>
        <v>Think about ${pm_missed_period}, during this time were you living at home in ${pm_home_location}?</v>
      </c>
      <c r="H176" s="172" t="str">
        <f>IFERROR(__xludf.DUMMYFUNCTION("TRIM(REGEXREPLACE(D176, ""[0-9]+[a-f]?\."", """"))"),"Pensez à ${pm_missed_period_french}, pendant ce temps, vous viviez à la maison dans ${pm_home_location}?")</f>
        <v>Pensez à ${pm_missed_period_french}, pendant ce temps, vous viviez à la maison dans ${pm_home_location}?</v>
      </c>
      <c r="I176" s="172" t="str">
        <f>IFERROR(__xludf.DUMMYFUNCTION("TRIM(REGEXREPLACE(E176, ""[0-9]+[a-f]?\."", """"))"),"Tuna da ${pm_missed_period_hausa}, a wannan lokacin ko kuna gida a ${pm_home_location}?")</f>
        <v>Tuna da ${pm_missed_period_hausa}, a wannan lokacin ko kuna gida a ${pm_home_location}?</v>
      </c>
      <c r="J176" s="172" t="str">
        <f t="shared" ref="J176:L176" si="21">$F176 &amp; ". " &amp;G176</f>
        <v>21. Think about ${pm_missed_period}, during this time were you living at home in ${pm_home_location}?</v>
      </c>
      <c r="K176" s="172" t="str">
        <f t="shared" si="21"/>
        <v>21. Pensez à ${pm_missed_period_french}, pendant ce temps, vous viviez à la maison dans ${pm_home_location}?</v>
      </c>
      <c r="L176" s="172" t="str">
        <f t="shared" si="21"/>
        <v>21. Tuna da ${pm_missed_period_hausa}, a wannan lokacin ko kuna gida a ${pm_home_location}?</v>
      </c>
      <c r="M176" s="172"/>
      <c r="N176" s="172"/>
      <c r="O176" s="172"/>
      <c r="P176" s="172"/>
      <c r="Q176" s="172"/>
      <c r="R176" s="172"/>
      <c r="S176" s="172"/>
      <c r="T176" s="172"/>
      <c r="U176" s="172"/>
      <c r="V176" s="172"/>
      <c r="W176" s="172"/>
      <c r="X176" s="172"/>
      <c r="Y176" s="172"/>
      <c r="Z176" s="172"/>
    </row>
    <row r="177">
      <c r="A177" s="253" t="s">
        <v>246</v>
      </c>
      <c r="B177" s="254" t="s">
        <v>1450</v>
      </c>
      <c r="C177" s="254" t="s">
        <v>1451</v>
      </c>
      <c r="D177" s="254" t="s">
        <v>1452</v>
      </c>
      <c r="E177" s="254" t="s">
        <v>1453</v>
      </c>
      <c r="F177" s="182">
        <v>22.0</v>
      </c>
      <c r="G177" s="172" t="str">
        <f>IFERROR(__xludf.DUMMYFUNCTION("TRIM(REGEXREPLACE(C177, ""[0-9]+[a-f]?\."", """"))"),"Please list all of the places you spent more than one week during ${pm_missed_period} other than ${pm_home_location}. How many places?")</f>
        <v>Please list all of the places you spent more than one week during ${pm_missed_period} other than ${pm_home_location}. How many places?</v>
      </c>
      <c r="H177" s="172" t="str">
        <f>IFERROR(__xludf.DUMMYFUNCTION("TRIM(REGEXREPLACE(D177, ""[0-9]+[a-f]?\."", """"))"),"Veuillez énumérer tous les lieux où vous avez passé plus d'une semaine entre ${pm_missed_period_french} autre que ${pm_home_location}. Combien de lieux ?")</f>
        <v>Veuillez énumérer tous les lieux où vous avez passé plus d'une semaine entre ${pm_missed_period_french} autre que ${pm_home_location}. Combien de lieux ?</v>
      </c>
      <c r="I177" s="172" t="str">
        <f>IFERROR(__xludf.DUMMYFUNCTION("TRIM(REGEXREPLACE(E177, ""[0-9]+[a-f]?\."", """"))"),"Ko za ku gaya mini duk wuraren da kuka zauna sama da sati guda a lokacin ${pm_missed_period_hausa} da ba ${pm_home_location}. Wuri nawa ne?")</f>
        <v>Ko za ku gaya mini duk wuraren da kuka zauna sama da sati guda a lokacin ${pm_missed_period_hausa} da ba ${pm_home_location}. Wuri nawa ne?</v>
      </c>
      <c r="J177" s="172" t="str">
        <f t="shared" ref="J177:L177" si="22">$F177 &amp; ". " &amp;G177</f>
        <v>22. Please list all of the places you spent more than one week during ${pm_missed_period} other than ${pm_home_location}. How many places?</v>
      </c>
      <c r="K177" s="172" t="str">
        <f t="shared" si="22"/>
        <v>22. Veuillez énumérer tous les lieux où vous avez passé plus d'une semaine entre ${pm_missed_period_french} autre que ${pm_home_location}. Combien de lieux ?</v>
      </c>
      <c r="L177" s="172" t="str">
        <f t="shared" si="22"/>
        <v>22. Ko za ku gaya mini duk wuraren da kuka zauna sama da sati guda a lokacin ${pm_missed_period_hausa} da ba ${pm_home_location}. Wuri nawa ne?</v>
      </c>
      <c r="M177" s="172"/>
      <c r="N177" s="172"/>
      <c r="O177" s="172"/>
      <c r="P177" s="172"/>
      <c r="Q177" s="172"/>
      <c r="R177" s="172"/>
      <c r="S177" s="172"/>
      <c r="T177" s="172"/>
      <c r="U177" s="172"/>
      <c r="V177" s="172"/>
      <c r="W177" s="172"/>
      <c r="X177" s="172"/>
      <c r="Y177" s="172"/>
      <c r="Z177" s="172"/>
    </row>
    <row r="178" hidden="1">
      <c r="A178" s="255" t="s">
        <v>1042</v>
      </c>
      <c r="B178" s="256" t="s">
        <v>1457</v>
      </c>
      <c r="C178" s="256" t="s">
        <v>1458</v>
      </c>
      <c r="D178" s="257"/>
      <c r="E178" s="257"/>
      <c r="F178" s="182">
        <v>83.0</v>
      </c>
      <c r="G178" s="172" t="str">
        <f>IFERROR(__xludf.DUMMYFUNCTION("TRIM(REGEXREPLACE(C178, ""[0-9]+[a-f]?\."", """"))"),"Missed locations")</f>
        <v>Missed locations</v>
      </c>
      <c r="H178" s="172" t="str">
        <f>IFERROR(__xludf.DUMMYFUNCTION("TRIM(REGEXREPLACE(D178, ""[0-9]+[a-f]?\."", """"))"),"")</f>
        <v/>
      </c>
      <c r="I178" s="172" t="str">
        <f>IFERROR(__xludf.DUMMYFUNCTION("TRIM(REGEXREPLACE(E178, ""[0-9]+[a-f]?\."", """"))"),"")</f>
        <v/>
      </c>
      <c r="J178" s="172" t="s">
        <v>1459</v>
      </c>
      <c r="K178" s="172" t="s">
        <v>1460</v>
      </c>
      <c r="L178" s="172" t="s">
        <v>1461</v>
      </c>
      <c r="M178" s="172"/>
      <c r="N178" s="172"/>
      <c r="O178" s="172"/>
      <c r="P178" s="172"/>
      <c r="Q178" s="172"/>
      <c r="R178" s="172"/>
      <c r="S178" s="172"/>
      <c r="T178" s="172"/>
      <c r="U178" s="172"/>
      <c r="V178" s="172"/>
      <c r="W178" s="172"/>
      <c r="X178" s="172"/>
      <c r="Y178" s="172"/>
      <c r="Z178" s="172"/>
    </row>
    <row r="179" hidden="1">
      <c r="A179" s="188" t="s">
        <v>68</v>
      </c>
      <c r="B179" s="189" t="s">
        <v>1464</v>
      </c>
      <c r="C179" s="190"/>
      <c r="D179" s="190"/>
      <c r="E179" s="190"/>
      <c r="F179" s="182">
        <v>84.0</v>
      </c>
      <c r="G179" s="172" t="str">
        <f>IFERROR(__xludf.DUMMYFUNCTION("TRIM(REGEXREPLACE(C179, ""[0-9]+[a-f]?\."", """"))"),"")</f>
        <v/>
      </c>
      <c r="H179" s="172" t="str">
        <f>IFERROR(__xludf.DUMMYFUNCTION("TRIM(REGEXREPLACE(D179, ""[0-9]+[a-f]?\."", """"))"),"")</f>
        <v/>
      </c>
      <c r="I179" s="172" t="str">
        <f>IFERROR(__xludf.DUMMYFUNCTION("TRIM(REGEXREPLACE(E179, ""[0-9]+[a-f]?\."", """"))"),"")</f>
        <v/>
      </c>
      <c r="J179" s="172" t="s">
        <v>1466</v>
      </c>
      <c r="K179" s="172" t="s">
        <v>1467</v>
      </c>
      <c r="L179" s="172" t="s">
        <v>1468</v>
      </c>
      <c r="M179" s="172"/>
      <c r="N179" s="172"/>
      <c r="O179" s="172"/>
      <c r="P179" s="172"/>
      <c r="Q179" s="172"/>
      <c r="R179" s="172"/>
      <c r="S179" s="172"/>
      <c r="T179" s="172"/>
      <c r="U179" s="172"/>
      <c r="V179" s="172"/>
      <c r="W179" s="172"/>
      <c r="X179" s="172"/>
      <c r="Y179" s="172"/>
      <c r="Z179" s="172"/>
    </row>
    <row r="180" hidden="1">
      <c r="A180" s="188" t="s">
        <v>68</v>
      </c>
      <c r="B180" s="189" t="s">
        <v>1469</v>
      </c>
      <c r="C180" s="190"/>
      <c r="D180" s="190"/>
      <c r="E180" s="190"/>
      <c r="F180" s="182">
        <v>85.0</v>
      </c>
      <c r="G180" s="172" t="str">
        <f>IFERROR(__xludf.DUMMYFUNCTION("TRIM(REGEXREPLACE(C180, ""[0-9]+[a-f]?\."", """"))"),"")</f>
        <v/>
      </c>
      <c r="H180" s="172" t="str">
        <f>IFERROR(__xludf.DUMMYFUNCTION("TRIM(REGEXREPLACE(D180, ""[0-9]+[a-f]?\."", """"))"),"")</f>
        <v/>
      </c>
      <c r="I180" s="172" t="str">
        <f>IFERROR(__xludf.DUMMYFUNCTION("TRIM(REGEXREPLACE(E180, ""[0-9]+[a-f]?\."", """"))"),"")</f>
        <v/>
      </c>
      <c r="J180" s="172" t="s">
        <v>1472</v>
      </c>
      <c r="K180" s="172" t="s">
        <v>1474</v>
      </c>
      <c r="L180" s="172" t="s">
        <v>1475</v>
      </c>
      <c r="M180" s="172"/>
      <c r="N180" s="172"/>
      <c r="O180" s="172"/>
      <c r="P180" s="172"/>
      <c r="Q180" s="172"/>
      <c r="R180" s="172"/>
      <c r="S180" s="172"/>
      <c r="T180" s="172"/>
      <c r="U180" s="172"/>
      <c r="V180" s="172"/>
      <c r="W180" s="172"/>
      <c r="X180" s="172"/>
      <c r="Y180" s="172"/>
      <c r="Z180" s="172"/>
    </row>
    <row r="181" hidden="1">
      <c r="A181" s="172"/>
      <c r="B181" s="174"/>
      <c r="C181" s="174"/>
      <c r="D181" s="174"/>
      <c r="E181" s="174"/>
      <c r="F181" s="182">
        <v>91.0</v>
      </c>
      <c r="G181" s="172" t="str">
        <f>IFERROR(__xludf.DUMMYFUNCTION("TRIM(REGEXREPLACE(C181, ""[0-9]+[a-f]?\."", """"))"),"")</f>
        <v/>
      </c>
      <c r="H181" s="172" t="str">
        <f>IFERROR(__xludf.DUMMYFUNCTION("TRIM(REGEXREPLACE(D181, ""[0-9]+[a-f]?\."", """"))"),"")</f>
        <v/>
      </c>
      <c r="I181" s="172" t="str">
        <f>IFERROR(__xludf.DUMMYFUNCTION("TRIM(REGEXREPLACE(E181, ""[0-9]+[a-f]?\."", """"))"),"")</f>
        <v/>
      </c>
      <c r="J181" s="172" t="s">
        <v>1476</v>
      </c>
      <c r="K181" s="172" t="s">
        <v>1477</v>
      </c>
      <c r="L181" s="172" t="s">
        <v>1478</v>
      </c>
      <c r="M181" s="172"/>
      <c r="N181" s="172"/>
      <c r="O181" s="172"/>
      <c r="P181" s="172"/>
      <c r="Q181" s="172"/>
      <c r="R181" s="172"/>
      <c r="S181" s="172"/>
      <c r="T181" s="172"/>
      <c r="U181" s="172"/>
      <c r="V181" s="172"/>
      <c r="W181" s="172"/>
      <c r="X181" s="172"/>
      <c r="Y181" s="172"/>
      <c r="Z181" s="172"/>
    </row>
    <row r="182">
      <c r="A182" s="215" t="s">
        <v>353</v>
      </c>
      <c r="B182" s="216" t="s">
        <v>1482</v>
      </c>
      <c r="C182" s="216" t="s">
        <v>1483</v>
      </c>
      <c r="D182" s="216" t="s">
        <v>1484</v>
      </c>
      <c r="E182" s="216" t="s">
        <v>1485</v>
      </c>
      <c r="F182" s="182">
        <v>23.0</v>
      </c>
      <c r="G182" s="172" t="str">
        <f>IFERROR(__xludf.DUMMYFUNCTION("TRIM(REGEXREPLACE(C182, ""[0-9]+[a-f]?\."", """"))"),"Where were you ${pm_miss_previous_answer}?
 Enumerator: Is location in Niger?")</f>
        <v>Where were you ${pm_miss_previous_answer}?
 Enumerator: Is location in Niger?</v>
      </c>
      <c r="H182" s="172" t="str">
        <f>IFERROR(__xludf.DUMMYFUNCTION("TRIM(REGEXREPLACE(D182, ""[0-9]+[a-f]?\."", """"))"),"Où étiez-vous ${pm_miss_previous_answer} ?
 Enquêteur : La localité est-elle au Niger ?")</f>
        <v>Où étiez-vous ${pm_miss_previous_answer} ?
 Enquêteur : La localité est-elle au Niger ?</v>
      </c>
      <c r="I182" s="172" t="str">
        <f>IFERROR(__xludf.DUMMYFUNCTION("TRIM(REGEXREPLACE(E182, ""[0-9]+[a-f]?\."", """"))"),"A ina kuke ${pm_miss_previous_answer}?
 Ɗan bincike : Ko wurin a Nijar ne?")</f>
        <v>A ina kuke ${pm_miss_previous_answer}?
 Ɗan bincike : Ko wurin a Nijar ne?</v>
      </c>
      <c r="J182" s="172" t="str">
        <f t="shared" ref="J182:L182" si="23">$F182 &amp; ". " &amp;G182</f>
        <v>23. Where were you ${pm_miss_previous_answer}?
 Enumerator: Is location in Niger?</v>
      </c>
      <c r="K182" s="172" t="str">
        <f t="shared" si="23"/>
        <v>23. Où étiez-vous ${pm_miss_previous_answer} ?
 Enquêteur : La localité est-elle au Niger ?</v>
      </c>
      <c r="L182" s="172" t="str">
        <f t="shared" si="23"/>
        <v>23. A ina kuke ${pm_miss_previous_answer}?
 Ɗan bincike : Ko wurin a Nijar ne?</v>
      </c>
      <c r="M182" s="172"/>
      <c r="N182" s="172"/>
      <c r="O182" s="172"/>
      <c r="P182" s="172"/>
      <c r="Q182" s="172"/>
      <c r="R182" s="172"/>
      <c r="S182" s="172"/>
      <c r="T182" s="172"/>
      <c r="U182" s="172"/>
      <c r="V182" s="172"/>
      <c r="W182" s="172"/>
      <c r="X182" s="172"/>
      <c r="Y182" s="172"/>
      <c r="Z182" s="172"/>
    </row>
    <row r="183">
      <c r="A183" s="215" t="s">
        <v>481</v>
      </c>
      <c r="B183" s="216" t="s">
        <v>1486</v>
      </c>
      <c r="C183" s="216" t="s">
        <v>681</v>
      </c>
      <c r="D183" s="216" t="s">
        <v>682</v>
      </c>
      <c r="E183" s="216" t="s">
        <v>684</v>
      </c>
      <c r="F183" s="182">
        <v>24.0</v>
      </c>
      <c r="G183" s="172" t="str">
        <f>IFERROR(__xludf.DUMMYFUNCTION("TRIM(REGEXREPLACE(C183, ""[0-9]+[a-f]?\."", """"))"),"Enumerator: Select region in Niger")</f>
        <v>Enumerator: Select region in Niger</v>
      </c>
      <c r="H183" s="172" t="str">
        <f>IFERROR(__xludf.DUMMYFUNCTION("TRIM(REGEXREPLACE(D183, ""[0-9]+[a-f]?\."", """"))"),"Enquêteur : Sélectionnez une région au Niger")</f>
        <v>Enquêteur : Sélectionnez une région au Niger</v>
      </c>
      <c r="I183" s="172" t="str">
        <f>IFERROR(__xludf.DUMMYFUNCTION("TRIM(REGEXREPLACE(E183, ""[0-9]+[a-f]?\."", """"))"),"Ɗan bincike: Zaɓi Jaha ɗaya a Nijar")</f>
        <v>Ɗan bincike: Zaɓi Jaha ɗaya a Nijar</v>
      </c>
      <c r="J183" s="172" t="str">
        <f t="shared" ref="J183:L183" si="24">$F183 &amp; ". " &amp;G183</f>
        <v>24. Enumerator: Select region in Niger</v>
      </c>
      <c r="K183" s="172" t="str">
        <f t="shared" si="24"/>
        <v>24. Enquêteur : Sélectionnez une région au Niger</v>
      </c>
      <c r="L183" s="172" t="str">
        <f t="shared" si="24"/>
        <v>24. Ɗan bincike: Zaɓi Jaha ɗaya a Nijar</v>
      </c>
      <c r="M183" s="172"/>
      <c r="N183" s="172"/>
      <c r="O183" s="172"/>
      <c r="P183" s="172"/>
      <c r="Q183" s="172"/>
      <c r="R183" s="172"/>
      <c r="S183" s="172"/>
      <c r="T183" s="172"/>
      <c r="U183" s="172"/>
      <c r="V183" s="172"/>
      <c r="W183" s="172"/>
      <c r="X183" s="172"/>
      <c r="Y183" s="172"/>
      <c r="Z183" s="172"/>
    </row>
    <row r="184">
      <c r="A184" s="215" t="s">
        <v>489</v>
      </c>
      <c r="B184" s="216" t="s">
        <v>1490</v>
      </c>
      <c r="C184" s="216" t="s">
        <v>687</v>
      </c>
      <c r="D184" s="216" t="s">
        <v>688</v>
      </c>
      <c r="E184" s="216" t="s">
        <v>689</v>
      </c>
      <c r="F184" s="182">
        <v>25.0</v>
      </c>
      <c r="G184" s="172" t="str">
        <f>IFERROR(__xludf.DUMMYFUNCTION("TRIM(REGEXREPLACE(C184, ""[0-9]+[a-f]?\."", """"))"),"Enumerator: Select country")</f>
        <v>Enumerator: Select country</v>
      </c>
      <c r="H184" s="172" t="str">
        <f>IFERROR(__xludf.DUMMYFUNCTION("TRIM(REGEXREPLACE(D184, ""[0-9]+[a-f]?\."", """"))"),"Enquêteur : sélectionnez le pays")</f>
        <v>Enquêteur : sélectionnez le pays</v>
      </c>
      <c r="I184" s="172" t="str">
        <f>IFERROR(__xludf.DUMMYFUNCTION("TRIM(REGEXREPLACE(E184, ""[0-9]+[a-f]?\."", """"))"),"Ɗan bincike: Zaɓi ƙasa")</f>
        <v>Ɗan bincike: Zaɓi ƙasa</v>
      </c>
      <c r="J184" s="172" t="str">
        <f t="shared" ref="J184:L184" si="25">$F184 &amp; ". " &amp;G184</f>
        <v>25. Enumerator: Select country</v>
      </c>
      <c r="K184" s="172" t="str">
        <f t="shared" si="25"/>
        <v>25. Enquêteur : sélectionnez le pays</v>
      </c>
      <c r="L184" s="172" t="str">
        <f t="shared" si="25"/>
        <v>25. Ɗan bincike: Zaɓi ƙasa</v>
      </c>
      <c r="M184" s="172"/>
      <c r="N184" s="172"/>
      <c r="O184" s="172"/>
      <c r="P184" s="172"/>
      <c r="Q184" s="172"/>
      <c r="R184" s="172"/>
      <c r="S184" s="172"/>
      <c r="T184" s="172"/>
      <c r="U184" s="172"/>
      <c r="V184" s="172"/>
      <c r="W184" s="172"/>
      <c r="X184" s="172"/>
      <c r="Y184" s="172"/>
      <c r="Z184" s="172"/>
    </row>
    <row r="185">
      <c r="A185" s="246" t="s">
        <v>231</v>
      </c>
      <c r="B185" s="247" t="s">
        <v>1494</v>
      </c>
      <c r="C185" s="247" t="s">
        <v>1495</v>
      </c>
      <c r="D185" s="247" t="s">
        <v>1496</v>
      </c>
      <c r="E185" s="247" t="s">
        <v>1497</v>
      </c>
      <c r="F185" s="182">
        <v>26.0</v>
      </c>
      <c r="G185" s="172" t="str">
        <f>IFERROR(__xludf.DUMMYFUNCTION("TRIM(REGEXREPLACE(C185, ""[0-9]+[a-f]?\."", """"))"),"Enumerator: Enter other country")</f>
        <v>Enumerator: Enter other country</v>
      </c>
      <c r="H185" s="172" t="str">
        <f>IFERROR(__xludf.DUMMYFUNCTION("TRIM(REGEXREPLACE(D185, ""[0-9]+[a-f]?\."", """"))"),"Enquêteur : Entrez un autre pays")</f>
        <v>Enquêteur : Entrez un autre pays</v>
      </c>
      <c r="I185" s="172" t="str">
        <f>IFERROR(__xludf.DUMMYFUNCTION("TRIM(REGEXREPLACE(E185, ""[0-9]+[a-f]?\."", """"))"),"Ɗan bincike: Shigar da wata ƙasa")</f>
        <v>Ɗan bincike: Shigar da wata ƙasa</v>
      </c>
      <c r="J185" s="172" t="str">
        <f t="shared" ref="J185:L185" si="26">$F185 &amp; ". " &amp;G185</f>
        <v>26. Enumerator: Enter other country</v>
      </c>
      <c r="K185" s="172" t="str">
        <f t="shared" si="26"/>
        <v>26. Enquêteur : Entrez un autre pays</v>
      </c>
      <c r="L185" s="172" t="str">
        <f t="shared" si="26"/>
        <v>26. Ɗan bincike: Shigar da wata ƙasa</v>
      </c>
      <c r="M185" s="172"/>
      <c r="N185" s="172"/>
      <c r="O185" s="172"/>
      <c r="P185" s="172"/>
      <c r="Q185" s="172"/>
      <c r="R185" s="172"/>
      <c r="S185" s="172"/>
      <c r="T185" s="172"/>
      <c r="U185" s="172"/>
      <c r="V185" s="172"/>
      <c r="W185" s="172"/>
      <c r="X185" s="172"/>
      <c r="Y185" s="172"/>
      <c r="Z185" s="172"/>
    </row>
    <row r="186" hidden="1">
      <c r="A186" s="188" t="s">
        <v>68</v>
      </c>
      <c r="B186" s="189" t="s">
        <v>1498</v>
      </c>
      <c r="C186" s="190"/>
      <c r="D186" s="190"/>
      <c r="E186" s="190"/>
      <c r="F186" s="182">
        <v>90.0</v>
      </c>
      <c r="G186" s="172" t="str">
        <f>IFERROR(__xludf.DUMMYFUNCTION("TRIM(REGEXREPLACE(C186, ""[0-9]+[a-f]?\."", """"))"),"")</f>
        <v/>
      </c>
      <c r="H186" s="172" t="str">
        <f>IFERROR(__xludf.DUMMYFUNCTION("TRIM(REGEXREPLACE(D186, ""[0-9]+[a-f]?\."", """"))"),"")</f>
        <v/>
      </c>
      <c r="I186" s="172" t="str">
        <f>IFERROR(__xludf.DUMMYFUNCTION("TRIM(REGEXREPLACE(E186, ""[0-9]+[a-f]?\."", """"))"),"")</f>
        <v/>
      </c>
      <c r="J186" s="172" t="s">
        <v>1502</v>
      </c>
      <c r="K186" s="172" t="s">
        <v>1503</v>
      </c>
      <c r="L186" s="172" t="s">
        <v>1504</v>
      </c>
      <c r="M186" s="172"/>
      <c r="N186" s="172"/>
      <c r="O186" s="172"/>
      <c r="P186" s="172"/>
      <c r="Q186" s="172"/>
      <c r="R186" s="172"/>
      <c r="S186" s="172"/>
      <c r="T186" s="172"/>
      <c r="U186" s="172"/>
      <c r="V186" s="172"/>
      <c r="W186" s="172"/>
      <c r="X186" s="172"/>
      <c r="Y186" s="172"/>
      <c r="Z186" s="172"/>
    </row>
    <row r="187">
      <c r="A187" s="215" t="s">
        <v>508</v>
      </c>
      <c r="B187" s="216" t="s">
        <v>1505</v>
      </c>
      <c r="C187" s="216" t="s">
        <v>922</v>
      </c>
      <c r="D187" s="216" t="s">
        <v>923</v>
      </c>
      <c r="E187" s="216" t="s">
        <v>924</v>
      </c>
      <c r="F187" s="182">
        <v>27.0</v>
      </c>
      <c r="G187" s="172" t="str">
        <f>IFERROR(__xludf.DUMMYFUNCTION("TRIM(REGEXREPLACE(C187, ""[0-9]+[a-f]?\."", """"))"),"Enumerator: Select town")</f>
        <v>Enumerator: Select town</v>
      </c>
      <c r="H187" s="172" t="str">
        <f>IFERROR(__xludf.DUMMYFUNCTION("TRIM(REGEXREPLACE(D187, ""[0-9]+[a-f]?\."", """"))"),"Enquêteur : Sélectionnez la ville")</f>
        <v>Enquêteur : Sélectionnez la ville</v>
      </c>
      <c r="I187" s="172" t="str">
        <f>IFERROR(__xludf.DUMMYFUNCTION("TRIM(REGEXREPLACE(E187, ""[0-9]+[a-f]?\."", """"))"),"Ɗan bincike: Zaɓi gari")</f>
        <v>Ɗan bincike: Zaɓi gari</v>
      </c>
      <c r="J187" s="172" t="str">
        <f t="shared" ref="J187:L187" si="27">$F187 &amp; ". " &amp;G187</f>
        <v>27. Enumerator: Select town</v>
      </c>
      <c r="K187" s="172" t="str">
        <f t="shared" si="27"/>
        <v>27. Enquêteur : Sélectionnez la ville</v>
      </c>
      <c r="L187" s="172" t="str">
        <f t="shared" si="27"/>
        <v>27. Ɗan bincike: Zaɓi gari</v>
      </c>
      <c r="M187" s="172"/>
      <c r="N187" s="172"/>
      <c r="O187" s="172"/>
      <c r="P187" s="172"/>
      <c r="Q187" s="172"/>
      <c r="R187" s="172"/>
      <c r="S187" s="172"/>
      <c r="T187" s="172"/>
      <c r="U187" s="172"/>
      <c r="V187" s="172"/>
      <c r="W187" s="172"/>
      <c r="X187" s="172"/>
      <c r="Y187" s="172"/>
      <c r="Z187" s="172"/>
    </row>
    <row r="188" hidden="1">
      <c r="A188" s="172"/>
      <c r="B188" s="174"/>
      <c r="C188" s="174"/>
      <c r="D188" s="174"/>
      <c r="E188" s="174"/>
      <c r="F188" s="175"/>
      <c r="G188" s="172" t="str">
        <f>IFERROR(__xludf.DUMMYFUNCTION("TRIM(REGEXREPLACE(C188, ""[0-9]+[a-f]?\."", """"))"),"")</f>
        <v/>
      </c>
      <c r="H188" s="172" t="str">
        <f>IFERROR(__xludf.DUMMYFUNCTION("TRIM(REGEXREPLACE(D188, ""[0-9]+[a-f]?\."", """"))"),"")</f>
        <v/>
      </c>
      <c r="I188" s="172" t="str">
        <f>IFERROR(__xludf.DUMMYFUNCTION("TRIM(REGEXREPLACE(E188, ""[0-9]+[a-f]?\."", """"))"),"")</f>
        <v/>
      </c>
      <c r="J188" s="172" t="s">
        <v>1510</v>
      </c>
      <c r="K188" s="172" t="s">
        <v>1512</v>
      </c>
      <c r="L188" s="176" t="s">
        <v>1513</v>
      </c>
      <c r="M188" s="172"/>
      <c r="N188" s="172"/>
      <c r="O188" s="172"/>
      <c r="P188" s="172"/>
      <c r="Q188" s="172"/>
      <c r="R188" s="172"/>
      <c r="S188" s="172"/>
      <c r="T188" s="172"/>
      <c r="U188" s="172"/>
      <c r="V188" s="172"/>
      <c r="W188" s="172"/>
      <c r="X188" s="172"/>
      <c r="Y188" s="172"/>
      <c r="Z188" s="172"/>
    </row>
    <row r="189" hidden="1">
      <c r="A189" s="172"/>
      <c r="B189" s="174"/>
      <c r="C189" s="174"/>
      <c r="D189" s="174"/>
      <c r="E189" s="174"/>
      <c r="F189" s="175"/>
      <c r="G189" s="172" t="str">
        <f>IFERROR(__xludf.DUMMYFUNCTION("TRIM(REGEXREPLACE(C189, ""[0-9]+[a-f]?\."", """"))"),"")</f>
        <v/>
      </c>
      <c r="H189" s="172" t="str">
        <f>IFERROR(__xludf.DUMMYFUNCTION("TRIM(REGEXREPLACE(D189, ""[0-9]+[a-f]?\."", """"))"),"")</f>
        <v/>
      </c>
      <c r="I189" s="172" t="str">
        <f>IFERROR(__xludf.DUMMYFUNCTION("TRIM(REGEXREPLACE(E189, ""[0-9]+[a-f]?\."", """"))"),"")</f>
        <v/>
      </c>
      <c r="J189" s="172" t="s">
        <v>1515</v>
      </c>
      <c r="K189" s="172" t="s">
        <v>1516</v>
      </c>
      <c r="L189" s="176" t="s">
        <v>1517</v>
      </c>
      <c r="M189" s="172"/>
      <c r="N189" s="172"/>
      <c r="O189" s="172"/>
      <c r="P189" s="172"/>
      <c r="Q189" s="172"/>
      <c r="R189" s="172"/>
      <c r="S189" s="172"/>
      <c r="T189" s="172"/>
      <c r="U189" s="172"/>
      <c r="V189" s="172"/>
      <c r="W189" s="172"/>
      <c r="X189" s="172"/>
      <c r="Y189" s="172"/>
      <c r="Z189" s="172"/>
    </row>
    <row r="190" hidden="1">
      <c r="A190" s="172"/>
      <c r="B190" s="174"/>
      <c r="C190" s="174"/>
      <c r="D190" s="174"/>
      <c r="E190" s="174"/>
      <c r="F190" s="175"/>
      <c r="G190" s="172" t="str">
        <f>IFERROR(__xludf.DUMMYFUNCTION("TRIM(REGEXREPLACE(C190, ""[0-9]+[a-f]?\."", """"))"),"")</f>
        <v/>
      </c>
      <c r="H190" s="172" t="str">
        <f>IFERROR(__xludf.DUMMYFUNCTION("TRIM(REGEXREPLACE(D190, ""[0-9]+[a-f]?\."", """"))"),"")</f>
        <v/>
      </c>
      <c r="I190" s="172" t="str">
        <f>IFERROR(__xludf.DUMMYFUNCTION("TRIM(REGEXREPLACE(E190, ""[0-9]+[a-f]?\."", """"))"),"")</f>
        <v/>
      </c>
      <c r="J190" s="172" t="s">
        <v>1521</v>
      </c>
      <c r="K190" s="172" t="s">
        <v>1522</v>
      </c>
      <c r="L190" s="176" t="s">
        <v>1523</v>
      </c>
      <c r="M190" s="172"/>
      <c r="N190" s="172"/>
      <c r="O190" s="172"/>
      <c r="P190" s="172"/>
      <c r="Q190" s="172"/>
      <c r="R190" s="172"/>
      <c r="S190" s="172"/>
      <c r="T190" s="172"/>
      <c r="U190" s="172"/>
      <c r="V190" s="172"/>
      <c r="W190" s="172"/>
      <c r="X190" s="172"/>
      <c r="Y190" s="172"/>
      <c r="Z190" s="172"/>
    </row>
    <row r="191" hidden="1">
      <c r="A191" s="172"/>
      <c r="B191" s="174"/>
      <c r="C191" s="174"/>
      <c r="D191" s="174"/>
      <c r="E191" s="174"/>
      <c r="F191" s="175"/>
      <c r="G191" s="172" t="str">
        <f>IFERROR(__xludf.DUMMYFUNCTION("TRIM(REGEXREPLACE(C191, ""[0-9]+[a-f]?\."", """"))"),"")</f>
        <v/>
      </c>
      <c r="H191" s="172" t="str">
        <f>IFERROR(__xludf.DUMMYFUNCTION("TRIM(REGEXREPLACE(D191, ""[0-9]+[a-f]?\."", """"))"),"")</f>
        <v/>
      </c>
      <c r="I191" s="172" t="str">
        <f>IFERROR(__xludf.DUMMYFUNCTION("TRIM(REGEXREPLACE(E191, ""[0-9]+[a-f]?\."", """"))"),"")</f>
        <v/>
      </c>
      <c r="J191" s="172" t="s">
        <v>1524</v>
      </c>
      <c r="K191" s="172" t="s">
        <v>1525</v>
      </c>
      <c r="L191" s="176" t="s">
        <v>1526</v>
      </c>
      <c r="M191" s="172"/>
      <c r="N191" s="172"/>
      <c r="O191" s="172"/>
      <c r="P191" s="172"/>
      <c r="Q191" s="172"/>
      <c r="R191" s="172"/>
      <c r="S191" s="172"/>
      <c r="T191" s="172"/>
      <c r="U191" s="172"/>
      <c r="V191" s="172"/>
      <c r="W191" s="172"/>
      <c r="X191" s="172"/>
      <c r="Y191" s="172"/>
      <c r="Z191" s="172"/>
    </row>
    <row r="192">
      <c r="A192" s="246" t="s">
        <v>231</v>
      </c>
      <c r="B192" s="247" t="s">
        <v>1527</v>
      </c>
      <c r="C192" s="247" t="s">
        <v>916</v>
      </c>
      <c r="D192" s="247" t="s">
        <v>918</v>
      </c>
      <c r="E192" s="247" t="s">
        <v>919</v>
      </c>
      <c r="F192" s="182">
        <v>28.0</v>
      </c>
      <c r="G192" s="172" t="str">
        <f>IFERROR(__xludf.DUMMYFUNCTION("TRIM(REGEXREPLACE(C192, ""[0-9]+[a-f]?\."", """"))"),"Enumerator: Select town")</f>
        <v>Enumerator: Select town</v>
      </c>
      <c r="H192" s="172" t="str">
        <f>IFERROR(__xludf.DUMMYFUNCTION("TRIM(REGEXREPLACE(D192, ""[0-9]+[a-f]?\."", """"))"),"Enquêteur : Sélectionnez la ville")</f>
        <v>Enquêteur : Sélectionnez la ville</v>
      </c>
      <c r="I192" s="172" t="str">
        <f>IFERROR(__xludf.DUMMYFUNCTION("TRIM(REGEXREPLACE(E192, ""[0-9]+[a-f]?\."", """"))"),"Ɗan bincike: Zaɓi gari")</f>
        <v>Ɗan bincike: Zaɓi gari</v>
      </c>
      <c r="J192" s="172" t="str">
        <f t="shared" ref="J192:L192" si="28">$F192 &amp; ". " &amp;G192</f>
        <v>28. Enumerator: Select town</v>
      </c>
      <c r="K192" s="172" t="str">
        <f t="shared" si="28"/>
        <v>28. Enquêteur : Sélectionnez la ville</v>
      </c>
      <c r="L192" s="172" t="str">
        <f t="shared" si="28"/>
        <v>28. Ɗan bincike: Zaɓi gari</v>
      </c>
      <c r="M192" s="172"/>
      <c r="N192" s="172"/>
      <c r="O192" s="172"/>
      <c r="P192" s="172"/>
      <c r="Q192" s="172"/>
      <c r="R192" s="172"/>
      <c r="S192" s="172"/>
      <c r="T192" s="172"/>
      <c r="U192" s="172"/>
      <c r="V192" s="172"/>
      <c r="W192" s="172"/>
      <c r="X192" s="172"/>
      <c r="Y192" s="172"/>
      <c r="Z192" s="172"/>
    </row>
    <row r="193" hidden="1">
      <c r="A193" s="172"/>
      <c r="B193" s="174"/>
      <c r="C193" s="174"/>
      <c r="D193" s="174"/>
      <c r="E193" s="174"/>
      <c r="F193" s="175"/>
      <c r="G193" s="172" t="str">
        <f>IFERROR(__xludf.DUMMYFUNCTION("TRIM(REGEXREPLACE(C193, ""[0-9]+[a-f]?\."", """"))"),"")</f>
        <v/>
      </c>
      <c r="H193" s="172" t="str">
        <f>IFERROR(__xludf.DUMMYFUNCTION("TRIM(REGEXREPLACE(D193, ""[0-9]+[a-f]?\."", """"))"),"")</f>
        <v/>
      </c>
      <c r="I193" s="172" t="str">
        <f>IFERROR(__xludf.DUMMYFUNCTION("TRIM(REGEXREPLACE(E193, ""[0-9]+[a-f]?\."", """"))"),"")</f>
        <v/>
      </c>
      <c r="J193" s="172" t="s">
        <v>1528</v>
      </c>
      <c r="K193" s="172" t="s">
        <v>1529</v>
      </c>
      <c r="L193" s="176" t="s">
        <v>1530</v>
      </c>
      <c r="M193" s="172"/>
      <c r="N193" s="172"/>
      <c r="O193" s="172"/>
      <c r="P193" s="172"/>
      <c r="Q193" s="172"/>
      <c r="R193" s="172"/>
      <c r="S193" s="172"/>
      <c r="T193" s="172"/>
      <c r="U193" s="172"/>
      <c r="V193" s="172"/>
      <c r="W193" s="172"/>
      <c r="X193" s="172"/>
      <c r="Y193" s="172"/>
      <c r="Z193" s="172"/>
    </row>
    <row r="194" hidden="1">
      <c r="A194" s="188" t="s">
        <v>68</v>
      </c>
      <c r="B194" s="189" t="s">
        <v>1532</v>
      </c>
      <c r="C194" s="190"/>
      <c r="D194" s="190"/>
      <c r="E194" s="190"/>
      <c r="F194" s="182">
        <v>93.0</v>
      </c>
      <c r="G194" s="172" t="str">
        <f>IFERROR(__xludf.DUMMYFUNCTION("TRIM(REGEXREPLACE(C194, ""[0-9]+[a-f]?\."", """"))"),"")</f>
        <v/>
      </c>
      <c r="H194" s="172" t="str">
        <f>IFERROR(__xludf.DUMMYFUNCTION("TRIM(REGEXREPLACE(D194, ""[0-9]+[a-f]?\."", """"))"),"")</f>
        <v/>
      </c>
      <c r="I194" s="172" t="str">
        <f>IFERROR(__xludf.DUMMYFUNCTION("TRIM(REGEXREPLACE(E194, ""[0-9]+[a-f]?\."", """"))"),"")</f>
        <v/>
      </c>
      <c r="J194" s="172" t="s">
        <v>1536</v>
      </c>
      <c r="K194" s="172" t="s">
        <v>1537</v>
      </c>
      <c r="L194" s="172" t="s">
        <v>1538</v>
      </c>
      <c r="M194" s="172"/>
      <c r="N194" s="172"/>
      <c r="O194" s="172"/>
      <c r="P194" s="172"/>
      <c r="Q194" s="172"/>
      <c r="R194" s="172"/>
      <c r="S194" s="172"/>
      <c r="T194" s="172"/>
      <c r="U194" s="172"/>
      <c r="V194" s="172"/>
      <c r="W194" s="172"/>
      <c r="X194" s="172"/>
      <c r="Y194" s="172"/>
      <c r="Z194" s="172"/>
    </row>
    <row r="195" hidden="1">
      <c r="A195" s="172"/>
      <c r="B195" s="174"/>
      <c r="C195" s="174"/>
      <c r="D195" s="174"/>
      <c r="E195" s="174"/>
      <c r="F195" s="182">
        <v>95.0</v>
      </c>
      <c r="G195" s="172" t="str">
        <f>IFERROR(__xludf.DUMMYFUNCTION("TRIM(REGEXREPLACE(C195, ""[0-9]+[a-f]?\."", """"))"),"")</f>
        <v/>
      </c>
      <c r="H195" s="172" t="str">
        <f>IFERROR(__xludf.DUMMYFUNCTION("TRIM(REGEXREPLACE(D195, ""[0-9]+[a-f]?\."", """"))"),"")</f>
        <v/>
      </c>
      <c r="I195" s="172" t="str">
        <f>IFERROR(__xludf.DUMMYFUNCTION("TRIM(REGEXREPLACE(E195, ""[0-9]+[a-f]?\."", """"))"),"")</f>
        <v/>
      </c>
      <c r="J195" s="172" t="s">
        <v>1542</v>
      </c>
      <c r="K195" s="172" t="s">
        <v>1543</v>
      </c>
      <c r="L195" s="172" t="s">
        <v>1544</v>
      </c>
      <c r="M195" s="172"/>
      <c r="N195" s="172"/>
      <c r="O195" s="172"/>
      <c r="P195" s="172"/>
      <c r="Q195" s="172"/>
      <c r="R195" s="172"/>
      <c r="S195" s="172"/>
      <c r="T195" s="172"/>
      <c r="U195" s="172"/>
      <c r="V195" s="172"/>
      <c r="W195" s="172"/>
      <c r="X195" s="172"/>
      <c r="Y195" s="172"/>
      <c r="Z195" s="172"/>
    </row>
    <row r="196" hidden="1">
      <c r="A196" s="172"/>
      <c r="B196" s="174"/>
      <c r="C196" s="174"/>
      <c r="D196" s="174"/>
      <c r="E196" s="174"/>
      <c r="F196" s="182">
        <v>96.0</v>
      </c>
      <c r="G196" s="172" t="str">
        <f>IFERROR(__xludf.DUMMYFUNCTION("TRIM(REGEXREPLACE(C196, ""[0-9]+[a-f]?\."", """"))"),"")</f>
        <v/>
      </c>
      <c r="H196" s="172" t="str">
        <f>IFERROR(__xludf.DUMMYFUNCTION("TRIM(REGEXREPLACE(D196, ""[0-9]+[a-f]?\."", """"))"),"")</f>
        <v/>
      </c>
      <c r="I196" s="172" t="str">
        <f>IFERROR(__xludf.DUMMYFUNCTION("TRIM(REGEXREPLACE(E196, ""[0-9]+[a-f]?\."", """"))"),"")</f>
        <v/>
      </c>
      <c r="J196" s="172" t="s">
        <v>1545</v>
      </c>
      <c r="K196" s="172" t="s">
        <v>1546</v>
      </c>
      <c r="L196" s="172" t="s">
        <v>1547</v>
      </c>
      <c r="M196" s="172"/>
      <c r="N196" s="172"/>
      <c r="O196" s="172"/>
      <c r="P196" s="172"/>
      <c r="Q196" s="172"/>
      <c r="R196" s="172"/>
      <c r="S196" s="172"/>
      <c r="T196" s="172"/>
      <c r="U196" s="172"/>
      <c r="V196" s="172"/>
      <c r="W196" s="172"/>
      <c r="X196" s="172"/>
      <c r="Y196" s="172"/>
      <c r="Z196" s="172"/>
    </row>
    <row r="197" hidden="1">
      <c r="A197" s="172"/>
      <c r="B197" s="174"/>
      <c r="C197" s="174"/>
      <c r="D197" s="174"/>
      <c r="E197" s="174"/>
      <c r="F197" s="182">
        <v>97.0</v>
      </c>
      <c r="G197" s="172" t="str">
        <f>IFERROR(__xludf.DUMMYFUNCTION("TRIM(REGEXREPLACE(C197, ""[0-9]+[a-f]?\."", """"))"),"")</f>
        <v/>
      </c>
      <c r="H197" s="172" t="str">
        <f>IFERROR(__xludf.DUMMYFUNCTION("TRIM(REGEXREPLACE(D197, ""[0-9]+[a-f]?\."", """"))"),"")</f>
        <v/>
      </c>
      <c r="I197" s="172" t="str">
        <f>IFERROR(__xludf.DUMMYFUNCTION("TRIM(REGEXREPLACE(E197, ""[0-9]+[a-f]?\."", """"))"),"")</f>
        <v/>
      </c>
      <c r="J197" s="172" t="s">
        <v>1549</v>
      </c>
      <c r="K197" s="172" t="s">
        <v>1550</v>
      </c>
      <c r="L197" s="172" t="s">
        <v>1552</v>
      </c>
      <c r="M197" s="172"/>
      <c r="N197" s="172"/>
      <c r="O197" s="172"/>
      <c r="P197" s="172"/>
      <c r="Q197" s="172"/>
      <c r="R197" s="172"/>
      <c r="S197" s="172"/>
      <c r="T197" s="172"/>
      <c r="U197" s="172"/>
      <c r="V197" s="172"/>
      <c r="W197" s="172"/>
      <c r="X197" s="172"/>
      <c r="Y197" s="172"/>
      <c r="Z197" s="172"/>
    </row>
    <row r="198" hidden="1">
      <c r="A198" s="188" t="s">
        <v>68</v>
      </c>
      <c r="B198" s="189" t="s">
        <v>1553</v>
      </c>
      <c r="C198" s="190"/>
      <c r="D198" s="190"/>
      <c r="E198" s="190"/>
      <c r="F198" s="182">
        <v>94.0</v>
      </c>
      <c r="G198" s="172" t="str">
        <f>IFERROR(__xludf.DUMMYFUNCTION("TRIM(REGEXREPLACE(C198, ""[0-9]+[a-f]?\."", """"))"),"")</f>
        <v/>
      </c>
      <c r="H198" s="172" t="str">
        <f>IFERROR(__xludf.DUMMYFUNCTION("TRIM(REGEXREPLACE(D198, ""[0-9]+[a-f]?\."", """"))"),"")</f>
        <v/>
      </c>
      <c r="I198" s="172" t="str">
        <f>IFERROR(__xludf.DUMMYFUNCTION("TRIM(REGEXREPLACE(E198, ""[0-9]+[a-f]?\."", """"))"),"")</f>
        <v/>
      </c>
      <c r="J198" s="172" t="s">
        <v>1554</v>
      </c>
      <c r="K198" s="172" t="s">
        <v>1555</v>
      </c>
      <c r="L198" s="172" t="s">
        <v>1555</v>
      </c>
      <c r="M198" s="172"/>
      <c r="N198" s="172"/>
      <c r="O198" s="172"/>
      <c r="P198" s="172"/>
      <c r="Q198" s="172"/>
      <c r="R198" s="172"/>
      <c r="S198" s="172"/>
      <c r="T198" s="172"/>
      <c r="U198" s="172"/>
      <c r="V198" s="172"/>
      <c r="W198" s="172"/>
      <c r="X198" s="172"/>
      <c r="Y198" s="172"/>
      <c r="Z198" s="172"/>
    </row>
    <row r="199" hidden="1">
      <c r="A199" s="172"/>
      <c r="B199" s="174"/>
      <c r="C199" s="174"/>
      <c r="D199" s="174"/>
      <c r="E199" s="174"/>
      <c r="F199" s="182">
        <v>98.0</v>
      </c>
      <c r="G199" s="172" t="str">
        <f>IFERROR(__xludf.DUMMYFUNCTION("TRIM(REGEXREPLACE(C199, ""[0-9]+[a-f]?\."", """"))"),"")</f>
        <v/>
      </c>
      <c r="H199" s="172" t="str">
        <f>IFERROR(__xludf.DUMMYFUNCTION("TRIM(REGEXREPLACE(D199, ""[0-9]+[a-f]?\."", """"))"),"")</f>
        <v/>
      </c>
      <c r="I199" s="172" t="str">
        <f>IFERROR(__xludf.DUMMYFUNCTION("TRIM(REGEXREPLACE(E199, ""[0-9]+[a-f]?\."", """"))"),"")</f>
        <v/>
      </c>
      <c r="J199" s="172" t="s">
        <v>1559</v>
      </c>
      <c r="K199" s="172" t="s">
        <v>1560</v>
      </c>
      <c r="L199" s="172" t="s">
        <v>1561</v>
      </c>
      <c r="M199" s="172"/>
      <c r="N199" s="172"/>
      <c r="O199" s="172"/>
      <c r="P199" s="172"/>
      <c r="Q199" s="172"/>
      <c r="R199" s="172"/>
      <c r="S199" s="172"/>
      <c r="T199" s="172"/>
      <c r="U199" s="172"/>
      <c r="V199" s="172"/>
      <c r="W199" s="172"/>
      <c r="X199" s="172"/>
      <c r="Y199" s="172"/>
      <c r="Z199" s="172"/>
    </row>
    <row r="200" hidden="1">
      <c r="A200" s="172"/>
      <c r="B200" s="174"/>
      <c r="C200" s="174"/>
      <c r="D200" s="174"/>
      <c r="E200" s="174"/>
      <c r="F200" s="182">
        <v>99.0</v>
      </c>
      <c r="G200" s="172" t="str">
        <f>IFERROR(__xludf.DUMMYFUNCTION("TRIM(REGEXREPLACE(C200, ""[0-9]+[a-f]?\."", """"))"),"")</f>
        <v/>
      </c>
      <c r="H200" s="172" t="str">
        <f>IFERROR(__xludf.DUMMYFUNCTION("TRIM(REGEXREPLACE(D200, ""[0-9]+[a-f]?\."", """"))"),"")</f>
        <v/>
      </c>
      <c r="I200" s="172" t="str">
        <f>IFERROR(__xludf.DUMMYFUNCTION("TRIM(REGEXREPLACE(E200, ""[0-9]+[a-f]?\."", """"))"),"")</f>
        <v/>
      </c>
      <c r="J200" s="172" t="s">
        <v>1562</v>
      </c>
      <c r="K200" s="172" t="s">
        <v>1563</v>
      </c>
      <c r="L200" s="172" t="s">
        <v>1564</v>
      </c>
      <c r="M200" s="172"/>
      <c r="N200" s="172"/>
      <c r="O200" s="172"/>
      <c r="P200" s="172"/>
      <c r="Q200" s="172"/>
      <c r="R200" s="172"/>
      <c r="S200" s="172"/>
      <c r="T200" s="172"/>
      <c r="U200" s="172"/>
      <c r="V200" s="172"/>
      <c r="W200" s="172"/>
      <c r="X200" s="172"/>
      <c r="Y200" s="172"/>
      <c r="Z200" s="172"/>
    </row>
    <row r="201" hidden="1">
      <c r="A201" s="172"/>
      <c r="B201" s="174"/>
      <c r="C201" s="174"/>
      <c r="D201" s="174"/>
      <c r="E201" s="174"/>
      <c r="F201" s="182">
        <v>81.0</v>
      </c>
      <c r="G201" s="172" t="str">
        <f>IFERROR(__xludf.DUMMYFUNCTION("TRIM(REGEXREPLACE(C201, ""[0-9]+[a-f]?\."", """"))"),"")</f>
        <v/>
      </c>
      <c r="H201" s="172" t="str">
        <f>IFERROR(__xludf.DUMMYFUNCTION("TRIM(REGEXREPLACE(D201, ""[0-9]+[a-f]?\."", """"))"),"")</f>
        <v/>
      </c>
      <c r="I201" s="172" t="str">
        <f>IFERROR(__xludf.DUMMYFUNCTION("TRIM(REGEXREPLACE(E201, ""[0-9]+[a-f]?\."", """"))"),"")</f>
        <v/>
      </c>
      <c r="J201" s="172" t="s">
        <v>1568</v>
      </c>
      <c r="K201" s="172" t="s">
        <v>1569</v>
      </c>
      <c r="L201" s="172" t="s">
        <v>1570</v>
      </c>
      <c r="M201" s="172"/>
      <c r="N201" s="172"/>
      <c r="O201" s="172"/>
      <c r="P201" s="172"/>
      <c r="Q201" s="172"/>
      <c r="R201" s="172"/>
      <c r="S201" s="172"/>
      <c r="T201" s="172"/>
      <c r="U201" s="172"/>
      <c r="V201" s="172"/>
      <c r="W201" s="172"/>
      <c r="X201" s="172"/>
      <c r="Y201" s="172"/>
      <c r="Z201" s="172"/>
    </row>
    <row r="202" hidden="1">
      <c r="A202" s="172"/>
      <c r="B202" s="174"/>
      <c r="C202" s="174"/>
      <c r="D202" s="174"/>
      <c r="E202" s="174"/>
      <c r="F202" s="182">
        <v>82.0</v>
      </c>
      <c r="G202" s="172" t="str">
        <f>IFERROR(__xludf.DUMMYFUNCTION("TRIM(REGEXREPLACE(C202, ""[0-9]+[a-f]?\."", """"))"),"")</f>
        <v/>
      </c>
      <c r="H202" s="172" t="str">
        <f>IFERROR(__xludf.DUMMYFUNCTION("TRIM(REGEXREPLACE(D202, ""[0-9]+[a-f]?\."", """"))"),"")</f>
        <v/>
      </c>
      <c r="I202" s="172" t="str">
        <f>IFERROR(__xludf.DUMMYFUNCTION("TRIM(REGEXREPLACE(E202, ""[0-9]+[a-f]?\."", """"))"),"")</f>
        <v/>
      </c>
      <c r="J202" s="172" t="s">
        <v>1573</v>
      </c>
      <c r="K202" s="172" t="s">
        <v>1574</v>
      </c>
      <c r="L202" s="172" t="s">
        <v>1576</v>
      </c>
      <c r="M202" s="172"/>
      <c r="N202" s="172"/>
      <c r="O202" s="172"/>
      <c r="P202" s="172"/>
      <c r="Q202" s="172"/>
      <c r="R202" s="172"/>
      <c r="S202" s="172"/>
      <c r="T202" s="172"/>
      <c r="U202" s="172"/>
      <c r="V202" s="172"/>
      <c r="W202" s="172"/>
      <c r="X202" s="172"/>
      <c r="Y202" s="172"/>
      <c r="Z202" s="172"/>
    </row>
    <row r="203" hidden="1">
      <c r="A203" s="172"/>
      <c r="B203" s="174"/>
      <c r="C203" s="174"/>
      <c r="D203" s="174"/>
      <c r="E203" s="174"/>
      <c r="F203" s="182">
        <v>83.0</v>
      </c>
      <c r="G203" s="172" t="str">
        <f>IFERROR(__xludf.DUMMYFUNCTION("TRIM(REGEXREPLACE(C203, ""[0-9]+[a-f]?\."", """"))"),"")</f>
        <v/>
      </c>
      <c r="H203" s="172" t="str">
        <f>IFERROR(__xludf.DUMMYFUNCTION("TRIM(REGEXREPLACE(D203, ""[0-9]+[a-f]?\."", """"))"),"")</f>
        <v/>
      </c>
      <c r="I203" s="172" t="str">
        <f>IFERROR(__xludf.DUMMYFUNCTION("TRIM(REGEXREPLACE(E203, ""[0-9]+[a-f]?\."", """"))"),"")</f>
        <v/>
      </c>
      <c r="J203" s="172" t="s">
        <v>1577</v>
      </c>
      <c r="K203" s="172" t="s">
        <v>1578</v>
      </c>
      <c r="L203" s="172" t="s">
        <v>1579</v>
      </c>
      <c r="M203" s="172"/>
      <c r="N203" s="172"/>
      <c r="O203" s="172"/>
      <c r="P203" s="172"/>
      <c r="Q203" s="172"/>
      <c r="R203" s="172"/>
      <c r="S203" s="172"/>
      <c r="T203" s="172"/>
      <c r="U203" s="172"/>
      <c r="V203" s="172"/>
      <c r="W203" s="172"/>
      <c r="X203" s="172"/>
      <c r="Y203" s="172"/>
      <c r="Z203" s="172"/>
    </row>
    <row r="204" hidden="1">
      <c r="A204" s="172"/>
      <c r="B204" s="174"/>
      <c r="C204" s="174"/>
      <c r="D204" s="174"/>
      <c r="E204" s="174"/>
      <c r="F204" s="175"/>
      <c r="G204" s="172" t="str">
        <f>IFERROR(__xludf.DUMMYFUNCTION("TRIM(REGEXREPLACE(C204, ""[0-9]+[a-f]?\."", """"))"),"")</f>
        <v/>
      </c>
      <c r="H204" s="172" t="str">
        <f>IFERROR(__xludf.DUMMYFUNCTION("TRIM(REGEXREPLACE(D204, ""[0-9]+[a-f]?\."", """"))"),"")</f>
        <v/>
      </c>
      <c r="I204" s="172" t="str">
        <f>IFERROR(__xludf.DUMMYFUNCTION("TRIM(REGEXREPLACE(E204, ""[0-9]+[a-f]?\."", """"))"),"")</f>
        <v/>
      </c>
      <c r="J204" s="172" t="s">
        <v>1583</v>
      </c>
      <c r="K204" s="172" t="s">
        <v>1584</v>
      </c>
      <c r="L204" s="176" t="s">
        <v>1585</v>
      </c>
      <c r="M204" s="172"/>
      <c r="N204" s="172"/>
      <c r="O204" s="172"/>
      <c r="P204" s="172"/>
      <c r="Q204" s="172"/>
      <c r="R204" s="172"/>
      <c r="S204" s="172"/>
      <c r="T204" s="172"/>
      <c r="U204" s="172"/>
      <c r="V204" s="172"/>
      <c r="W204" s="172"/>
      <c r="X204" s="172"/>
      <c r="Y204" s="172"/>
      <c r="Z204" s="172"/>
    </row>
    <row r="205" hidden="1">
      <c r="A205" s="172"/>
      <c r="B205" s="174"/>
      <c r="C205" s="174"/>
      <c r="D205" s="174"/>
      <c r="E205" s="174"/>
      <c r="F205" s="175"/>
      <c r="G205" s="172" t="str">
        <f>IFERROR(__xludf.DUMMYFUNCTION("TRIM(REGEXREPLACE(C205, ""[0-9]+[a-f]?\."", """"))"),"")</f>
        <v/>
      </c>
      <c r="H205" s="172" t="str">
        <f>IFERROR(__xludf.DUMMYFUNCTION("TRIM(REGEXREPLACE(D205, ""[0-9]+[a-f]?\."", """"))"),"")</f>
        <v/>
      </c>
      <c r="I205" s="172" t="str">
        <f>IFERROR(__xludf.DUMMYFUNCTION("TRIM(REGEXREPLACE(E205, ""[0-9]+[a-f]?\."", """"))"),"")</f>
        <v/>
      </c>
      <c r="J205" s="172" t="s">
        <v>1586</v>
      </c>
      <c r="K205" s="172" t="s">
        <v>1587</v>
      </c>
      <c r="L205" s="176" t="s">
        <v>1588</v>
      </c>
      <c r="M205" s="172"/>
      <c r="N205" s="172"/>
      <c r="O205" s="172"/>
      <c r="P205" s="172"/>
      <c r="Q205" s="172"/>
      <c r="R205" s="172"/>
      <c r="S205" s="172"/>
      <c r="T205" s="172"/>
      <c r="U205" s="172"/>
      <c r="V205" s="172"/>
      <c r="W205" s="172"/>
      <c r="X205" s="172"/>
      <c r="Y205" s="172"/>
      <c r="Z205" s="172"/>
    </row>
    <row r="206" hidden="1">
      <c r="A206" s="188" t="s">
        <v>68</v>
      </c>
      <c r="B206" s="189" t="s">
        <v>1589</v>
      </c>
      <c r="C206" s="190"/>
      <c r="D206" s="190"/>
      <c r="E206" s="190"/>
      <c r="F206" s="182">
        <v>95.0</v>
      </c>
      <c r="G206" s="172" t="str">
        <f>IFERROR(__xludf.DUMMYFUNCTION("TRIM(REGEXREPLACE(C206, ""[0-9]+[a-f]?\."", """"))"),"")</f>
        <v/>
      </c>
      <c r="H206" s="172" t="str">
        <f>IFERROR(__xludf.DUMMYFUNCTION("TRIM(REGEXREPLACE(D206, ""[0-9]+[a-f]?\."", """"))"),"")</f>
        <v/>
      </c>
      <c r="I206" s="172" t="str">
        <f>IFERROR(__xludf.DUMMYFUNCTION("TRIM(REGEXREPLACE(E206, ""[0-9]+[a-f]?\."", """"))"),"")</f>
        <v/>
      </c>
      <c r="J206" s="172" t="s">
        <v>1593</v>
      </c>
      <c r="K206" s="172" t="s">
        <v>1594</v>
      </c>
      <c r="L206" s="172" t="s">
        <v>1595</v>
      </c>
      <c r="M206" s="172"/>
      <c r="N206" s="172"/>
      <c r="O206" s="172"/>
      <c r="P206" s="172"/>
      <c r="Q206" s="172"/>
      <c r="R206" s="172"/>
      <c r="S206" s="172"/>
      <c r="T206" s="172"/>
      <c r="U206" s="172"/>
      <c r="V206" s="172"/>
      <c r="W206" s="172"/>
      <c r="X206" s="172"/>
      <c r="Y206" s="172"/>
      <c r="Z206" s="172"/>
    </row>
    <row r="207">
      <c r="A207" s="253" t="s">
        <v>246</v>
      </c>
      <c r="B207" s="254" t="s">
        <v>1596</v>
      </c>
      <c r="C207" s="254" t="s">
        <v>932</v>
      </c>
      <c r="D207" s="254" t="s">
        <v>933</v>
      </c>
      <c r="E207" s="254" t="s">
        <v>1597</v>
      </c>
      <c r="F207" s="182">
        <v>29.0</v>
      </c>
      <c r="G207" s="172" t="str">
        <f>IFERROR(__xludf.DUMMYFUNCTION("TRIM(REGEXREPLACE(C207, ""[0-9]+[a-f]?\."", """"))"),"How many weeks did you spend in ${pm_missed_location} during ${pm_missed_period}?")</f>
        <v>How many weeks did you spend in ${pm_missed_location} during ${pm_missed_period}?</v>
      </c>
      <c r="H207" s="172" t="str">
        <f>IFERROR(__xludf.DUMMYFUNCTION("TRIM(REGEXREPLACE(D207, ""[0-9]+[a-f]?\."", """"))"),"Combien de semaines avez-vous passées à ${pm_missed_location} entre ${pm_missed_period_french} ?")</f>
        <v>Combien de semaines avez-vous passées à ${pm_missed_location} entre ${pm_missed_period_french} ?</v>
      </c>
      <c r="I207" s="172" t="str">
        <f>IFERROR(__xludf.DUMMYFUNCTION("TRIM(REGEXREPLACE(E207, ""[0-9]+[a-f]?\."", """"))"),"Tsawon sati nawa ne ka zauna a ${pm_missed_period_hausa} lokacin ${pm_missed_period}?")</f>
        <v>Tsawon sati nawa ne ka zauna a ${pm_missed_period_hausa} lokacin ${pm_missed_period}?</v>
      </c>
      <c r="J207" s="172" t="str">
        <f t="shared" ref="J207:L207" si="29">$F207 &amp; ". " &amp;G207</f>
        <v>29. How many weeks did you spend in ${pm_missed_location} during ${pm_missed_period}?</v>
      </c>
      <c r="K207" s="172" t="str">
        <f t="shared" si="29"/>
        <v>29. Combien de semaines avez-vous passées à ${pm_missed_location} entre ${pm_missed_period_french} ?</v>
      </c>
      <c r="L207" s="172" t="str">
        <f t="shared" si="29"/>
        <v>29. Tsawon sati nawa ne ka zauna a ${pm_missed_period_hausa} lokacin ${pm_missed_period}?</v>
      </c>
      <c r="M207" s="172"/>
      <c r="N207" s="172"/>
      <c r="O207" s="172"/>
      <c r="P207" s="172"/>
      <c r="Q207" s="172"/>
      <c r="R207" s="172"/>
      <c r="S207" s="172"/>
      <c r="T207" s="172"/>
      <c r="U207" s="172"/>
      <c r="V207" s="172"/>
      <c r="W207" s="172"/>
      <c r="X207" s="172"/>
      <c r="Y207" s="172"/>
      <c r="Z207" s="172"/>
    </row>
    <row r="208">
      <c r="A208" s="215" t="s">
        <v>353</v>
      </c>
      <c r="B208" s="216" t="s">
        <v>1601</v>
      </c>
      <c r="C208" s="216" t="s">
        <v>935</v>
      </c>
      <c r="D208" s="216" t="s">
        <v>936</v>
      </c>
      <c r="E208" s="216" t="s">
        <v>1602</v>
      </c>
      <c r="F208" s="182">
        <v>30.0</v>
      </c>
      <c r="G208" s="172" t="str">
        <f>IFERROR(__xludf.DUMMYFUNCTION("TRIM(REGEXREPLACE(C208, ""[0-9]+[a-f]?\."", """"))"),"Did you work for pay in ${pm_missed_location} during ${pm_missed_period}?")</f>
        <v>Did you work for pay in ${pm_missed_location} during ${pm_missed_period}?</v>
      </c>
      <c r="H208" s="172" t="str">
        <f>IFERROR(__xludf.DUMMYFUNCTION("TRIM(REGEXREPLACE(D208, ""[0-9]+[a-f]?\."", """"))"),"Avez-vous travaillé contre Paiement dans ${pm_missed_location} pendant ${pm_missed_period_french}?")</f>
        <v>Avez-vous travaillé contre Paiement dans ${pm_missed_location} pendant ${pm_missed_period_french}?</v>
      </c>
      <c r="I208" s="172" t="str">
        <f>IFERROR(__xludf.DUMMYFUNCTION("TRIM(REGEXREPLACE(E208, ""[0-9]+[a-f]?\."", """"))"),"Ko kun yi wani aikin biya a ${pm_missed_location} lokacin ${pm_missed_period}?")</f>
        <v>Ko kun yi wani aikin biya a ${pm_missed_location} lokacin ${pm_missed_period}?</v>
      </c>
      <c r="J208" s="172" t="str">
        <f t="shared" ref="J208:L208" si="30">$F208 &amp; ". " &amp;G208</f>
        <v>30. Did you work for pay in ${pm_missed_location} during ${pm_missed_period}?</v>
      </c>
      <c r="K208" s="172" t="str">
        <f t="shared" si="30"/>
        <v>30. Avez-vous travaillé contre Paiement dans ${pm_missed_location} pendant ${pm_missed_period_french}?</v>
      </c>
      <c r="L208" s="172" t="str">
        <f t="shared" si="30"/>
        <v>30. Ko kun yi wani aikin biya a ${pm_missed_location} lokacin ${pm_missed_period}?</v>
      </c>
      <c r="M208" s="172"/>
      <c r="N208" s="172"/>
      <c r="O208" s="172"/>
      <c r="P208" s="172"/>
      <c r="Q208" s="172"/>
      <c r="R208" s="172"/>
      <c r="S208" s="172"/>
      <c r="T208" s="172"/>
      <c r="U208" s="172"/>
      <c r="V208" s="172"/>
      <c r="W208" s="172"/>
      <c r="X208" s="172"/>
      <c r="Y208" s="172"/>
      <c r="Z208" s="172"/>
    </row>
    <row r="209">
      <c r="A209" s="253" t="s">
        <v>246</v>
      </c>
      <c r="B209" s="254" t="s">
        <v>1603</v>
      </c>
      <c r="C209" s="254" t="s">
        <v>946</v>
      </c>
      <c r="D209" s="254" t="s">
        <v>947</v>
      </c>
      <c r="E209" s="254" t="s">
        <v>1605</v>
      </c>
      <c r="F209" s="182">
        <v>31.0</v>
      </c>
      <c r="G209" s="172" t="str">
        <f>IFERROR(__xludf.DUMMYFUNCTION("TRIM(REGEXREPLACE(C209, ""[0-9]+[a-f]?\."", """"))"),"Thinking about income from all the jobs you worked, in ${pm_missed_location} during ${pm_missed_period}, approximately how much did you earn each week?")</f>
        <v>Thinking about income from all the jobs you worked, in ${pm_missed_location} during ${pm_missed_period}, approximately how much did you earn each week?</v>
      </c>
      <c r="H209" s="172" t="str">
        <f>IFERROR(__xludf.DUMMYFUNCTION("TRIM(REGEXREPLACE(D209, ""[0-9]+[a-f]?\."", """"))"),"En pensant aux revenus de tous les emplois que vous avez occupés, dans ${pm_missed_location} pendant ${pm_missed_period_french}, combien avez-vous gagné chaque semaine?")</f>
        <v>En pensant aux revenus de tous les emplois que vous avez occupés, dans ${pm_missed_location} pendant ${pm_missed_period_french}, combien avez-vous gagné chaque semaine?</v>
      </c>
      <c r="I209" s="172" t="str">
        <f>IFERROR(__xludf.DUMMYFUNCTION("TRIM(REGEXREPLACE(E209, ""[0-9]+[a-f]?\."", """"))"),"Tuna da samun kuɗin da ka yi ga dukkan ayyukan da ka yi, a ${pm_missed_location} a lokacin ${pm_missed_period_hausa}, misalin nawa kake samu a kowane sati?")</f>
        <v>Tuna da samun kuɗin da ka yi ga dukkan ayyukan da ka yi, a ${pm_missed_location} a lokacin ${pm_missed_period_hausa}, misalin nawa kake samu a kowane sati?</v>
      </c>
      <c r="J209" s="172" t="str">
        <f t="shared" ref="J209:L209" si="31">$F209 &amp; ". " &amp;G209</f>
        <v>31. Thinking about income from all the jobs you worked, in ${pm_missed_location} during ${pm_missed_period}, approximately how much did you earn each week?</v>
      </c>
      <c r="K209" s="172" t="str">
        <f t="shared" si="31"/>
        <v>31. En pensant aux revenus de tous les emplois que vous avez occupés, dans ${pm_missed_location} pendant ${pm_missed_period_french}, combien avez-vous gagné chaque semaine?</v>
      </c>
      <c r="L209" s="172" t="str">
        <f t="shared" si="31"/>
        <v>31. Tuna da samun kuɗin da ka yi ga dukkan ayyukan da ka yi, a ${pm_missed_location} a lokacin ${pm_missed_period_hausa}, misalin nawa kake samu a kowane sati?</v>
      </c>
      <c r="M209" s="172"/>
      <c r="N209" s="172"/>
      <c r="O209" s="172"/>
      <c r="P209" s="172"/>
      <c r="Q209" s="172"/>
      <c r="R209" s="172"/>
      <c r="S209" s="172"/>
      <c r="T209" s="172"/>
      <c r="U209" s="172"/>
      <c r="V209" s="172"/>
      <c r="W209" s="172"/>
      <c r="X209" s="172"/>
      <c r="Y209" s="172"/>
      <c r="Z209" s="172"/>
    </row>
    <row r="210" hidden="1">
      <c r="A210" s="172"/>
      <c r="B210" s="174"/>
      <c r="C210" s="174"/>
      <c r="D210" s="174"/>
      <c r="E210" s="174"/>
      <c r="F210" s="182">
        <v>86.0</v>
      </c>
      <c r="G210" s="172" t="str">
        <f>IFERROR(__xludf.DUMMYFUNCTION("TRIM(REGEXREPLACE(C210, ""[0-9]+[a-f]?\."", """"))"),"")</f>
        <v/>
      </c>
      <c r="H210" s="172" t="str">
        <f>IFERROR(__xludf.DUMMYFUNCTION("TRIM(REGEXREPLACE(D210, ""[0-9]+[a-f]?\."", """"))"),"")</f>
        <v/>
      </c>
      <c r="I210" s="172" t="str">
        <f>IFERROR(__xludf.DUMMYFUNCTION("TRIM(REGEXREPLACE(E210, ""[0-9]+[a-f]?\."", """"))"),"")</f>
        <v/>
      </c>
      <c r="J210" s="172" t="s">
        <v>1608</v>
      </c>
      <c r="K210" s="172" t="s">
        <v>1609</v>
      </c>
      <c r="L210" s="172" t="s">
        <v>1610</v>
      </c>
      <c r="M210" s="172"/>
      <c r="N210" s="172"/>
      <c r="O210" s="172"/>
      <c r="P210" s="172"/>
      <c r="Q210" s="172"/>
      <c r="R210" s="172"/>
      <c r="S210" s="172"/>
      <c r="T210" s="172"/>
      <c r="U210" s="172"/>
      <c r="V210" s="172"/>
      <c r="W210" s="172"/>
      <c r="X210" s="172"/>
      <c r="Y210" s="172"/>
      <c r="Z210" s="172"/>
    </row>
    <row r="211">
      <c r="A211" s="253" t="s">
        <v>246</v>
      </c>
      <c r="B211" s="254" t="s">
        <v>1611</v>
      </c>
      <c r="C211" s="254" t="s">
        <v>950</v>
      </c>
      <c r="D211" s="254" t="s">
        <v>951</v>
      </c>
      <c r="E211" s="254" t="s">
        <v>1612</v>
      </c>
      <c r="F211" s="182">
        <v>32.0</v>
      </c>
      <c r="G211" s="172" t="str">
        <f>IFERROR(__xludf.DUMMYFUNCTION("TRIM(REGEXREPLACE(C211, ""[0-9]+[a-f]?\."", """"))"),"How many total weeks did you work for pay?")</f>
        <v>How many total weeks did you work for pay?</v>
      </c>
      <c r="H211" s="172" t="str">
        <f>IFERROR(__xludf.DUMMYFUNCTION("TRIM(REGEXREPLACE(D211, ""[0-9]+[a-f]?\."", """"))"),"Combien de semaines au total avez-vous travaillé pour le salaire?")</f>
        <v>Combien de semaines au total avez-vous travaillé pour le salaire?</v>
      </c>
      <c r="I211" s="172" t="str">
        <f>IFERROR(__xludf.DUMMYFUNCTION("TRIM(REGEXREPLACE(E211, ""[0-9]+[a-f]?\."", """"))"),"Gaba ɗaya tsawon sati nawa ka yi aikin albashi?")</f>
        <v>Gaba ɗaya tsawon sati nawa ka yi aikin albashi?</v>
      </c>
      <c r="J211" s="172" t="str">
        <f t="shared" ref="J211:L211" si="32">$F211 &amp; ". " &amp;G211</f>
        <v>32. How many total weeks did you work for pay?</v>
      </c>
      <c r="K211" s="172" t="str">
        <f t="shared" si="32"/>
        <v>32. Combien de semaines au total avez-vous travaillé pour le salaire?</v>
      </c>
      <c r="L211" s="172" t="str">
        <f t="shared" si="32"/>
        <v>32. Gaba ɗaya tsawon sati nawa ka yi aikin albashi?</v>
      </c>
      <c r="M211" s="172"/>
      <c r="N211" s="172"/>
      <c r="O211" s="172"/>
      <c r="P211" s="172"/>
      <c r="Q211" s="172"/>
      <c r="R211" s="172"/>
      <c r="S211" s="172"/>
      <c r="T211" s="172"/>
      <c r="U211" s="172"/>
      <c r="V211" s="172"/>
      <c r="W211" s="172"/>
      <c r="X211" s="172"/>
      <c r="Y211" s="172"/>
      <c r="Z211" s="172"/>
    </row>
    <row r="212" hidden="1">
      <c r="A212" s="188" t="s">
        <v>68</v>
      </c>
      <c r="B212" s="189" t="s">
        <v>1616</v>
      </c>
      <c r="C212" s="217" t="s">
        <v>1617</v>
      </c>
      <c r="D212" s="190"/>
      <c r="E212" s="190"/>
      <c r="F212" s="182">
        <v>100.0</v>
      </c>
      <c r="G212" s="172" t="str">
        <f>IFERROR(__xludf.DUMMYFUNCTION("TRIM(REGEXREPLACE(C212, ""[0-9]+[a-f]?\."", """"))"),"Calculate income total for missed_location")</f>
        <v>Calculate income total for missed_location</v>
      </c>
      <c r="H212" s="172" t="str">
        <f>IFERROR(__xludf.DUMMYFUNCTION("TRIM(REGEXREPLACE(D212, ""[0-9]+[a-f]?\."", """"))"),"")</f>
        <v/>
      </c>
      <c r="I212" s="172" t="str">
        <f>IFERROR(__xludf.DUMMYFUNCTION("TRIM(REGEXREPLACE(E212, ""[0-9]+[a-f]?\."", """"))"),"")</f>
        <v/>
      </c>
      <c r="J212" s="172" t="s">
        <v>1621</v>
      </c>
      <c r="K212" s="172" t="s">
        <v>1622</v>
      </c>
      <c r="L212" s="172" t="s">
        <v>1623</v>
      </c>
      <c r="M212" s="172"/>
      <c r="N212" s="172"/>
      <c r="O212" s="172"/>
      <c r="P212" s="172"/>
      <c r="Q212" s="172"/>
      <c r="R212" s="172"/>
      <c r="S212" s="172"/>
      <c r="T212" s="172"/>
      <c r="U212" s="172"/>
      <c r="V212" s="172"/>
      <c r="W212" s="172"/>
      <c r="X212" s="172"/>
      <c r="Y212" s="172"/>
      <c r="Z212" s="172"/>
    </row>
    <row r="213" hidden="1">
      <c r="A213" s="172"/>
      <c r="B213" s="174"/>
      <c r="C213" s="174"/>
      <c r="D213" s="174"/>
      <c r="E213" s="174"/>
      <c r="F213" s="182">
        <v>88.0</v>
      </c>
      <c r="G213" s="172" t="str">
        <f>IFERROR(__xludf.DUMMYFUNCTION("TRIM(REGEXREPLACE(C213, ""[0-9]+[a-f]?\."", """"))"),"")</f>
        <v/>
      </c>
      <c r="H213" s="172" t="str">
        <f>IFERROR(__xludf.DUMMYFUNCTION("TRIM(REGEXREPLACE(D213, ""[0-9]+[a-f]?\."", """"))"),"")</f>
        <v/>
      </c>
      <c r="I213" s="172" t="str">
        <f>IFERROR(__xludf.DUMMYFUNCTION("TRIM(REGEXREPLACE(E213, ""[0-9]+[a-f]?\."", """"))"),"")</f>
        <v/>
      </c>
      <c r="J213" s="172" t="s">
        <v>1624</v>
      </c>
      <c r="K213" s="172" t="s">
        <v>1625</v>
      </c>
      <c r="L213" s="172" t="s">
        <v>1626</v>
      </c>
      <c r="M213" s="172"/>
      <c r="N213" s="172"/>
      <c r="O213" s="172"/>
      <c r="P213" s="172"/>
      <c r="Q213" s="172"/>
      <c r="R213" s="172"/>
      <c r="S213" s="172"/>
      <c r="T213" s="172"/>
      <c r="U213" s="172"/>
      <c r="V213" s="172"/>
      <c r="W213" s="172"/>
      <c r="X213" s="172"/>
      <c r="Y213" s="172"/>
      <c r="Z213" s="172"/>
    </row>
    <row r="214" hidden="1">
      <c r="A214" s="172"/>
      <c r="B214" s="174"/>
      <c r="C214" s="174"/>
      <c r="D214" s="174"/>
      <c r="E214" s="174"/>
      <c r="F214" s="182">
        <v>89.0</v>
      </c>
      <c r="G214" s="172" t="str">
        <f>IFERROR(__xludf.DUMMYFUNCTION("TRIM(REGEXREPLACE(C214, ""[0-9]+[a-f]?\."", """"))"),"")</f>
        <v/>
      </c>
      <c r="H214" s="172" t="str">
        <f>IFERROR(__xludf.DUMMYFUNCTION("TRIM(REGEXREPLACE(D214, ""[0-9]+[a-f]?\."", """"))"),"")</f>
        <v/>
      </c>
      <c r="I214" s="172" t="str">
        <f>IFERROR(__xludf.DUMMYFUNCTION("TRIM(REGEXREPLACE(E214, ""[0-9]+[a-f]?\."", """"))"),"")</f>
        <v/>
      </c>
      <c r="J214" s="172" t="s">
        <v>1627</v>
      </c>
      <c r="K214" s="172" t="s">
        <v>1628</v>
      </c>
      <c r="L214" s="172" t="s">
        <v>1629</v>
      </c>
      <c r="M214" s="172"/>
      <c r="N214" s="172"/>
      <c r="O214" s="172"/>
      <c r="P214" s="172"/>
      <c r="Q214" s="172"/>
      <c r="R214" s="172"/>
      <c r="S214" s="172"/>
      <c r="T214" s="172"/>
      <c r="U214" s="172"/>
      <c r="V214" s="172"/>
      <c r="W214" s="172"/>
      <c r="X214" s="172"/>
      <c r="Y214" s="172"/>
      <c r="Z214" s="172"/>
    </row>
    <row r="215" hidden="1">
      <c r="A215" s="172"/>
      <c r="B215" s="174"/>
      <c r="C215" s="174"/>
      <c r="D215" s="174"/>
      <c r="E215" s="174"/>
      <c r="F215" s="182">
        <v>90.0</v>
      </c>
      <c r="G215" s="172" t="str">
        <f>IFERROR(__xludf.DUMMYFUNCTION("TRIM(REGEXREPLACE(C215, ""[0-9]+[a-f]?\."", """"))"),"")</f>
        <v/>
      </c>
      <c r="H215" s="172" t="str">
        <f>IFERROR(__xludf.DUMMYFUNCTION("TRIM(REGEXREPLACE(D215, ""[0-9]+[a-f]?\."", """"))"),"")</f>
        <v/>
      </c>
      <c r="I215" s="172" t="str">
        <f>IFERROR(__xludf.DUMMYFUNCTION("TRIM(REGEXREPLACE(E215, ""[0-9]+[a-f]?\."", """"))"),"")</f>
        <v/>
      </c>
      <c r="J215" s="172" t="s">
        <v>1630</v>
      </c>
      <c r="K215" s="172" t="s">
        <v>1631</v>
      </c>
      <c r="L215" s="172" t="s">
        <v>1632</v>
      </c>
      <c r="M215" s="172"/>
      <c r="N215" s="172"/>
      <c r="O215" s="172"/>
      <c r="P215" s="172"/>
      <c r="Q215" s="172"/>
      <c r="R215" s="172"/>
      <c r="S215" s="172"/>
      <c r="T215" s="172"/>
      <c r="U215" s="172"/>
      <c r="V215" s="172"/>
      <c r="W215" s="172"/>
      <c r="X215" s="172"/>
      <c r="Y215" s="172"/>
      <c r="Z215" s="172"/>
    </row>
    <row r="216" hidden="1">
      <c r="A216" s="172"/>
      <c r="B216" s="174"/>
      <c r="C216" s="174"/>
      <c r="D216" s="174"/>
      <c r="E216" s="174"/>
      <c r="F216" s="182">
        <v>91.0</v>
      </c>
      <c r="G216" s="172" t="str">
        <f>IFERROR(__xludf.DUMMYFUNCTION("TRIM(REGEXREPLACE(C216, ""[0-9]+[a-f]?\."", """"))"),"")</f>
        <v/>
      </c>
      <c r="H216" s="172" t="str">
        <f>IFERROR(__xludf.DUMMYFUNCTION("TRIM(REGEXREPLACE(D216, ""[0-9]+[a-f]?\."", """"))"),"")</f>
        <v/>
      </c>
      <c r="I216" s="172" t="str">
        <f>IFERROR(__xludf.DUMMYFUNCTION("TRIM(REGEXREPLACE(E216, ""[0-9]+[a-f]?\."", """"))"),"")</f>
        <v/>
      </c>
      <c r="J216" s="172" t="s">
        <v>1633</v>
      </c>
      <c r="K216" s="172" t="s">
        <v>1634</v>
      </c>
      <c r="L216" s="172" t="s">
        <v>1635</v>
      </c>
      <c r="M216" s="172"/>
      <c r="N216" s="172"/>
      <c r="O216" s="172"/>
      <c r="P216" s="172"/>
      <c r="Q216" s="172"/>
      <c r="R216" s="172"/>
      <c r="S216" s="172"/>
      <c r="T216" s="172"/>
      <c r="U216" s="172"/>
      <c r="V216" s="172"/>
      <c r="W216" s="172"/>
      <c r="X216" s="172"/>
      <c r="Y216" s="172"/>
      <c r="Z216" s="172"/>
    </row>
    <row r="217" hidden="1">
      <c r="A217" s="172"/>
      <c r="B217" s="174"/>
      <c r="C217" s="174"/>
      <c r="D217" s="174"/>
      <c r="E217" s="174"/>
      <c r="F217" s="182">
        <v>92.0</v>
      </c>
      <c r="G217" s="172" t="str">
        <f>IFERROR(__xludf.DUMMYFUNCTION("TRIM(REGEXREPLACE(C217, ""[0-9]+[a-f]?\."", """"))"),"")</f>
        <v/>
      </c>
      <c r="H217" s="172" t="str">
        <f>IFERROR(__xludf.DUMMYFUNCTION("TRIM(REGEXREPLACE(D217, ""[0-9]+[a-f]?\."", """"))"),"")</f>
        <v/>
      </c>
      <c r="I217" s="172" t="str">
        <f>IFERROR(__xludf.DUMMYFUNCTION("TRIM(REGEXREPLACE(E217, ""[0-9]+[a-f]?\."", """"))"),"")</f>
        <v/>
      </c>
      <c r="J217" s="172" t="s">
        <v>1640</v>
      </c>
      <c r="K217" s="172" t="s">
        <v>1641</v>
      </c>
      <c r="L217" s="172" t="s">
        <v>1642</v>
      </c>
      <c r="M217" s="172"/>
      <c r="N217" s="172"/>
      <c r="O217" s="172"/>
      <c r="P217" s="172"/>
      <c r="Q217" s="172"/>
      <c r="R217" s="172"/>
      <c r="S217" s="172"/>
      <c r="T217" s="172"/>
      <c r="U217" s="172"/>
      <c r="V217" s="172"/>
      <c r="W217" s="172"/>
      <c r="X217" s="172"/>
      <c r="Y217" s="172"/>
      <c r="Z217" s="172"/>
    </row>
    <row r="218" hidden="1">
      <c r="A218" s="172"/>
      <c r="B218" s="174"/>
      <c r="C218" s="174"/>
      <c r="D218" s="174"/>
      <c r="E218" s="174"/>
      <c r="F218" s="182">
        <v>93.0</v>
      </c>
      <c r="G218" s="172" t="str">
        <f>IFERROR(__xludf.DUMMYFUNCTION("TRIM(REGEXREPLACE(C218, ""[0-9]+[a-f]?\."", """"))"),"")</f>
        <v/>
      </c>
      <c r="H218" s="172" t="str">
        <f>IFERROR(__xludf.DUMMYFUNCTION("TRIM(REGEXREPLACE(D218, ""[0-9]+[a-f]?\."", """"))"),"")</f>
        <v/>
      </c>
      <c r="I218" s="172" t="str">
        <f>IFERROR(__xludf.DUMMYFUNCTION("TRIM(REGEXREPLACE(E218, ""[0-9]+[a-f]?\."", """"))"),"")</f>
        <v/>
      </c>
      <c r="J218" s="172" t="s">
        <v>1643</v>
      </c>
      <c r="K218" s="172" t="s">
        <v>1644</v>
      </c>
      <c r="L218" s="172" t="s">
        <v>1645</v>
      </c>
      <c r="M218" s="172"/>
      <c r="N218" s="172"/>
      <c r="O218" s="172"/>
      <c r="P218" s="172"/>
      <c r="Q218" s="172"/>
      <c r="R218" s="172"/>
      <c r="S218" s="172"/>
      <c r="T218" s="172"/>
      <c r="U218" s="172"/>
      <c r="V218" s="172"/>
      <c r="W218" s="172"/>
      <c r="X218" s="172"/>
      <c r="Y218" s="172"/>
      <c r="Z218" s="172"/>
    </row>
    <row r="219" hidden="1">
      <c r="A219" s="172"/>
      <c r="B219" s="174"/>
      <c r="C219" s="174"/>
      <c r="D219" s="174"/>
      <c r="E219" s="174"/>
      <c r="F219" s="182">
        <v>94.0</v>
      </c>
      <c r="G219" s="172" t="str">
        <f>IFERROR(__xludf.DUMMYFUNCTION("TRIM(REGEXREPLACE(C219, ""[0-9]+[a-f]?\."", """"))"),"")</f>
        <v/>
      </c>
      <c r="H219" s="172" t="str">
        <f>IFERROR(__xludf.DUMMYFUNCTION("TRIM(REGEXREPLACE(D219, ""[0-9]+[a-f]?\."", """"))"),"")</f>
        <v/>
      </c>
      <c r="I219" s="172" t="str">
        <f>IFERROR(__xludf.DUMMYFUNCTION("TRIM(REGEXREPLACE(E219, ""[0-9]+[a-f]?\."", """"))"),"")</f>
        <v/>
      </c>
      <c r="J219" s="172" t="s">
        <v>1649</v>
      </c>
      <c r="K219" s="172" t="s">
        <v>1650</v>
      </c>
      <c r="L219" s="172" t="s">
        <v>1651</v>
      </c>
      <c r="M219" s="172"/>
      <c r="N219" s="172"/>
      <c r="O219" s="172"/>
      <c r="P219" s="172"/>
      <c r="Q219" s="172"/>
      <c r="R219" s="172"/>
      <c r="S219" s="172"/>
      <c r="T219" s="172"/>
      <c r="U219" s="172"/>
      <c r="V219" s="172"/>
      <c r="W219" s="172"/>
      <c r="X219" s="172"/>
      <c r="Y219" s="172"/>
      <c r="Z219" s="172"/>
    </row>
    <row r="220" hidden="1">
      <c r="A220" s="172"/>
      <c r="B220" s="174"/>
      <c r="C220" s="174"/>
      <c r="D220" s="174"/>
      <c r="E220" s="174"/>
      <c r="F220" s="182">
        <v>95.0</v>
      </c>
      <c r="G220" s="172" t="str">
        <f>IFERROR(__xludf.DUMMYFUNCTION("TRIM(REGEXREPLACE(C220, ""[0-9]+[a-f]?\."", """"))"),"")</f>
        <v/>
      </c>
      <c r="H220" s="172" t="str">
        <f>IFERROR(__xludf.DUMMYFUNCTION("TRIM(REGEXREPLACE(D220, ""[0-9]+[a-f]?\."", """"))"),"")</f>
        <v/>
      </c>
      <c r="I220" s="172" t="str">
        <f>IFERROR(__xludf.DUMMYFUNCTION("TRIM(REGEXREPLACE(E220, ""[0-9]+[a-f]?\."", """"))"),"")</f>
        <v/>
      </c>
      <c r="J220" s="172" t="s">
        <v>1655</v>
      </c>
      <c r="K220" s="172" t="s">
        <v>1656</v>
      </c>
      <c r="L220" s="172" t="s">
        <v>1657</v>
      </c>
      <c r="M220" s="172"/>
      <c r="N220" s="172"/>
      <c r="O220" s="172"/>
      <c r="P220" s="172"/>
      <c r="Q220" s="172"/>
      <c r="R220" s="172"/>
      <c r="S220" s="172"/>
      <c r="T220" s="172"/>
      <c r="U220" s="172"/>
      <c r="V220" s="172"/>
      <c r="W220" s="172"/>
      <c r="X220" s="172"/>
      <c r="Y220" s="172"/>
      <c r="Z220" s="172"/>
    </row>
    <row r="221" hidden="1">
      <c r="A221" s="172"/>
      <c r="B221" s="174"/>
      <c r="C221" s="174"/>
      <c r="D221" s="174"/>
      <c r="E221" s="174"/>
      <c r="F221" s="182">
        <v>96.0</v>
      </c>
      <c r="G221" s="172" t="str">
        <f>IFERROR(__xludf.DUMMYFUNCTION("TRIM(REGEXREPLACE(C221, ""[0-9]+[a-f]?\."", """"))"),"")</f>
        <v/>
      </c>
      <c r="H221" s="172" t="str">
        <f>IFERROR(__xludf.DUMMYFUNCTION("TRIM(REGEXREPLACE(D221, ""[0-9]+[a-f]?\."", """"))"),"")</f>
        <v/>
      </c>
      <c r="I221" s="172" t="str">
        <f>IFERROR(__xludf.DUMMYFUNCTION("TRIM(REGEXREPLACE(E221, ""[0-9]+[a-f]?\."", """"))"),"")</f>
        <v/>
      </c>
      <c r="J221" s="172" t="s">
        <v>1661</v>
      </c>
      <c r="K221" s="172" t="s">
        <v>1662</v>
      </c>
      <c r="L221" s="172" t="s">
        <v>1663</v>
      </c>
      <c r="M221" s="172"/>
      <c r="N221" s="172"/>
      <c r="O221" s="172"/>
      <c r="P221" s="172"/>
      <c r="Q221" s="172"/>
      <c r="R221" s="172"/>
      <c r="S221" s="172"/>
      <c r="T221" s="172"/>
      <c r="U221" s="172"/>
      <c r="V221" s="172"/>
      <c r="W221" s="172"/>
      <c r="X221" s="172"/>
      <c r="Y221" s="172"/>
      <c r="Z221" s="172"/>
    </row>
    <row r="222" hidden="1">
      <c r="A222" s="172"/>
      <c r="B222" s="174"/>
      <c r="C222" s="174"/>
      <c r="D222" s="174"/>
      <c r="E222" s="174"/>
      <c r="F222" s="182">
        <v>97.0</v>
      </c>
      <c r="G222" s="172" t="str">
        <f>IFERROR(__xludf.DUMMYFUNCTION("TRIM(REGEXREPLACE(C222, ""[0-9]+[a-f]?\."", """"))"),"")</f>
        <v/>
      </c>
      <c r="H222" s="172" t="str">
        <f>IFERROR(__xludf.DUMMYFUNCTION("TRIM(REGEXREPLACE(D222, ""[0-9]+[a-f]?\."", """"))"),"")</f>
        <v/>
      </c>
      <c r="I222" s="172" t="str">
        <f>IFERROR(__xludf.DUMMYFUNCTION("TRIM(REGEXREPLACE(E222, ""[0-9]+[a-f]?\."", """"))"),"")</f>
        <v/>
      </c>
      <c r="J222" s="172" t="s">
        <v>1667</v>
      </c>
      <c r="K222" s="172" t="s">
        <v>1668</v>
      </c>
      <c r="L222" s="172" t="s">
        <v>1669</v>
      </c>
      <c r="M222" s="172"/>
      <c r="N222" s="172"/>
      <c r="O222" s="172"/>
      <c r="P222" s="172"/>
      <c r="Q222" s="172"/>
      <c r="R222" s="172"/>
      <c r="S222" s="172"/>
      <c r="T222" s="172"/>
      <c r="U222" s="172"/>
      <c r="V222" s="172"/>
      <c r="W222" s="172"/>
      <c r="X222" s="172"/>
      <c r="Y222" s="172"/>
      <c r="Z222" s="172"/>
    </row>
    <row r="223" hidden="1">
      <c r="A223" s="172"/>
      <c r="B223" s="174"/>
      <c r="C223" s="174"/>
      <c r="D223" s="174"/>
      <c r="E223" s="174"/>
      <c r="F223" s="182">
        <v>100.0</v>
      </c>
      <c r="G223" s="172" t="str">
        <f>IFERROR(__xludf.DUMMYFUNCTION("TRIM(REGEXREPLACE(C223, ""[0-9]+[a-f]?\."", """"))"),"")</f>
        <v/>
      </c>
      <c r="H223" s="172" t="str">
        <f>IFERROR(__xludf.DUMMYFUNCTION("TRIM(REGEXREPLACE(D223, ""[0-9]+[a-f]?\."", """"))"),"")</f>
        <v/>
      </c>
      <c r="I223" s="172" t="str">
        <f>IFERROR(__xludf.DUMMYFUNCTION("TRIM(REGEXREPLACE(E223, ""[0-9]+[a-f]?\."", """"))"),"")</f>
        <v/>
      </c>
      <c r="J223" s="172" t="s">
        <v>1670</v>
      </c>
      <c r="K223" s="172" t="s">
        <v>1671</v>
      </c>
      <c r="L223" s="172" t="s">
        <v>1672</v>
      </c>
      <c r="M223" s="172"/>
      <c r="N223" s="172"/>
      <c r="O223" s="172"/>
      <c r="P223" s="172"/>
      <c r="Q223" s="172"/>
      <c r="R223" s="172"/>
      <c r="S223" s="172"/>
      <c r="T223" s="172"/>
      <c r="U223" s="172"/>
      <c r="V223" s="172"/>
      <c r="W223" s="172"/>
      <c r="X223" s="172"/>
      <c r="Y223" s="172"/>
      <c r="Z223" s="172"/>
    </row>
    <row r="224" hidden="1">
      <c r="A224" s="172"/>
      <c r="B224" s="174"/>
      <c r="C224" s="174"/>
      <c r="D224" s="174"/>
      <c r="E224" s="174"/>
      <c r="F224" s="182">
        <v>101.0</v>
      </c>
      <c r="G224" s="172" t="str">
        <f>IFERROR(__xludf.DUMMYFUNCTION("TRIM(REGEXREPLACE(C224, ""[0-9]+[a-f]?\."", """"))"),"")</f>
        <v/>
      </c>
      <c r="H224" s="172" t="str">
        <f>IFERROR(__xludf.DUMMYFUNCTION("TRIM(REGEXREPLACE(D224, ""[0-9]+[a-f]?\."", """"))"),"")</f>
        <v/>
      </c>
      <c r="I224" s="172" t="str">
        <f>IFERROR(__xludf.DUMMYFUNCTION("TRIM(REGEXREPLACE(E224, ""[0-9]+[a-f]?\."", """"))"),"")</f>
        <v/>
      </c>
      <c r="J224" s="172" t="s">
        <v>1676</v>
      </c>
      <c r="K224" s="172" t="s">
        <v>1677</v>
      </c>
      <c r="L224" s="172" t="s">
        <v>1678</v>
      </c>
      <c r="M224" s="172"/>
      <c r="N224" s="172"/>
      <c r="O224" s="172"/>
      <c r="P224" s="172"/>
      <c r="Q224" s="172"/>
      <c r="R224" s="172"/>
      <c r="S224" s="172"/>
      <c r="T224" s="172"/>
      <c r="U224" s="172"/>
      <c r="V224" s="172"/>
      <c r="W224" s="172"/>
      <c r="X224" s="172"/>
      <c r="Y224" s="172"/>
      <c r="Z224" s="172"/>
    </row>
    <row r="225" hidden="1">
      <c r="A225" s="172"/>
      <c r="B225" s="174"/>
      <c r="C225" s="174"/>
      <c r="D225" s="174"/>
      <c r="E225" s="174"/>
      <c r="F225" s="182">
        <v>102.0</v>
      </c>
      <c r="G225" s="172" t="str">
        <f>IFERROR(__xludf.DUMMYFUNCTION("TRIM(REGEXREPLACE(C225, ""[0-9]+[a-f]?\."", """"))"),"")</f>
        <v/>
      </c>
      <c r="H225" s="172" t="str">
        <f>IFERROR(__xludf.DUMMYFUNCTION("TRIM(REGEXREPLACE(D225, ""[0-9]+[a-f]?\."", """"))"),"")</f>
        <v/>
      </c>
      <c r="I225" s="172" t="str">
        <f>IFERROR(__xludf.DUMMYFUNCTION("TRIM(REGEXREPLACE(E225, ""[0-9]+[a-f]?\."", """"))"),"")</f>
        <v/>
      </c>
      <c r="J225" s="172" t="s">
        <v>1679</v>
      </c>
      <c r="K225" s="172" t="s">
        <v>1680</v>
      </c>
      <c r="L225" s="172" t="s">
        <v>1681</v>
      </c>
      <c r="M225" s="172"/>
      <c r="N225" s="172"/>
      <c r="O225" s="172"/>
      <c r="P225" s="172"/>
      <c r="Q225" s="172"/>
      <c r="R225" s="172"/>
      <c r="S225" s="172"/>
      <c r="T225" s="172"/>
      <c r="U225" s="172"/>
      <c r="V225" s="172"/>
      <c r="W225" s="172"/>
      <c r="X225" s="172"/>
      <c r="Y225" s="172"/>
      <c r="Z225" s="172"/>
    </row>
    <row r="226" hidden="1">
      <c r="A226" s="172"/>
      <c r="B226" s="174"/>
      <c r="C226" s="174"/>
      <c r="D226" s="174"/>
      <c r="E226" s="174"/>
      <c r="F226" s="182">
        <v>103.0</v>
      </c>
      <c r="G226" s="172" t="str">
        <f>IFERROR(__xludf.DUMMYFUNCTION("TRIM(REGEXREPLACE(C226, ""[0-9]+[a-f]?\."", """"))"),"")</f>
        <v/>
      </c>
      <c r="H226" s="172" t="str">
        <f>IFERROR(__xludf.DUMMYFUNCTION("TRIM(REGEXREPLACE(D226, ""[0-9]+[a-f]?\."", """"))"),"")</f>
        <v/>
      </c>
      <c r="I226" s="172" t="str">
        <f>IFERROR(__xludf.DUMMYFUNCTION("TRIM(REGEXREPLACE(E226, ""[0-9]+[a-f]?\."", """"))"),"")</f>
        <v/>
      </c>
      <c r="J226" s="172" t="s">
        <v>1685</v>
      </c>
      <c r="K226" s="172" t="s">
        <v>1686</v>
      </c>
      <c r="L226" s="172" t="s">
        <v>1687</v>
      </c>
      <c r="M226" s="172"/>
      <c r="N226" s="172"/>
      <c r="O226" s="172"/>
      <c r="P226" s="172"/>
      <c r="Q226" s="172"/>
      <c r="R226" s="172"/>
      <c r="S226" s="172"/>
      <c r="T226" s="172"/>
      <c r="U226" s="172"/>
      <c r="V226" s="172"/>
      <c r="W226" s="172"/>
      <c r="X226" s="172"/>
      <c r="Y226" s="172"/>
      <c r="Z226" s="172"/>
    </row>
    <row r="227" hidden="1">
      <c r="A227" s="172"/>
      <c r="B227" s="174"/>
      <c r="C227" s="174"/>
      <c r="D227" s="174"/>
      <c r="E227" s="174"/>
      <c r="F227" s="175"/>
      <c r="G227" s="172" t="str">
        <f>IFERROR(__xludf.DUMMYFUNCTION("TRIM(REGEXREPLACE(C227, ""[0-9]+[a-f]?\."", """"))"),"")</f>
        <v/>
      </c>
      <c r="H227" s="172" t="str">
        <f>IFERROR(__xludf.DUMMYFUNCTION("TRIM(REGEXREPLACE(D227, ""[0-9]+[a-f]?\."", """"))"),"")</f>
        <v/>
      </c>
      <c r="I227" s="172" t="str">
        <f>IFERROR(__xludf.DUMMYFUNCTION("TRIM(REGEXREPLACE(E227, ""[0-9]+[a-f]?\."", """"))"),"")</f>
        <v/>
      </c>
      <c r="J227" s="172" t="s">
        <v>1688</v>
      </c>
      <c r="K227" s="172" t="s">
        <v>1689</v>
      </c>
      <c r="L227" s="176" t="s">
        <v>1690</v>
      </c>
      <c r="M227" s="172"/>
      <c r="N227" s="172"/>
      <c r="O227" s="172"/>
      <c r="P227" s="172"/>
      <c r="Q227" s="172"/>
      <c r="R227" s="172"/>
      <c r="S227" s="172"/>
      <c r="T227" s="172"/>
      <c r="U227" s="172"/>
      <c r="V227" s="172"/>
      <c r="W227" s="172"/>
      <c r="X227" s="172"/>
      <c r="Y227" s="172"/>
      <c r="Z227" s="172"/>
    </row>
    <row r="228" hidden="1">
      <c r="A228" s="172"/>
      <c r="B228" s="174"/>
      <c r="C228" s="174"/>
      <c r="D228" s="174"/>
      <c r="E228" s="174"/>
      <c r="F228" s="182">
        <v>101.0</v>
      </c>
      <c r="G228" s="172" t="str">
        <f>IFERROR(__xludf.DUMMYFUNCTION("TRIM(REGEXREPLACE(C228, ""[0-9]+[a-f]?\."", """"))"),"")</f>
        <v/>
      </c>
      <c r="H228" s="172" t="str">
        <f>IFERROR(__xludf.DUMMYFUNCTION("TRIM(REGEXREPLACE(D228, ""[0-9]+[a-f]?\."", """"))"),"")</f>
        <v/>
      </c>
      <c r="I228" s="172" t="str">
        <f>IFERROR(__xludf.DUMMYFUNCTION("TRIM(REGEXREPLACE(E228, ""[0-9]+[a-f]?\."", """"))"),"")</f>
        <v/>
      </c>
      <c r="J228" s="172" t="s">
        <v>1691</v>
      </c>
      <c r="K228" s="172" t="s">
        <v>1692</v>
      </c>
      <c r="L228" s="172" t="s">
        <v>1693</v>
      </c>
      <c r="M228" s="172"/>
      <c r="N228" s="172"/>
      <c r="O228" s="172"/>
      <c r="P228" s="172"/>
      <c r="Q228" s="172"/>
      <c r="R228" s="172"/>
      <c r="S228" s="172"/>
      <c r="T228" s="172"/>
      <c r="U228" s="172"/>
      <c r="V228" s="172"/>
      <c r="W228" s="172"/>
      <c r="X228" s="172"/>
      <c r="Y228" s="172"/>
      <c r="Z228" s="172"/>
    </row>
    <row r="229" hidden="1">
      <c r="A229" s="172"/>
      <c r="B229" s="174"/>
      <c r="C229" s="174"/>
      <c r="D229" s="174"/>
      <c r="E229" s="174"/>
      <c r="F229" s="182">
        <v>102.0</v>
      </c>
      <c r="G229" s="172" t="str">
        <f>IFERROR(__xludf.DUMMYFUNCTION("TRIM(REGEXREPLACE(C229, ""[0-9]+[a-f]?\."", """"))"),"")</f>
        <v/>
      </c>
      <c r="H229" s="172" t="str">
        <f>IFERROR(__xludf.DUMMYFUNCTION("TRIM(REGEXREPLACE(D229, ""[0-9]+[a-f]?\."", """"))"),"")</f>
        <v/>
      </c>
      <c r="I229" s="172" t="str">
        <f>IFERROR(__xludf.DUMMYFUNCTION("TRIM(REGEXREPLACE(E229, ""[0-9]+[a-f]?\."", """"))"),"")</f>
        <v/>
      </c>
      <c r="J229" s="172" t="s">
        <v>1694</v>
      </c>
      <c r="K229" s="172" t="s">
        <v>1695</v>
      </c>
      <c r="L229" s="172" t="s">
        <v>1696</v>
      </c>
      <c r="M229" s="172"/>
      <c r="N229" s="172"/>
      <c r="O229" s="172"/>
      <c r="P229" s="172"/>
      <c r="Q229" s="172"/>
      <c r="R229" s="172"/>
      <c r="S229" s="172"/>
      <c r="T229" s="172"/>
      <c r="U229" s="172"/>
      <c r="V229" s="172"/>
      <c r="W229" s="172"/>
      <c r="X229" s="172"/>
      <c r="Y229" s="172"/>
      <c r="Z229" s="172"/>
    </row>
    <row r="230" hidden="1">
      <c r="A230" s="172"/>
      <c r="B230" s="174"/>
      <c r="C230" s="174"/>
      <c r="D230" s="174"/>
      <c r="E230" s="174"/>
      <c r="F230" s="182">
        <v>103.0</v>
      </c>
      <c r="G230" s="172" t="str">
        <f>IFERROR(__xludf.DUMMYFUNCTION("TRIM(REGEXREPLACE(C230, ""[0-9]+[a-f]?\."", """"))"),"")</f>
        <v/>
      </c>
      <c r="H230" s="172" t="str">
        <f>IFERROR(__xludf.DUMMYFUNCTION("TRIM(REGEXREPLACE(D230, ""[0-9]+[a-f]?\."", """"))"),"")</f>
        <v/>
      </c>
      <c r="I230" s="172" t="str">
        <f>IFERROR(__xludf.DUMMYFUNCTION("TRIM(REGEXREPLACE(E230, ""[0-9]+[a-f]?\."", """"))"),"")</f>
        <v/>
      </c>
      <c r="J230" s="172" t="s">
        <v>1699</v>
      </c>
      <c r="K230" s="172" t="s">
        <v>1700</v>
      </c>
      <c r="L230" s="172" t="s">
        <v>1702</v>
      </c>
      <c r="M230" s="172"/>
      <c r="N230" s="172"/>
      <c r="O230" s="172"/>
      <c r="P230" s="172"/>
      <c r="Q230" s="172"/>
      <c r="R230" s="172"/>
      <c r="S230" s="172"/>
      <c r="T230" s="172"/>
      <c r="U230" s="172"/>
      <c r="V230" s="172"/>
      <c r="W230" s="172"/>
      <c r="X230" s="172"/>
      <c r="Y230" s="172"/>
      <c r="Z230" s="172"/>
    </row>
    <row r="231" hidden="1">
      <c r="A231" s="172"/>
      <c r="B231" s="174"/>
      <c r="C231" s="174"/>
      <c r="D231" s="174"/>
      <c r="E231" s="174"/>
      <c r="F231" s="182">
        <v>104.0</v>
      </c>
      <c r="G231" s="172" t="str">
        <f>IFERROR(__xludf.DUMMYFUNCTION("TRIM(REGEXREPLACE(C231, ""[0-9]+[a-f]?\."", """"))"),"")</f>
        <v/>
      </c>
      <c r="H231" s="172" t="str">
        <f>IFERROR(__xludf.DUMMYFUNCTION("TRIM(REGEXREPLACE(D231, ""[0-9]+[a-f]?\."", """"))"),"")</f>
        <v/>
      </c>
      <c r="I231" s="172" t="str">
        <f>IFERROR(__xludf.DUMMYFUNCTION("TRIM(REGEXREPLACE(E231, ""[0-9]+[a-f]?\."", """"))"),"")</f>
        <v/>
      </c>
      <c r="J231" s="172" t="s">
        <v>1704</v>
      </c>
      <c r="K231" s="172" t="s">
        <v>1705</v>
      </c>
      <c r="L231" s="172" t="s">
        <v>1706</v>
      </c>
      <c r="M231" s="172"/>
      <c r="N231" s="172"/>
      <c r="O231" s="172"/>
      <c r="P231" s="172"/>
      <c r="Q231" s="172"/>
      <c r="R231" s="172"/>
      <c r="S231" s="172"/>
      <c r="T231" s="172"/>
      <c r="U231" s="172"/>
      <c r="V231" s="172"/>
      <c r="W231" s="172"/>
      <c r="X231" s="172"/>
      <c r="Y231" s="172"/>
      <c r="Z231" s="172"/>
    </row>
    <row r="232" hidden="1">
      <c r="A232" s="172"/>
      <c r="B232" s="174"/>
      <c r="C232" s="174"/>
      <c r="D232" s="174"/>
      <c r="E232" s="174"/>
      <c r="F232" s="182">
        <v>105.0</v>
      </c>
      <c r="G232" s="172" t="str">
        <f>IFERROR(__xludf.DUMMYFUNCTION("TRIM(REGEXREPLACE(C232, ""[0-9]+[a-f]?\."", """"))"),"")</f>
        <v/>
      </c>
      <c r="H232" s="172" t="str">
        <f>IFERROR(__xludf.DUMMYFUNCTION("TRIM(REGEXREPLACE(D232, ""[0-9]+[a-f]?\."", """"))"),"")</f>
        <v/>
      </c>
      <c r="I232" s="172" t="str">
        <f>IFERROR(__xludf.DUMMYFUNCTION("TRIM(REGEXREPLACE(E232, ""[0-9]+[a-f]?\."", """"))"),"")</f>
        <v/>
      </c>
      <c r="J232" s="172" t="s">
        <v>1708</v>
      </c>
      <c r="K232" s="172" t="s">
        <v>1710</v>
      </c>
      <c r="L232" s="172" t="s">
        <v>1711</v>
      </c>
      <c r="M232" s="172"/>
      <c r="N232" s="172"/>
      <c r="O232" s="172"/>
      <c r="P232" s="172"/>
      <c r="Q232" s="172"/>
      <c r="R232" s="172"/>
      <c r="S232" s="172"/>
      <c r="T232" s="172"/>
      <c r="U232" s="172"/>
      <c r="V232" s="172"/>
      <c r="W232" s="172"/>
      <c r="X232" s="172"/>
      <c r="Y232" s="172"/>
      <c r="Z232" s="172"/>
    </row>
    <row r="233" hidden="1">
      <c r="A233" s="172"/>
      <c r="B233" s="174"/>
      <c r="C233" s="174"/>
      <c r="D233" s="174"/>
      <c r="E233" s="174"/>
      <c r="F233" s="182">
        <v>106.0</v>
      </c>
      <c r="G233" s="172" t="str">
        <f>IFERROR(__xludf.DUMMYFUNCTION("TRIM(REGEXREPLACE(C233, ""[0-9]+[a-f]?\."", """"))"),"")</f>
        <v/>
      </c>
      <c r="H233" s="172" t="str">
        <f>IFERROR(__xludf.DUMMYFUNCTION("TRIM(REGEXREPLACE(D233, ""[0-9]+[a-f]?\."", """"))"),"")</f>
        <v/>
      </c>
      <c r="I233" s="172" t="str">
        <f>IFERROR(__xludf.DUMMYFUNCTION("TRIM(REGEXREPLACE(E233, ""[0-9]+[a-f]?\."", """"))"),"")</f>
        <v/>
      </c>
      <c r="J233" s="172" t="s">
        <v>1713</v>
      </c>
      <c r="K233" s="172" t="s">
        <v>1714</v>
      </c>
      <c r="L233" s="172" t="s">
        <v>1715</v>
      </c>
      <c r="M233" s="172"/>
      <c r="N233" s="172"/>
      <c r="O233" s="172"/>
      <c r="P233" s="172"/>
      <c r="Q233" s="172"/>
      <c r="R233" s="172"/>
      <c r="S233" s="172"/>
      <c r="T233" s="172"/>
      <c r="U233" s="172"/>
      <c r="V233" s="172"/>
      <c r="W233" s="172"/>
      <c r="X233" s="172"/>
      <c r="Y233" s="172"/>
      <c r="Z233" s="172"/>
    </row>
    <row r="234" hidden="1">
      <c r="A234" s="172"/>
      <c r="B234" s="174"/>
      <c r="C234" s="174"/>
      <c r="D234" s="174"/>
      <c r="E234" s="174"/>
      <c r="F234" s="182">
        <v>107.0</v>
      </c>
      <c r="G234" s="172" t="str">
        <f>IFERROR(__xludf.DUMMYFUNCTION("TRIM(REGEXREPLACE(C234, ""[0-9]+[a-f]?\."", """"))"),"")</f>
        <v/>
      </c>
      <c r="H234" s="172" t="str">
        <f>IFERROR(__xludf.DUMMYFUNCTION("TRIM(REGEXREPLACE(D234, ""[0-9]+[a-f]?\."", """"))"),"")</f>
        <v/>
      </c>
      <c r="I234" s="172" t="str">
        <f>IFERROR(__xludf.DUMMYFUNCTION("TRIM(REGEXREPLACE(E234, ""[0-9]+[a-f]?\."", """"))"),"")</f>
        <v/>
      </c>
      <c r="J234" s="172" t="s">
        <v>1716</v>
      </c>
      <c r="K234" s="172" t="s">
        <v>1717</v>
      </c>
      <c r="L234" s="172" t="s">
        <v>1719</v>
      </c>
      <c r="M234" s="172"/>
      <c r="N234" s="172"/>
      <c r="O234" s="172"/>
      <c r="P234" s="172"/>
      <c r="Q234" s="172"/>
      <c r="R234" s="172"/>
      <c r="S234" s="172"/>
      <c r="T234" s="172"/>
      <c r="U234" s="172"/>
      <c r="V234" s="172"/>
      <c r="W234" s="172"/>
      <c r="X234" s="172"/>
      <c r="Y234" s="172"/>
      <c r="Z234" s="172"/>
    </row>
    <row r="235" hidden="1">
      <c r="A235" s="172"/>
      <c r="B235" s="174"/>
      <c r="C235" s="174"/>
      <c r="D235" s="174"/>
      <c r="E235" s="174"/>
      <c r="F235" s="182">
        <v>108.0</v>
      </c>
      <c r="G235" s="172" t="str">
        <f>IFERROR(__xludf.DUMMYFUNCTION("TRIM(REGEXREPLACE(C235, ""[0-9]+[a-f]?\."", """"))"),"")</f>
        <v/>
      </c>
      <c r="H235" s="172" t="str">
        <f>IFERROR(__xludf.DUMMYFUNCTION("TRIM(REGEXREPLACE(D235, ""[0-9]+[a-f]?\."", """"))"),"")</f>
        <v/>
      </c>
      <c r="I235" s="172" t="str">
        <f>IFERROR(__xludf.DUMMYFUNCTION("TRIM(REGEXREPLACE(E235, ""[0-9]+[a-f]?\."", """"))"),"")</f>
        <v/>
      </c>
      <c r="J235" s="172" t="s">
        <v>1722</v>
      </c>
      <c r="K235" s="172" t="s">
        <v>1723</v>
      </c>
      <c r="L235" s="172" t="s">
        <v>1723</v>
      </c>
      <c r="M235" s="172"/>
      <c r="N235" s="172"/>
      <c r="O235" s="172"/>
      <c r="P235" s="172"/>
      <c r="Q235" s="172"/>
      <c r="R235" s="172"/>
      <c r="S235" s="172"/>
      <c r="T235" s="172"/>
      <c r="U235" s="172"/>
      <c r="V235" s="172"/>
      <c r="W235" s="172"/>
      <c r="X235" s="172"/>
      <c r="Y235" s="172"/>
      <c r="Z235" s="172"/>
    </row>
    <row r="236" hidden="1">
      <c r="A236" s="172"/>
      <c r="B236" s="174"/>
      <c r="C236" s="174"/>
      <c r="D236" s="174"/>
      <c r="E236" s="174"/>
      <c r="F236" s="182">
        <v>107.0</v>
      </c>
      <c r="G236" s="172" t="str">
        <f>IFERROR(__xludf.DUMMYFUNCTION("TRIM(REGEXREPLACE(C236, ""[0-9]+[a-f]?\."", """"))"),"")</f>
        <v/>
      </c>
      <c r="H236" s="172" t="str">
        <f>IFERROR(__xludf.DUMMYFUNCTION("TRIM(REGEXREPLACE(D236, ""[0-9]+[a-f]?\."", """"))"),"")</f>
        <v/>
      </c>
      <c r="I236" s="172" t="str">
        <f>IFERROR(__xludf.DUMMYFUNCTION("TRIM(REGEXREPLACE(E236, ""[0-9]+[a-f]?\."", """"))"),"")</f>
        <v/>
      </c>
      <c r="J236" s="172" t="s">
        <v>1725</v>
      </c>
      <c r="K236" s="172" t="s">
        <v>1726</v>
      </c>
      <c r="L236" s="172" t="s">
        <v>1728</v>
      </c>
      <c r="M236" s="172"/>
      <c r="N236" s="172"/>
      <c r="O236" s="172"/>
      <c r="P236" s="172"/>
      <c r="Q236" s="172"/>
      <c r="R236" s="172"/>
      <c r="S236" s="172"/>
      <c r="T236" s="172"/>
      <c r="U236" s="172"/>
      <c r="V236" s="172"/>
      <c r="W236" s="172"/>
      <c r="X236" s="172"/>
      <c r="Y236" s="172"/>
      <c r="Z236" s="172"/>
    </row>
    <row r="237">
      <c r="A237" s="215" t="s">
        <v>353</v>
      </c>
      <c r="B237" s="216" t="s">
        <v>1730</v>
      </c>
      <c r="C237" s="216" t="s">
        <v>961</v>
      </c>
      <c r="D237" s="216" t="s">
        <v>1731</v>
      </c>
      <c r="E237" s="216" t="s">
        <v>1732</v>
      </c>
      <c r="F237" s="182">
        <v>33.0</v>
      </c>
      <c r="G237" s="172" t="str">
        <f>IFERROR(__xludf.DUMMYFUNCTION("TRIM(REGEXREPLACE(C237, ""[0-9]+[a-f]?\."", """"))"),"In a typical week did you cut the size of meals or skipped meals?")</f>
        <v>In a typical week did you cut the size of meals or skipped meals?</v>
      </c>
      <c r="H237" s="172" t="str">
        <f>IFERROR(__xludf.DUMMYFUNCTION("TRIM(REGEXREPLACE(D237, ""[0-9]+[a-f]?\."", """"))"),"Au cours d'une semaine normale, avez-vous réduit la taille des repas ou sauté des repas ?")</f>
        <v>Au cours d'une semaine normale, avez-vous réduit la taille des repas ou sauté des repas ?</v>
      </c>
      <c r="I237" s="172" t="str">
        <f>IFERROR(__xludf.DUMMYFUNCTION("TRIM(REGEXREPLACE(E237, ""[0-9]+[a-f]?\."", """"))"),"A cikin mako guda ko kun rage yawan abincin da kuka saba ci ko kun tsallake abincin gaba ɗaya?")</f>
        <v>A cikin mako guda ko kun rage yawan abincin da kuka saba ci ko kun tsallake abincin gaba ɗaya?</v>
      </c>
      <c r="J237" s="172" t="str">
        <f t="shared" ref="J237:L237" si="33">$F237 &amp; ". " &amp;G237</f>
        <v>33. In a typical week did you cut the size of meals or skipped meals?</v>
      </c>
      <c r="K237" s="172" t="str">
        <f t="shared" si="33"/>
        <v>33. Au cours d'une semaine normale, avez-vous réduit la taille des repas ou sauté des repas ?</v>
      </c>
      <c r="L237" s="172" t="str">
        <f t="shared" si="33"/>
        <v>33. A cikin mako guda ko kun rage yawan abincin da kuka saba ci ko kun tsallake abincin gaba ɗaya?</v>
      </c>
      <c r="M237" s="172"/>
      <c r="N237" s="172"/>
      <c r="O237" s="172"/>
      <c r="P237" s="172"/>
      <c r="Q237" s="172"/>
      <c r="R237" s="172"/>
      <c r="S237" s="172"/>
      <c r="T237" s="172"/>
      <c r="U237" s="172"/>
      <c r="V237" s="172"/>
      <c r="W237" s="172"/>
      <c r="X237" s="172"/>
      <c r="Y237" s="172"/>
      <c r="Z237" s="172"/>
    </row>
    <row r="238">
      <c r="A238" s="253" t="s">
        <v>246</v>
      </c>
      <c r="B238" s="254" t="s">
        <v>1733</v>
      </c>
      <c r="C238" s="254" t="s">
        <v>954</v>
      </c>
      <c r="D238" s="254" t="s">
        <v>955</v>
      </c>
      <c r="E238" s="254" t="s">
        <v>956</v>
      </c>
      <c r="F238" s="182">
        <v>34.0</v>
      </c>
      <c r="G238" s="172" t="str">
        <f>IFERROR(__xludf.DUMMYFUNCTION("TRIM(REGEXREPLACE(C238, ""[0-9]+[a-f]?\."", """"))"),"How many days?")</f>
        <v>How many days?</v>
      </c>
      <c r="H238" s="172" t="str">
        <f>IFERROR(__xludf.DUMMYFUNCTION("TRIM(REGEXREPLACE(D238, ""[0-9]+[a-f]?\."", """"))"),"Combien de jours?")</f>
        <v>Combien de jours?</v>
      </c>
      <c r="I238" s="172" t="str">
        <f>IFERROR(__xludf.DUMMYFUNCTION("TRIM(REGEXREPLACE(E238, ""[0-9]+[a-f]?\."", """"))"),"Kwanaki nawa?")</f>
        <v>Kwanaki nawa?</v>
      </c>
      <c r="J238" s="172" t="str">
        <f t="shared" ref="J238:L238" si="34">$F238 &amp; ". " &amp;G238</f>
        <v>34. How many days?</v>
      </c>
      <c r="K238" s="172" t="str">
        <f t="shared" si="34"/>
        <v>34. Combien de jours?</v>
      </c>
      <c r="L238" s="172" t="str">
        <f t="shared" si="34"/>
        <v>34. Kwanaki nawa?</v>
      </c>
      <c r="M238" s="172"/>
      <c r="N238" s="172"/>
      <c r="O238" s="172"/>
      <c r="P238" s="172"/>
      <c r="Q238" s="172"/>
      <c r="R238" s="172"/>
      <c r="S238" s="172"/>
      <c r="T238" s="172"/>
      <c r="U238" s="172"/>
      <c r="V238" s="172"/>
      <c r="W238" s="172"/>
      <c r="X238" s="172"/>
      <c r="Y238" s="172"/>
      <c r="Z238" s="172"/>
    </row>
    <row r="239">
      <c r="A239" s="207" t="s">
        <v>41</v>
      </c>
      <c r="B239" s="208" t="s">
        <v>1737</v>
      </c>
      <c r="C239" s="208" t="s">
        <v>969</v>
      </c>
      <c r="D239" s="208" t="s">
        <v>1738</v>
      </c>
      <c r="E239" s="208" t="s">
        <v>1739</v>
      </c>
      <c r="F239" s="182">
        <v>35.0</v>
      </c>
      <c r="G239" s="172" t="str">
        <f>IFERROR(__xludf.DUMMYFUNCTION("TRIM(REGEXREPLACE(C239, ""[0-9]+[a-f]?\."", """"))"),"Now I will ask about some things that may have happened to you during ${pm_missed_period}. Think about all the time you spent in ${pm_missed_location} during ${pm_missed_period} when answering these questions")</f>
        <v>Now I will ask about some things that may have happened to you during ${pm_missed_period}. Think about all the time you spent in ${pm_missed_location} during ${pm_missed_period} when answering these questions</v>
      </c>
      <c r="H239" s="172" t="str">
        <f>IFERROR(__xludf.DUMMYFUNCTION("TRIM(REGEXREPLACE(D239, ""[0-9]+[a-f]?\."", """"))"),"Maintenant, je vais vous poser des questions sur certaines choses qui pourraient vous être arrivées à ${pm_missed_location} de ${pm_missed_period_french}.
 Pensez à tout le temps que vous avez passé à ${pm_missed_location} de ${pm_missed_period_french} "&amp;"lorsque vous répondez à ces questions")</f>
        <v>Maintenant, je vais vous poser des questions sur certaines choses qui pourraient vous être arrivées à ${pm_missed_location} de ${pm_missed_period_french}.
 Pensez à tout le temps que vous avez passé à ${pm_missed_location} de ${pm_missed_period_french} lorsque vous répondez à ces questions</v>
      </c>
      <c r="I239" s="172" t="str">
        <f>IFERROR(__xludf.DUMMYFUNCTION("TRIM(REGEXREPLACE(E239, ""[0-9]+[a-f]?\."", """"))"),"Yanzu zan yi tambaya game da wasu abubuwa da wataƙila sun faru da ku a cikin ${pm_missed_location} lokacin ${pm_missed_period_hausa}.
 Ka tuna da duk lokacin da ka zauna a ${pm_missed_location} lokacin ${pm_missed_period_hausa} lokacin amsa waɗannan tamba"&amp;"yoyin")</f>
        <v>Yanzu zan yi tambaya game da wasu abubuwa da wataƙila sun faru da ku a cikin ${pm_missed_location} lokacin ${pm_missed_period_hausa}.
 Ka tuna da duk lokacin da ka zauna a ${pm_missed_location} lokacin ${pm_missed_period_hausa} lokacin amsa waɗannan tambayoyin</v>
      </c>
      <c r="J239" s="172" t="str">
        <f t="shared" ref="J239:L239" si="35">$F239 &amp; ". " &amp;G239</f>
        <v>35. Now I will ask about some things that may have happened to you during ${pm_missed_period}. Think about all the time you spent in ${pm_missed_location} during ${pm_missed_period} when answering these questions</v>
      </c>
      <c r="K239" s="172" t="str">
        <f t="shared" si="35"/>
        <v>35. Maintenant, je vais vous poser des questions sur certaines choses qui pourraient vous être arrivées à ${pm_missed_location} de ${pm_missed_period_french}.
 Pensez à tout le temps que vous avez passé à ${pm_missed_location} de ${pm_missed_period_french} lorsque vous répondez à ces questions</v>
      </c>
      <c r="L239" s="172" t="str">
        <f t="shared" si="35"/>
        <v>35. Yanzu zan yi tambaya game da wasu abubuwa da wataƙila sun faru da ku a cikin ${pm_missed_location} lokacin ${pm_missed_period_hausa}.
 Ka tuna da duk lokacin da ka zauna a ${pm_missed_location} lokacin ${pm_missed_period_hausa} lokacin amsa waɗannan tambayoyin</v>
      </c>
      <c r="M239" s="172"/>
      <c r="N239" s="172"/>
      <c r="O239" s="172"/>
      <c r="P239" s="172"/>
      <c r="Q239" s="172"/>
      <c r="R239" s="172"/>
      <c r="S239" s="172"/>
      <c r="T239" s="172"/>
      <c r="U239" s="172"/>
      <c r="V239" s="172"/>
      <c r="W239" s="172"/>
      <c r="X239" s="172"/>
      <c r="Y239" s="172"/>
      <c r="Z239" s="172"/>
    </row>
    <row r="240">
      <c r="A240" s="215" t="s">
        <v>353</v>
      </c>
      <c r="B240" s="216" t="s">
        <v>1743</v>
      </c>
      <c r="C240" s="216" t="s">
        <v>974</v>
      </c>
      <c r="D240" s="216" t="s">
        <v>1744</v>
      </c>
      <c r="E240" s="216" t="s">
        <v>1745</v>
      </c>
      <c r="F240" s="182">
        <v>36.0</v>
      </c>
      <c r="G240" s="172" t="str">
        <f>IFERROR(__xludf.DUMMYFUNCTION("TRIM(REGEXREPLACE(C240, ""[0-9]+[a-f]?\."", """"))"),"During ${pm_missed_period}, did you ever plan to migrate but then have to cancel your plans?")</f>
        <v>During ${pm_missed_period}, did you ever plan to migrate but then have to cancel your plans?</v>
      </c>
      <c r="H240" s="172" t="str">
        <f>IFERROR(__xludf.DUMMYFUNCTION("TRIM(REGEXREPLACE(D240, ""[0-9]+[a-f]?\."", """"))"),"Pendant ${pm_missed_period_french}, avez-vous déjà prévu de migrer, mais ensuite vous avez dû annuler votre projet ?")</f>
        <v>Pendant ${pm_missed_period_french}, avez-vous déjà prévu de migrer, mais ensuite vous avez dû annuler votre projet ?</v>
      </c>
      <c r="I240" s="172" t="str">
        <f>IFERROR(__xludf.DUMMYFUNCTION("TRIM(REGEXREPLACE(E240, ""[0-9]+[a-f]?\."", """"))"),"A lokacin ${pm_missed_period_hausa}, ko ka taɓa tsara zuwa biɗa amma sai ka fasa daga baya ?")</f>
        <v>A lokacin ${pm_missed_period_hausa}, ko ka taɓa tsara zuwa biɗa amma sai ka fasa daga baya ?</v>
      </c>
      <c r="J240" s="172" t="str">
        <f t="shared" ref="J240:L240" si="36">$F240 &amp; ". " &amp;G240</f>
        <v>36. During ${pm_missed_period}, did you ever plan to migrate but then have to cancel your plans?</v>
      </c>
      <c r="K240" s="172" t="str">
        <f t="shared" si="36"/>
        <v>36. Pendant ${pm_missed_period_french}, avez-vous déjà prévu de migrer, mais ensuite vous avez dû annuler votre projet ?</v>
      </c>
      <c r="L240" s="172" t="str">
        <f t="shared" si="36"/>
        <v>36. A lokacin ${pm_missed_period_hausa}, ko ka taɓa tsara zuwa biɗa amma sai ka fasa daga baya ?</v>
      </c>
      <c r="M240" s="172"/>
      <c r="N240" s="172"/>
      <c r="O240" s="172"/>
      <c r="P240" s="172"/>
      <c r="Q240" s="172"/>
      <c r="R240" s="172"/>
      <c r="S240" s="172"/>
      <c r="T240" s="172"/>
      <c r="U240" s="172"/>
      <c r="V240" s="172"/>
      <c r="W240" s="172"/>
      <c r="X240" s="172"/>
      <c r="Y240" s="172"/>
      <c r="Z240" s="172"/>
    </row>
    <row r="241" hidden="1">
      <c r="A241" s="172"/>
      <c r="B241" s="174"/>
      <c r="C241" s="174"/>
      <c r="D241" s="174"/>
      <c r="E241" s="174"/>
      <c r="F241" s="182">
        <v>113.0</v>
      </c>
      <c r="G241" s="172" t="str">
        <f>IFERROR(__xludf.DUMMYFUNCTION("TRIM(REGEXREPLACE(C241, ""[0-9]+[a-f]?\."", """"))"),"")</f>
        <v/>
      </c>
      <c r="H241" s="172" t="str">
        <f>IFERROR(__xludf.DUMMYFUNCTION("TRIM(REGEXREPLACE(D241, ""[0-9]+[a-f]?\."", """"))"),"")</f>
        <v/>
      </c>
      <c r="I241" s="172" t="str">
        <f>IFERROR(__xludf.DUMMYFUNCTION("TRIM(REGEXREPLACE(E241, ""[0-9]+[a-f]?\."", """"))"),"")</f>
        <v/>
      </c>
      <c r="J241" s="172" t="s">
        <v>1751</v>
      </c>
      <c r="K241" s="172" t="s">
        <v>1752</v>
      </c>
      <c r="L241" s="172" t="s">
        <v>1753</v>
      </c>
      <c r="M241" s="172"/>
      <c r="N241" s="172"/>
      <c r="O241" s="172"/>
      <c r="P241" s="172"/>
      <c r="Q241" s="172"/>
      <c r="R241" s="172"/>
      <c r="S241" s="172"/>
      <c r="T241" s="172"/>
      <c r="U241" s="172"/>
      <c r="V241" s="172"/>
      <c r="W241" s="172"/>
      <c r="X241" s="172"/>
      <c r="Y241" s="172"/>
      <c r="Z241" s="172"/>
    </row>
    <row r="242" hidden="1">
      <c r="A242" s="172"/>
      <c r="B242" s="174"/>
      <c r="C242" s="174"/>
      <c r="D242" s="174"/>
      <c r="E242" s="174"/>
      <c r="F242" s="182">
        <v>114.0</v>
      </c>
      <c r="G242" s="172" t="str">
        <f>IFERROR(__xludf.DUMMYFUNCTION("TRIM(REGEXREPLACE(C242, ""[0-9]+[a-f]?\."", """"))"),"")</f>
        <v/>
      </c>
      <c r="H242" s="172" t="str">
        <f>IFERROR(__xludf.DUMMYFUNCTION("TRIM(REGEXREPLACE(D242, ""[0-9]+[a-f]?\."", """"))"),"")</f>
        <v/>
      </c>
      <c r="I242" s="172" t="str">
        <f>IFERROR(__xludf.DUMMYFUNCTION("TRIM(REGEXREPLACE(E242, ""[0-9]+[a-f]?\."", """"))"),"")</f>
        <v/>
      </c>
      <c r="J242" s="172" t="s">
        <v>1757</v>
      </c>
      <c r="K242" s="172" t="s">
        <v>1758</v>
      </c>
      <c r="L242" s="172" t="s">
        <v>1759</v>
      </c>
      <c r="M242" s="172"/>
      <c r="N242" s="172"/>
      <c r="O242" s="172"/>
      <c r="P242" s="172"/>
      <c r="Q242" s="172"/>
      <c r="R242" s="172"/>
      <c r="S242" s="172"/>
      <c r="T242" s="172"/>
      <c r="U242" s="172"/>
      <c r="V242" s="172"/>
      <c r="W242" s="172"/>
      <c r="X242" s="172"/>
      <c r="Y242" s="172"/>
      <c r="Z242" s="172"/>
    </row>
    <row r="243" hidden="1">
      <c r="A243" s="172"/>
      <c r="B243" s="174"/>
      <c r="C243" s="174"/>
      <c r="D243" s="174"/>
      <c r="E243" s="174"/>
      <c r="F243" s="182">
        <v>115.0</v>
      </c>
      <c r="G243" s="172" t="str">
        <f>IFERROR(__xludf.DUMMYFUNCTION("TRIM(REGEXREPLACE(C243, ""[0-9]+[a-f]?\."", """"))"),"")</f>
        <v/>
      </c>
      <c r="H243" s="172" t="str">
        <f>IFERROR(__xludf.DUMMYFUNCTION("TRIM(REGEXREPLACE(D243, ""[0-9]+[a-f]?\."", """"))"),"")</f>
        <v/>
      </c>
      <c r="I243" s="172" t="str">
        <f>IFERROR(__xludf.DUMMYFUNCTION("TRIM(REGEXREPLACE(E243, ""[0-9]+[a-f]?\."", """"))"),"")</f>
        <v/>
      </c>
      <c r="J243" s="172" t="s">
        <v>1762</v>
      </c>
      <c r="K243" s="172" t="s">
        <v>1764</v>
      </c>
      <c r="L243" s="172" t="s">
        <v>1765</v>
      </c>
      <c r="M243" s="172"/>
      <c r="N243" s="172"/>
      <c r="O243" s="172"/>
      <c r="P243" s="172"/>
      <c r="Q243" s="172"/>
      <c r="R243" s="172"/>
      <c r="S243" s="172"/>
      <c r="T243" s="172"/>
      <c r="U243" s="172"/>
      <c r="V243" s="172"/>
      <c r="W243" s="172"/>
      <c r="X243" s="172"/>
      <c r="Y243" s="172"/>
      <c r="Z243" s="172"/>
    </row>
    <row r="244" hidden="1">
      <c r="A244" s="172"/>
      <c r="B244" s="174"/>
      <c r="C244" s="174"/>
      <c r="D244" s="174"/>
      <c r="E244" s="174"/>
      <c r="F244" s="182">
        <v>116.0</v>
      </c>
      <c r="G244" s="172" t="str">
        <f>IFERROR(__xludf.DUMMYFUNCTION("TRIM(REGEXREPLACE(C244, ""[0-9]+[a-f]?\."", """"))"),"")</f>
        <v/>
      </c>
      <c r="H244" s="172" t="str">
        <f>IFERROR(__xludf.DUMMYFUNCTION("TRIM(REGEXREPLACE(D244, ""[0-9]+[a-f]?\."", """"))"),"")</f>
        <v/>
      </c>
      <c r="I244" s="172" t="str">
        <f>IFERROR(__xludf.DUMMYFUNCTION("TRIM(REGEXREPLACE(E244, ""[0-9]+[a-f]?\."", """"))"),"")</f>
        <v/>
      </c>
      <c r="J244" s="172" t="s">
        <v>1768</v>
      </c>
      <c r="K244" s="172" t="s">
        <v>1770</v>
      </c>
      <c r="L244" s="172" t="s">
        <v>1771</v>
      </c>
      <c r="M244" s="172"/>
      <c r="N244" s="172"/>
      <c r="O244" s="172"/>
      <c r="P244" s="172"/>
      <c r="Q244" s="172"/>
      <c r="R244" s="172"/>
      <c r="S244" s="172"/>
      <c r="T244" s="172"/>
      <c r="U244" s="172"/>
      <c r="V244" s="172"/>
      <c r="W244" s="172"/>
      <c r="X244" s="172"/>
      <c r="Y244" s="172"/>
      <c r="Z244" s="172"/>
    </row>
    <row r="245" hidden="1">
      <c r="A245" s="172"/>
      <c r="B245" s="174"/>
      <c r="C245" s="174"/>
      <c r="D245" s="174"/>
      <c r="E245" s="174"/>
      <c r="F245" s="182">
        <v>117.0</v>
      </c>
      <c r="G245" s="172" t="str">
        <f>IFERROR(__xludf.DUMMYFUNCTION("TRIM(REGEXREPLACE(C245, ""[0-9]+[a-f]?\."", """"))"),"")</f>
        <v/>
      </c>
      <c r="H245" s="172" t="str">
        <f>IFERROR(__xludf.DUMMYFUNCTION("TRIM(REGEXREPLACE(D245, ""[0-9]+[a-f]?\."", """"))"),"")</f>
        <v/>
      </c>
      <c r="I245" s="172" t="str">
        <f>IFERROR(__xludf.DUMMYFUNCTION("TRIM(REGEXREPLACE(E245, ""[0-9]+[a-f]?\."", """"))"),"")</f>
        <v/>
      </c>
      <c r="J245" s="172" t="s">
        <v>1772</v>
      </c>
      <c r="K245" s="172" t="s">
        <v>1773</v>
      </c>
      <c r="L245" s="172" t="s">
        <v>1774</v>
      </c>
      <c r="M245" s="172"/>
      <c r="N245" s="172"/>
      <c r="O245" s="172"/>
      <c r="P245" s="172"/>
      <c r="Q245" s="172"/>
      <c r="R245" s="172"/>
      <c r="S245" s="172"/>
      <c r="T245" s="172"/>
      <c r="U245" s="172"/>
      <c r="V245" s="172"/>
      <c r="W245" s="172"/>
      <c r="X245" s="172"/>
      <c r="Y245" s="172"/>
      <c r="Z245" s="172"/>
    </row>
    <row r="246" hidden="1">
      <c r="A246" s="211" t="s">
        <v>107</v>
      </c>
      <c r="B246" s="212" t="s">
        <v>1775</v>
      </c>
      <c r="C246" s="214"/>
      <c r="D246" s="214"/>
      <c r="E246" s="214"/>
      <c r="F246" s="182">
        <v>105.0</v>
      </c>
      <c r="G246" s="172" t="str">
        <f>IFERROR(__xludf.DUMMYFUNCTION("TRIM(REGEXREPLACE(C246, ""[0-9]+[a-f]?\."", """"))"),"")</f>
        <v/>
      </c>
      <c r="H246" s="172" t="str">
        <f>IFERROR(__xludf.DUMMYFUNCTION("TRIM(REGEXREPLACE(D246, ""[0-9]+[a-f]?\."", """"))"),"")</f>
        <v/>
      </c>
      <c r="I246" s="172" t="str">
        <f>IFERROR(__xludf.DUMMYFUNCTION("TRIM(REGEXREPLACE(E246, ""[0-9]+[a-f]?\."", """"))"),"")</f>
        <v/>
      </c>
      <c r="J246" s="172" t="s">
        <v>1779</v>
      </c>
      <c r="K246" s="172" t="s">
        <v>1780</v>
      </c>
      <c r="L246" s="172" t="s">
        <v>1781</v>
      </c>
      <c r="M246" s="172"/>
      <c r="N246" s="172"/>
      <c r="O246" s="172"/>
      <c r="P246" s="172"/>
      <c r="Q246" s="172"/>
      <c r="R246" s="172"/>
      <c r="S246" s="172"/>
      <c r="T246" s="172"/>
      <c r="U246" s="172"/>
      <c r="V246" s="172"/>
      <c r="W246" s="172"/>
      <c r="X246" s="172"/>
      <c r="Y246" s="172"/>
      <c r="Z246" s="172"/>
    </row>
    <row r="247">
      <c r="A247" s="215" t="s">
        <v>353</v>
      </c>
      <c r="B247" s="216" t="s">
        <v>1782</v>
      </c>
      <c r="C247" s="216" t="s">
        <v>985</v>
      </c>
      <c r="D247" s="216" t="s">
        <v>986</v>
      </c>
      <c r="E247" s="216" t="s">
        <v>1783</v>
      </c>
      <c r="F247" s="182">
        <v>37.0</v>
      </c>
      <c r="G247" s="172" t="str">
        <f>IFERROR(__xludf.DUMMYFUNCTION("TRIM(REGEXREPLACE(C247, ""[0-9]+[a-f]?\."", """"))"),"Have you experienced any of the following in ${pm_missed_location} during ${pm_missed_period}?")</f>
        <v>Have you experienced any of the following in ${pm_missed_location} during ${pm_missed_period}?</v>
      </c>
      <c r="H247" s="172" t="str">
        <f>IFERROR(__xludf.DUMMYFUNCTION("TRIM(REGEXREPLACE(D247, ""[0-9]+[a-f]?\."", """"))"),"Avez-vous vécu l'une des situations suivantes à cet endroit entre ${pm_missed_period_french} ?")</f>
        <v>Avez-vous vécu l'une des situations suivantes à cet endroit entre ${pm_missed_period_french} ?</v>
      </c>
      <c r="I247" s="172" t="str">
        <f>IFERROR(__xludf.DUMMYFUNCTION("TRIM(REGEXREPLACE(E247, ""[0-9]+[a-f]?\."", """"))"),"Ko ka taɓa fuskantar ɗayan waɗannan abubuwa a wannan wurin, lokacin ${pm_missed_period_hausa}?")</f>
        <v>Ko ka taɓa fuskantar ɗayan waɗannan abubuwa a wannan wurin, lokacin ${pm_missed_period_hausa}?</v>
      </c>
      <c r="J247" s="172" t="str">
        <f t="shared" ref="J247:L247" si="37">$F247 &amp; ". " &amp;G247</f>
        <v>37. Have you experienced any of the following in ${pm_missed_location} during ${pm_missed_period}?</v>
      </c>
      <c r="K247" s="172" t="str">
        <f t="shared" si="37"/>
        <v>37. Avez-vous vécu l'une des situations suivantes à cet endroit entre ${pm_missed_period_french} ?</v>
      </c>
      <c r="L247" s="172" t="str">
        <f t="shared" si="37"/>
        <v>37. Ko ka taɓa fuskantar ɗayan waɗannan abubuwa a wannan wurin, lokacin ${pm_missed_period_hausa}?</v>
      </c>
      <c r="M247" s="172"/>
      <c r="N247" s="172"/>
      <c r="O247" s="172"/>
      <c r="P247" s="172"/>
      <c r="Q247" s="172"/>
      <c r="R247" s="172"/>
      <c r="S247" s="172"/>
      <c r="T247" s="172"/>
      <c r="U247" s="172"/>
      <c r="V247" s="172"/>
      <c r="W247" s="172"/>
      <c r="X247" s="172"/>
      <c r="Y247" s="172"/>
      <c r="Z247" s="172"/>
    </row>
    <row r="248">
      <c r="A248" s="215" t="s">
        <v>353</v>
      </c>
      <c r="B248" s="216" t="s">
        <v>1785</v>
      </c>
      <c r="C248" s="216" t="s">
        <v>980</v>
      </c>
      <c r="D248" s="216" t="s">
        <v>981</v>
      </c>
      <c r="E248" s="216" t="s">
        <v>982</v>
      </c>
      <c r="F248" s="182">
        <v>38.0</v>
      </c>
      <c r="G248" s="172" t="str">
        <f>IFERROR(__xludf.DUMMYFUNCTION("TRIM(REGEXREPLACE(C248, ""[0-9]+[a-f]?\."", """"))"),"Physical attack")</f>
        <v>Physical attack</v>
      </c>
      <c r="H248" s="172" t="str">
        <f>IFERROR(__xludf.DUMMYFUNCTION("TRIM(REGEXREPLACE(D248, ""[0-9]+[a-f]?\."", """"))"),"Attaque physique")</f>
        <v>Attaque physique</v>
      </c>
      <c r="I248" s="172" t="str">
        <f>IFERROR(__xludf.DUMMYFUNCTION("TRIM(REGEXREPLACE(E248, ""[0-9]+[a-f]?\."", """"))"),"harin jiki")</f>
        <v>harin jiki</v>
      </c>
      <c r="J248" s="172" t="str">
        <f t="shared" ref="J248:L248" si="38">$F248 &amp; ". " &amp;G248</f>
        <v>38. Physical attack</v>
      </c>
      <c r="K248" s="172" t="str">
        <f t="shared" si="38"/>
        <v>38. Attaque physique</v>
      </c>
      <c r="L248" s="172" t="str">
        <f t="shared" si="38"/>
        <v>38. harin jiki</v>
      </c>
      <c r="M248" s="172"/>
      <c r="N248" s="172"/>
      <c r="O248" s="172"/>
      <c r="P248" s="172"/>
      <c r="Q248" s="172"/>
      <c r="R248" s="172"/>
      <c r="S248" s="172"/>
      <c r="T248" s="172"/>
      <c r="U248" s="172"/>
      <c r="V248" s="172"/>
      <c r="W248" s="172"/>
      <c r="X248" s="172"/>
      <c r="Y248" s="172"/>
      <c r="Z248" s="172"/>
    </row>
    <row r="249">
      <c r="A249" s="215" t="s">
        <v>353</v>
      </c>
      <c r="B249" s="216" t="s">
        <v>1786</v>
      </c>
      <c r="C249" s="216" t="s">
        <v>990</v>
      </c>
      <c r="D249" s="216" t="s">
        <v>991</v>
      </c>
      <c r="E249" s="216" t="s">
        <v>992</v>
      </c>
      <c r="F249" s="182">
        <v>39.0</v>
      </c>
      <c r="G249" s="172" t="str">
        <f>IFERROR(__xludf.DUMMYFUNCTION("TRIM(REGEXREPLACE(C249, ""[0-9]+[a-f]?\."", """"))"),"Threat of physical violence/attack")</f>
        <v>Threat of physical violence/attack</v>
      </c>
      <c r="H249" s="172" t="str">
        <f>IFERROR(__xludf.DUMMYFUNCTION("TRIM(REGEXREPLACE(D249, ""[0-9]+[a-f]?\."", """"))"),"Menace de violence physique/agression")</f>
        <v>Menace de violence physique/agression</v>
      </c>
      <c r="I249" s="172" t="str">
        <f>IFERROR(__xludf.DUMMYFUNCTION("TRIM(REGEXREPLACE(E249, ""[0-9]+[a-f]?\."", """"))"),"Barazanar ​​harin jiki")</f>
        <v>Barazanar ​​harin jiki</v>
      </c>
      <c r="J249" s="172" t="str">
        <f t="shared" ref="J249:L249" si="39">$F249 &amp; ". " &amp;G249</f>
        <v>39. Threat of physical violence/attack</v>
      </c>
      <c r="K249" s="172" t="str">
        <f t="shared" si="39"/>
        <v>39. Menace de violence physique/agression</v>
      </c>
      <c r="L249" s="172" t="str">
        <f t="shared" si="39"/>
        <v>39. Barazanar ​​harin jiki</v>
      </c>
      <c r="M249" s="172"/>
      <c r="N249" s="172"/>
      <c r="O249" s="172"/>
      <c r="P249" s="172"/>
      <c r="Q249" s="172"/>
      <c r="R249" s="172"/>
      <c r="S249" s="172"/>
      <c r="T249" s="172"/>
      <c r="U249" s="172"/>
      <c r="V249" s="172"/>
      <c r="W249" s="172"/>
      <c r="X249" s="172"/>
      <c r="Y249" s="172"/>
      <c r="Z249" s="172"/>
    </row>
    <row r="250">
      <c r="A250" s="215" t="s">
        <v>353</v>
      </c>
      <c r="B250" s="216" t="s">
        <v>1789</v>
      </c>
      <c r="C250" s="216" t="s">
        <v>994</v>
      </c>
      <c r="D250" s="216" t="s">
        <v>995</v>
      </c>
      <c r="E250" s="216" t="s">
        <v>1792</v>
      </c>
      <c r="F250" s="182">
        <v>40.0</v>
      </c>
      <c r="G250" s="172" t="str">
        <f>IFERROR(__xludf.DUMMYFUNCTION("TRIM(REGEXREPLACE(C250, ""[0-9]+[a-f]?\."", """"))"),"Theft of either money or property?")</f>
        <v>Theft of either money or property?</v>
      </c>
      <c r="H250" s="172" t="str">
        <f>IFERROR(__xludf.DUMMYFUNCTION("TRIM(REGEXREPLACE(D250, ""[0-9]+[a-f]?\."", """"))"),"Vol d'argent ou de biens ?")</f>
        <v>Vol d'argent ou de biens ?</v>
      </c>
      <c r="I250" s="172" t="str">
        <f>IFERROR(__xludf.DUMMYFUNCTION("TRIM(REGEXREPLACE(E250, ""[0-9]+[a-f]?\."", """"))"),"Satar kudi ko kaya?")</f>
        <v>Satar kudi ko kaya?</v>
      </c>
      <c r="J250" s="172" t="str">
        <f t="shared" ref="J250:L250" si="40">$F250 &amp; ". " &amp;G250</f>
        <v>40. Theft of either money or property?</v>
      </c>
      <c r="K250" s="172" t="str">
        <f t="shared" si="40"/>
        <v>40. Vol d'argent ou de biens ?</v>
      </c>
      <c r="L250" s="172" t="str">
        <f t="shared" si="40"/>
        <v>40. Satar kudi ko kaya?</v>
      </c>
      <c r="M250" s="172"/>
      <c r="N250" s="172"/>
      <c r="O250" s="172"/>
      <c r="P250" s="172"/>
      <c r="Q250" s="172"/>
      <c r="R250" s="172"/>
      <c r="S250" s="172"/>
      <c r="T250" s="172"/>
      <c r="U250" s="172"/>
      <c r="V250" s="172"/>
      <c r="W250" s="172"/>
      <c r="X250" s="172"/>
      <c r="Y250" s="172"/>
      <c r="Z250" s="172"/>
    </row>
    <row r="251" hidden="1">
      <c r="A251" s="172"/>
      <c r="B251" s="174"/>
      <c r="C251" s="174"/>
      <c r="D251" s="174"/>
      <c r="E251" s="174"/>
      <c r="F251" s="182">
        <v>116.0</v>
      </c>
      <c r="G251" s="172" t="str">
        <f>IFERROR(__xludf.DUMMYFUNCTION("TRIM(REGEXREPLACE(C251, ""[0-9]+[a-f]?\."", """"))"),"")</f>
        <v/>
      </c>
      <c r="H251" s="172" t="str">
        <f>IFERROR(__xludf.DUMMYFUNCTION("TRIM(REGEXREPLACE(D251, ""[0-9]+[a-f]?\."", """"))"),"")</f>
        <v/>
      </c>
      <c r="I251" s="172" t="str">
        <f>IFERROR(__xludf.DUMMYFUNCTION("TRIM(REGEXREPLACE(E251, ""[0-9]+[a-f]?\."", """"))"),"")</f>
        <v/>
      </c>
      <c r="J251" s="172" t="s">
        <v>1796</v>
      </c>
      <c r="K251" s="172" t="s">
        <v>1797</v>
      </c>
      <c r="L251" s="172" t="s">
        <v>1798</v>
      </c>
      <c r="M251" s="172"/>
      <c r="N251" s="172"/>
      <c r="O251" s="172"/>
      <c r="P251" s="172"/>
      <c r="Q251" s="172"/>
      <c r="R251" s="172"/>
      <c r="S251" s="172"/>
      <c r="T251" s="172"/>
      <c r="U251" s="172"/>
      <c r="V251" s="172"/>
      <c r="W251" s="172"/>
      <c r="X251" s="172"/>
      <c r="Y251" s="172"/>
      <c r="Z251" s="172"/>
    </row>
    <row r="252">
      <c r="A252" s="215" t="s">
        <v>353</v>
      </c>
      <c r="B252" s="216" t="s">
        <v>1799</v>
      </c>
      <c r="C252" s="216" t="s">
        <v>999</v>
      </c>
      <c r="D252" s="216" t="s">
        <v>1000</v>
      </c>
      <c r="E252" s="216" t="s">
        <v>1001</v>
      </c>
      <c r="F252" s="182">
        <v>41.0</v>
      </c>
      <c r="G252" s="172" t="str">
        <f>IFERROR(__xludf.DUMMYFUNCTION("TRIM(REGEXREPLACE(C252, ""[0-9]+[a-f]?\."", """"))"),"Detention or arrest by state security forces?")</f>
        <v>Detention or arrest by state security forces?</v>
      </c>
      <c r="H252" s="172" t="str">
        <f>IFERROR(__xludf.DUMMYFUNCTION("TRIM(REGEXREPLACE(D252, ""[0-9]+[a-f]?\."", """"))"),"Détention ou arrestation par les forces de sécurité de l'État ?")</f>
        <v>Détention ou arrestation par les forces de sécurité de l'État ?</v>
      </c>
      <c r="I252" s="172" t="str">
        <f>IFERROR(__xludf.DUMMYFUNCTION("TRIM(REGEXREPLACE(E252, ""[0-9]+[a-f]?\."", """"))"),"Kaso ko kamu daga jami'an tsaron gwamnati?")</f>
        <v>Kaso ko kamu daga jami'an tsaron gwamnati?</v>
      </c>
      <c r="J252" s="172" t="str">
        <f t="shared" ref="J252:L252" si="41">$F252 &amp; ". " &amp;G252</f>
        <v>41. Detention or arrest by state security forces?</v>
      </c>
      <c r="K252" s="172" t="str">
        <f t="shared" si="41"/>
        <v>41. Détention ou arrestation par les forces de sécurité de l'État ?</v>
      </c>
      <c r="L252" s="172" t="str">
        <f t="shared" si="41"/>
        <v>41. Kaso ko kamu daga jami'an tsaron gwamnati?</v>
      </c>
      <c r="M252" s="172"/>
      <c r="N252" s="172"/>
      <c r="O252" s="172"/>
      <c r="P252" s="172"/>
      <c r="Q252" s="172"/>
      <c r="R252" s="172"/>
      <c r="S252" s="172"/>
      <c r="T252" s="172"/>
      <c r="U252" s="172"/>
      <c r="V252" s="172"/>
      <c r="W252" s="172"/>
      <c r="X252" s="172"/>
      <c r="Y252" s="172"/>
      <c r="Z252" s="172"/>
    </row>
    <row r="253">
      <c r="A253" s="215" t="s">
        <v>353</v>
      </c>
      <c r="B253" s="216" t="s">
        <v>1801</v>
      </c>
      <c r="C253" s="216" t="s">
        <v>1006</v>
      </c>
      <c r="D253" s="216" t="s">
        <v>1007</v>
      </c>
      <c r="E253" s="216" t="s">
        <v>1008</v>
      </c>
      <c r="F253" s="182">
        <v>42.0</v>
      </c>
      <c r="G253" s="172" t="str">
        <f>IFERROR(__xludf.DUMMYFUNCTION("TRIM(REGEXREPLACE(C253, ""[0-9]+[a-f]?\."", """"))"),"Illness or injury that disrupted your daily life?")</f>
        <v>Illness or injury that disrupted your daily life?</v>
      </c>
      <c r="H253" s="172" t="str">
        <f>IFERROR(__xludf.DUMMYFUNCTION("TRIM(REGEXREPLACE(D253, ""[0-9]+[a-f]?\."", """"))"),"Une maladie ou une blessure qui a perturbé votre quotidien ?")</f>
        <v>Une maladie ou une blessure qui a perturbé votre quotidien ?</v>
      </c>
      <c r="I253" s="172" t="str">
        <f>IFERROR(__xludf.DUMMYFUNCTION("TRIM(REGEXREPLACE(E253, ""[0-9]+[a-f]?\."", """"))"),"Rashin lafiya ko rauni wanda ya kawo cikas ga rayuwarku ta yau da kullun?")</f>
        <v>Rashin lafiya ko rauni wanda ya kawo cikas ga rayuwarku ta yau da kullun?</v>
      </c>
      <c r="J253" s="172" t="str">
        <f t="shared" ref="J253:L253" si="42">$F253 &amp; ". " &amp;G253</f>
        <v>42. Illness or injury that disrupted your daily life?</v>
      </c>
      <c r="K253" s="172" t="str">
        <f t="shared" si="42"/>
        <v>42. Une maladie ou une blessure qui a perturbé votre quotidien ?</v>
      </c>
      <c r="L253" s="172" t="str">
        <f t="shared" si="42"/>
        <v>42. Rashin lafiya ko rauni wanda ya kawo cikas ga rayuwarku ta yau da kullun?</v>
      </c>
      <c r="M253" s="172"/>
      <c r="N253" s="172"/>
      <c r="O253" s="172"/>
      <c r="P253" s="172"/>
      <c r="Q253" s="172"/>
      <c r="R253" s="172"/>
      <c r="S253" s="172"/>
      <c r="T253" s="172"/>
      <c r="U253" s="172"/>
      <c r="V253" s="172"/>
      <c r="W253" s="172"/>
      <c r="X253" s="172"/>
      <c r="Y253" s="172"/>
      <c r="Z253" s="172"/>
    </row>
    <row r="254" hidden="1">
      <c r="A254" s="211" t="s">
        <v>238</v>
      </c>
      <c r="B254" s="224" t="s">
        <v>1775</v>
      </c>
      <c r="C254" s="225"/>
      <c r="D254" s="225"/>
      <c r="E254" s="225"/>
      <c r="F254" s="182">
        <v>112.0</v>
      </c>
      <c r="G254" s="172" t="str">
        <f>IFERROR(__xludf.DUMMYFUNCTION("TRIM(REGEXREPLACE(C254, ""[0-9]+[a-f]?\."", """"))"),"")</f>
        <v/>
      </c>
      <c r="H254" s="172" t="str">
        <f>IFERROR(__xludf.DUMMYFUNCTION("TRIM(REGEXREPLACE(D254, ""[0-9]+[a-f]?\."", """"))"),"")</f>
        <v/>
      </c>
      <c r="I254" s="172" t="str">
        <f>IFERROR(__xludf.DUMMYFUNCTION("TRIM(REGEXREPLACE(E254, ""[0-9]+[a-f]?\."", """"))"),"")</f>
        <v/>
      </c>
      <c r="J254" s="172" t="s">
        <v>1807</v>
      </c>
      <c r="K254" s="172" t="s">
        <v>1808</v>
      </c>
      <c r="L254" s="172" t="s">
        <v>1809</v>
      </c>
      <c r="M254" s="172"/>
      <c r="N254" s="172"/>
      <c r="O254" s="172"/>
      <c r="P254" s="172"/>
      <c r="Q254" s="172"/>
      <c r="R254" s="172"/>
      <c r="S254" s="172"/>
      <c r="T254" s="172"/>
      <c r="U254" s="172"/>
      <c r="V254" s="172"/>
      <c r="W254" s="172"/>
      <c r="X254" s="172"/>
      <c r="Y254" s="172"/>
      <c r="Z254" s="172"/>
    </row>
    <row r="255" hidden="1">
      <c r="A255" s="211" t="s">
        <v>107</v>
      </c>
      <c r="B255" s="212" t="s">
        <v>1811</v>
      </c>
      <c r="C255" s="212" t="s">
        <v>1812</v>
      </c>
      <c r="D255" s="214"/>
      <c r="E255" s="214"/>
      <c r="F255" s="182">
        <v>113.0</v>
      </c>
      <c r="G255" s="172" t="str">
        <f>IFERROR(__xludf.DUMMYFUNCTION("TRIM(REGEXREPLACE(C255, ""[0-9]+[a-f]?\."", """"))"),"Another location during missed followup")</f>
        <v>Another location during missed followup</v>
      </c>
      <c r="H255" s="172" t="str">
        <f>IFERROR(__xludf.DUMMYFUNCTION("TRIM(REGEXREPLACE(D255, ""[0-9]+[a-f]?\."", """"))"),"")</f>
        <v/>
      </c>
      <c r="I255" s="172" t="str">
        <f>IFERROR(__xludf.DUMMYFUNCTION("TRIM(REGEXREPLACE(E255, ""[0-9]+[a-f]?\."", """"))"),"")</f>
        <v/>
      </c>
      <c r="J255" s="172" t="s">
        <v>1815</v>
      </c>
      <c r="K255" s="172" t="s">
        <v>1816</v>
      </c>
      <c r="L255" s="172" t="s">
        <v>1817</v>
      </c>
      <c r="M255" s="172"/>
      <c r="N255" s="172"/>
      <c r="O255" s="172"/>
      <c r="P255" s="172"/>
      <c r="Q255" s="172"/>
      <c r="R255" s="172"/>
      <c r="S255" s="172"/>
      <c r="T255" s="172"/>
      <c r="U255" s="172"/>
      <c r="V255" s="172"/>
      <c r="W255" s="172"/>
      <c r="X255" s="172"/>
      <c r="Y255" s="172"/>
      <c r="Z255" s="172"/>
    </row>
    <row r="256">
      <c r="A256" s="215" t="s">
        <v>1818</v>
      </c>
      <c r="B256" s="216" t="s">
        <v>1819</v>
      </c>
      <c r="C256" s="216" t="s">
        <v>1009</v>
      </c>
      <c r="D256" s="216" t="s">
        <v>1010</v>
      </c>
      <c r="E256" s="216" t="s">
        <v>1820</v>
      </c>
      <c r="F256" s="182">
        <v>43.0</v>
      </c>
      <c r="G256" s="172" t="str">
        <f>IFERROR(__xludf.DUMMYFUNCTION("TRIM(REGEXREPLACE(C256, ""[0-9]+[a-f]?\."", """"))"),"What was the main reason you spent time in ${pm_missed_location} during ${pm_missed_period}?")</f>
        <v>What was the main reason you spent time in ${pm_missed_location} during ${pm_missed_period}?</v>
      </c>
      <c r="H256" s="172" t="str">
        <f>IFERROR(__xludf.DUMMYFUNCTION("TRIM(REGEXREPLACE(D256, ""[0-9]+[a-f]?\."", """"))"),"Quelle est la principale raison pour laquelle vous avez passé du temps à ${pm_missed_location} pendant ${pm_missed_period_french} ?")</f>
        <v>Quelle est la principale raison pour laquelle vous avez passé du temps à ${pm_missed_location} pendant ${pm_missed_period_french} ?</v>
      </c>
      <c r="I256" s="172" t="str">
        <f>IFERROR(__xludf.DUMMYFUNCTION("TRIM(REGEXREPLACE(E256, ""[0-9]+[a-f]?\."", """"))"),"Menene babban dalilin da ya sa ka zauna tsawon wani lokaci a ${pm_missed_location} lokacin ${pm_missed_period_hausa}?")</f>
        <v>Menene babban dalilin da ya sa ka zauna tsawon wani lokaci a ${pm_missed_location} lokacin ${pm_missed_period_hausa}?</v>
      </c>
      <c r="J256" s="172" t="str">
        <f t="shared" ref="J256:L256" si="43">$F256 &amp; ". " &amp;G256</f>
        <v>43. What was the main reason you spent time in ${pm_missed_location} during ${pm_missed_period}?</v>
      </c>
      <c r="K256" s="172" t="str">
        <f t="shared" si="43"/>
        <v>43. Quelle est la principale raison pour laquelle vous avez passé du temps à ${pm_missed_location} pendant ${pm_missed_period_french} ?</v>
      </c>
      <c r="L256" s="172" t="str">
        <f t="shared" si="43"/>
        <v>43. Menene babban dalilin da ya sa ka zauna tsawon wani lokaci a ${pm_missed_location} lokacin ${pm_missed_period_hausa}?</v>
      </c>
      <c r="M256" s="172"/>
      <c r="N256" s="172"/>
      <c r="O256" s="172"/>
      <c r="P256" s="172"/>
      <c r="Q256" s="172"/>
      <c r="R256" s="172"/>
      <c r="S256" s="172"/>
      <c r="T256" s="172"/>
      <c r="U256" s="172"/>
      <c r="V256" s="172"/>
      <c r="W256" s="172"/>
      <c r="X256" s="172"/>
      <c r="Y256" s="172"/>
      <c r="Z256" s="172"/>
    </row>
    <row r="257">
      <c r="A257" s="215" t="s">
        <v>353</v>
      </c>
      <c r="B257" s="216" t="s">
        <v>1823</v>
      </c>
      <c r="C257" s="216" t="s">
        <v>1016</v>
      </c>
      <c r="D257" s="216" t="s">
        <v>1017</v>
      </c>
      <c r="E257" s="216" t="s">
        <v>1019</v>
      </c>
      <c r="F257" s="182">
        <v>44.0</v>
      </c>
      <c r="G257" s="172" t="str">
        <f>IFERROR(__xludf.DUMMYFUNCTION("TRIM(REGEXREPLACE(C257, ""[0-9]+[a-f]?\."", """"))"),"In ${pm_missed_location} during ${pm_missed_period} did you share money with your household in ${pm_home_location}?")</f>
        <v>In ${pm_missed_location} during ${pm_missed_period} did you share money with your household in ${pm_home_location}?</v>
      </c>
      <c r="H257" s="172" t="str">
        <f>IFERROR(__xludf.DUMMYFUNCTION("TRIM(REGEXREPLACE(D257, ""[0-9]+[a-f]?\."", """"))"),"À ${pm_missed_location} pendant ${pm_missed_period_french} avez-vous envoyé de l'argent a votre ménage à ${pm_home_location} ?")</f>
        <v>À ${pm_missed_location} pendant ${pm_missed_period_french} avez-vous envoyé de l'argent a votre ménage à ${pm_home_location} ?</v>
      </c>
      <c r="I257" s="172" t="str">
        <f>IFERROR(__xludf.DUMMYFUNCTION("TRIM(REGEXREPLACE(E257, ""[0-9]+[a-f]?\."", """"))"),"A cikin ${pm_missed_location} lokacin ${pm_missed_period_hausa} kun aika kuɗi zuwa gidanku a ${pm_home_location}?")</f>
        <v>A cikin ${pm_missed_location} lokacin ${pm_missed_period_hausa} kun aika kuɗi zuwa gidanku a ${pm_home_location}?</v>
      </c>
      <c r="J257" s="172" t="str">
        <f t="shared" ref="J257:L257" si="44">$F257 &amp; ". " &amp;G257</f>
        <v>44. In ${pm_missed_location} during ${pm_missed_period} did you share money with your household in ${pm_home_location}?</v>
      </c>
      <c r="K257" s="172" t="str">
        <f t="shared" si="44"/>
        <v>44. À ${pm_missed_location} pendant ${pm_missed_period_french} avez-vous envoyé de l'argent a votre ménage à ${pm_home_location} ?</v>
      </c>
      <c r="L257" s="172" t="str">
        <f t="shared" si="44"/>
        <v>44. A cikin ${pm_missed_location} lokacin ${pm_missed_period_hausa} kun aika kuɗi zuwa gidanku a ${pm_home_location}?</v>
      </c>
      <c r="M257" s="172"/>
      <c r="N257" s="172"/>
      <c r="O257" s="172"/>
      <c r="P257" s="172"/>
      <c r="Q257" s="172"/>
      <c r="R257" s="172"/>
      <c r="S257" s="172"/>
      <c r="T257" s="172"/>
      <c r="U257" s="172"/>
      <c r="V257" s="172"/>
      <c r="W257" s="172"/>
      <c r="X257" s="172"/>
      <c r="Y257" s="172"/>
      <c r="Z257" s="172"/>
    </row>
    <row r="258">
      <c r="A258" s="207" t="s">
        <v>41</v>
      </c>
      <c r="B258" s="208" t="s">
        <v>1826</v>
      </c>
      <c r="C258" s="208" t="s">
        <v>1827</v>
      </c>
      <c r="D258" s="208" t="s">
        <v>1828</v>
      </c>
      <c r="E258" s="208" t="s">
        <v>1829</v>
      </c>
      <c r="F258" s="182">
        <v>45.0</v>
      </c>
      <c r="G258" s="172" t="str">
        <f>IFERROR(__xludf.DUMMYFUNCTION("TRIM(REGEXREPLACE(C258, ""[0-9]+[a-f]?\."", """"))"),"In ${pm_home_location}, did you experienced any of the following situations or been threatened with them in a workplace?")</f>
        <v>In ${pm_home_location}, did you experienced any of the following situations or been threatened with them in a workplace?</v>
      </c>
      <c r="H258" s="172" t="str">
        <f>IFERROR(__xludf.DUMMYFUNCTION("TRIM(REGEXREPLACE(D258, ""[0-9]+[a-f]?\."", """"))"),"À ${pm_home_location}, avez-vous vécu l'une des situations suivantes ou en avez-vous été menacé sur votre lieu de travail ?")</f>
        <v>À ${pm_home_location}, avez-vous vécu l'une des situations suivantes ou en avez-vous été menacé sur votre lieu de travail ?</v>
      </c>
      <c r="I258" s="172" t="str">
        <f>IFERROR(__xludf.DUMMYFUNCTION("TRIM(REGEXREPLACE(E258, ""[0-9]+[a-f]?\."", """"))"),"A ${pm_home_location}, ko ka fuskanci ɗaya daga cikin waɗannan abubuwa ko an yi muku barazana da su a wurin aikin ku?")</f>
        <v>A ${pm_home_location}, ko ka fuskanci ɗaya daga cikin waɗannan abubuwa ko an yi muku barazana da su a wurin aikin ku?</v>
      </c>
      <c r="J258" s="172" t="str">
        <f t="shared" ref="J258:L258" si="45">$F258 &amp; ". " &amp;G258</f>
        <v>45. In ${pm_home_location}, did you experienced any of the following situations or been threatened with them in a workplace?</v>
      </c>
      <c r="K258" s="172" t="str">
        <f t="shared" si="45"/>
        <v>45. À ${pm_home_location}, avez-vous vécu l'une des situations suivantes ou en avez-vous été menacé sur votre lieu de travail ?</v>
      </c>
      <c r="L258" s="172" t="str">
        <f t="shared" si="45"/>
        <v>45. A ${pm_home_location}, ko ka fuskanci ɗaya daga cikin waɗannan abubuwa ko an yi muku barazana da su a wurin aikin ku?</v>
      </c>
      <c r="M258" s="172"/>
      <c r="N258" s="172"/>
      <c r="O258" s="172"/>
      <c r="P258" s="172"/>
      <c r="Q258" s="172"/>
      <c r="R258" s="172"/>
      <c r="S258" s="172"/>
      <c r="T258" s="172"/>
      <c r="U258" s="172"/>
      <c r="V258" s="172"/>
      <c r="W258" s="172"/>
      <c r="X258" s="172"/>
      <c r="Y258" s="172"/>
      <c r="Z258" s="172"/>
    </row>
    <row r="259">
      <c r="A259" s="215" t="s">
        <v>1834</v>
      </c>
      <c r="B259" s="216" t="s">
        <v>1835</v>
      </c>
      <c r="C259" s="216" t="s">
        <v>1030</v>
      </c>
      <c r="D259" s="216" t="s">
        <v>1031</v>
      </c>
      <c r="E259" s="216" t="s">
        <v>1836</v>
      </c>
      <c r="F259" s="182">
        <v>46.0</v>
      </c>
      <c r="G259" s="172" t="str">
        <f>IFERROR(__xludf.DUMMYFUNCTION("TRIM(REGEXREPLACE(C259, ""[0-9]+[a-f]?\."", """"))"),"Had passport or other papers taken away")</f>
        <v>Had passport or other papers taken away</v>
      </c>
      <c r="H259" s="172" t="str">
        <f>IFERROR(__xludf.DUMMYFUNCTION("TRIM(REGEXREPLACE(D259, ""[0-9]+[a-f]?\."", """"))"),"confisquer votre Passeport ou autres papiers")</f>
        <v>confisquer votre Passeport ou autres papiers</v>
      </c>
      <c r="I259" s="172" t="str">
        <f>IFERROR(__xludf.DUMMYFUNCTION("TRIM(REGEXREPLACE(E259, ""[0-9]+[a-f]?\."", """"))"),"An karɓe muku fasfo ko wasu takardu")</f>
        <v>An karɓe muku fasfo ko wasu takardu</v>
      </c>
      <c r="J259" s="172" t="str">
        <f t="shared" ref="J259:L259" si="46">$F259 &amp; ". " &amp;G259</f>
        <v>46. Had passport or other papers taken away</v>
      </c>
      <c r="K259" s="172" t="str">
        <f t="shared" si="46"/>
        <v>46. confisquer votre Passeport ou autres papiers</v>
      </c>
      <c r="L259" s="172" t="str">
        <f t="shared" si="46"/>
        <v>46. An karɓe muku fasfo ko wasu takardu</v>
      </c>
      <c r="M259" s="172"/>
      <c r="N259" s="172"/>
      <c r="O259" s="172"/>
      <c r="P259" s="172"/>
      <c r="Q259" s="172"/>
      <c r="R259" s="172"/>
      <c r="S259" s="172"/>
      <c r="T259" s="172"/>
      <c r="U259" s="172"/>
      <c r="V259" s="172"/>
      <c r="W259" s="172"/>
      <c r="X259" s="172"/>
      <c r="Y259" s="172"/>
      <c r="Z259" s="172"/>
    </row>
    <row r="260">
      <c r="A260" s="215" t="s">
        <v>1834</v>
      </c>
      <c r="B260" s="216" t="s">
        <v>1838</v>
      </c>
      <c r="C260" s="216" t="s">
        <v>1036</v>
      </c>
      <c r="D260" s="216" t="s">
        <v>1037</v>
      </c>
      <c r="E260" s="216" t="s">
        <v>1839</v>
      </c>
      <c r="F260" s="182">
        <v>47.0</v>
      </c>
      <c r="G260" s="172" t="str">
        <f>IFERROR(__xludf.DUMMYFUNCTION("TRIM(REGEXREPLACE(C260, ""[0-9]+[a-f]?\."", """"))"),"Been prevented from contacting friends or family")</f>
        <v>Been prevented from contacting friends or family</v>
      </c>
      <c r="H260" s="172" t="str">
        <f>IFERROR(__xludf.DUMMYFUNCTION("TRIM(REGEXREPLACE(D260, ""[0-9]+[a-f]?\."", """"))"),"Vous avez été empêché de contacter vos amis ou votre famille")</f>
        <v>Vous avez été empêché de contacter vos amis ou votre famille</v>
      </c>
      <c r="I260" s="172" t="str">
        <f>IFERROR(__xludf.DUMMYFUNCTION("TRIM(REGEXREPLACE(E260, ""[0-9]+[a-f]?\."", """"))"),"An hana ku tuntuɓar abokai ko dangi")</f>
        <v>An hana ku tuntuɓar abokai ko dangi</v>
      </c>
      <c r="J260" s="172" t="str">
        <f t="shared" ref="J260:L260" si="47">$F260 &amp; ". " &amp;G260</f>
        <v>47. Been prevented from contacting friends or family</v>
      </c>
      <c r="K260" s="172" t="str">
        <f t="shared" si="47"/>
        <v>47. Vous avez été empêché de contacter vos amis ou votre famille</v>
      </c>
      <c r="L260" s="172" t="str">
        <f t="shared" si="47"/>
        <v>47. An hana ku tuntuɓar abokai ko dangi</v>
      </c>
      <c r="M260" s="172"/>
      <c r="N260" s="172"/>
      <c r="O260" s="172"/>
      <c r="P260" s="172"/>
      <c r="Q260" s="172"/>
      <c r="R260" s="172"/>
      <c r="S260" s="172"/>
      <c r="T260" s="172"/>
      <c r="U260" s="172"/>
      <c r="V260" s="172"/>
      <c r="W260" s="172"/>
      <c r="X260" s="172"/>
      <c r="Y260" s="172"/>
      <c r="Z260" s="172"/>
    </row>
    <row r="261">
      <c r="A261" s="215" t="s">
        <v>1834</v>
      </c>
      <c r="B261" s="216" t="s">
        <v>1840</v>
      </c>
      <c r="C261" s="216" t="s">
        <v>1039</v>
      </c>
      <c r="D261" s="216" t="s">
        <v>1040</v>
      </c>
      <c r="E261" s="216" t="s">
        <v>1841</v>
      </c>
      <c r="F261" s="182">
        <v>48.0</v>
      </c>
      <c r="G261" s="172" t="str">
        <f>IFERROR(__xludf.DUMMYFUNCTION("TRIM(REGEXREPLACE(C261, ""[0-9]+[a-f]?\."", """"))"),"Been paid less than promised or not paid when promised")</f>
        <v>Been paid less than promised or not paid when promised</v>
      </c>
      <c r="H261" s="172" t="str">
        <f>IFERROR(__xludf.DUMMYFUNCTION("TRIM(REGEXREPLACE(D261, ""[0-9]+[a-f]?\."", """"))"),"A été payé moins que promis ou n'a pas été payé lorsque promis")</f>
        <v>A été payé moins que promis ou n'a pas été payé lorsque promis</v>
      </c>
      <c r="I261" s="172" t="str">
        <f>IFERROR(__xludf.DUMMYFUNCTION("TRIM(REGEXREPLACE(E261, ""[0-9]+[a-f]?\."", """"))"),"An biya ku ƙasa da abin da aka yi muku alkawari ko kuma ba a biya ku ba lokacin da aka yi alkawari")</f>
        <v>An biya ku ƙasa da abin da aka yi muku alkawari ko kuma ba a biya ku ba lokacin da aka yi alkawari</v>
      </c>
      <c r="J261" s="172" t="str">
        <f t="shared" ref="J261:L261" si="48">$F261 &amp; ". " &amp;G261</f>
        <v>48. Been paid less than promised or not paid when promised</v>
      </c>
      <c r="K261" s="172" t="str">
        <f t="shared" si="48"/>
        <v>48. A été payé moins que promis ou n'a pas été payé lorsque promis</v>
      </c>
      <c r="L261" s="172" t="str">
        <f t="shared" si="48"/>
        <v>48. An biya ku ƙasa da abin da aka yi muku alkawari ko kuma ba a biya ku ba lokacin da aka yi alkawari</v>
      </c>
      <c r="M261" s="172"/>
      <c r="N261" s="172"/>
      <c r="O261" s="172"/>
      <c r="P261" s="172"/>
      <c r="Q261" s="172"/>
      <c r="R261" s="172"/>
      <c r="S261" s="172"/>
      <c r="T261" s="172"/>
      <c r="U261" s="172"/>
      <c r="V261" s="172"/>
      <c r="W261" s="172"/>
      <c r="X261" s="172"/>
      <c r="Y261" s="172"/>
      <c r="Z261" s="172"/>
    </row>
    <row r="262">
      <c r="A262" s="215" t="s">
        <v>1834</v>
      </c>
      <c r="B262" s="216" t="s">
        <v>1843</v>
      </c>
      <c r="C262" s="216" t="s">
        <v>1044</v>
      </c>
      <c r="D262" s="216" t="s">
        <v>1046</v>
      </c>
      <c r="E262" s="216" t="s">
        <v>1844</v>
      </c>
      <c r="F262" s="182">
        <v>49.0</v>
      </c>
      <c r="G262" s="172" t="str">
        <f>IFERROR(__xludf.DUMMYFUNCTION("TRIM(REGEXREPLACE(C262, ""[0-9]+[a-f]?\."", """"))"),"Been forced to pay off a debt to my employer before I could leave")</f>
        <v>Been forced to pay off a debt to my employer before I could leave</v>
      </c>
      <c r="H262" s="172" t="str">
        <f>IFERROR(__xludf.DUMMYFUNCTION("TRIM(REGEXREPLACE(D262, ""[0-9]+[a-f]?\."", """"))"),"A été obligé de payer une dette à mon employeur avant de pouvoir partir")</f>
        <v>A été obligé de payer une dette à mon employeur avant de pouvoir partir</v>
      </c>
      <c r="I262" s="172" t="str">
        <f>IFERROR(__xludf.DUMMYFUNCTION("TRIM(REGEXREPLACE(E262, ""[0-9]+[a-f]?\."", """"))"),"An tilasta muku biyan bashi ga mai gida kafin ku bar wurin aikin")</f>
        <v>An tilasta muku biyan bashi ga mai gida kafin ku bar wurin aikin</v>
      </c>
      <c r="J262" s="172" t="str">
        <f t="shared" ref="J262:L262" si="49">$F262 &amp; ". " &amp;G262</f>
        <v>49. Been forced to pay off a debt to my employer before I could leave</v>
      </c>
      <c r="K262" s="172" t="str">
        <f t="shared" si="49"/>
        <v>49. A été obligé de payer une dette à mon employeur avant de pouvoir partir</v>
      </c>
      <c r="L262" s="172" t="str">
        <f t="shared" si="49"/>
        <v>49. An tilasta muku biyan bashi ga mai gida kafin ku bar wurin aikin</v>
      </c>
      <c r="M262" s="172"/>
      <c r="N262" s="172"/>
      <c r="O262" s="172"/>
      <c r="P262" s="172"/>
      <c r="Q262" s="172"/>
      <c r="R262" s="172"/>
      <c r="S262" s="172"/>
      <c r="T262" s="172"/>
      <c r="U262" s="172"/>
      <c r="V262" s="172"/>
      <c r="W262" s="172"/>
      <c r="X262" s="172"/>
      <c r="Y262" s="172"/>
      <c r="Z262" s="172"/>
    </row>
    <row r="263">
      <c r="A263" s="215" t="s">
        <v>1834</v>
      </c>
      <c r="B263" s="216" t="s">
        <v>1845</v>
      </c>
      <c r="C263" s="216" t="s">
        <v>1048</v>
      </c>
      <c r="D263" s="216" t="s">
        <v>1846</v>
      </c>
      <c r="E263" s="216" t="s">
        <v>1847</v>
      </c>
      <c r="F263" s="182">
        <v>50.0</v>
      </c>
      <c r="G263" s="172" t="str">
        <f>IFERROR(__xludf.DUMMYFUNCTION("TRIM(REGEXREPLACE(C263, ""[0-9]+[a-f]?\."", """"))"),"Experienced violence or physical restraint")</f>
        <v>Experienced violence or physical restraint</v>
      </c>
      <c r="H263" s="172" t="str">
        <f>IFERROR(__xludf.DUMMYFUNCTION("TRIM(REGEXREPLACE(D263, ""[0-9]+[a-f]?\."", """"))"),"A subi des violences ou des contraintes physiques")</f>
        <v>A subi des violences ou des contraintes physiques</v>
      </c>
      <c r="I263" s="172" t="str">
        <f>IFERROR(__xludf.DUMMYFUNCTION("TRIM(REGEXREPLACE(E263, ""[0-9]+[a-f]?\."", """"))"),"An matsa muku ko an kallafa muku abin da ku iyawa")</f>
        <v>An matsa muku ko an kallafa muku abin da ku iyawa</v>
      </c>
      <c r="J263" s="172" t="str">
        <f t="shared" ref="J263:L263" si="50">$F263 &amp; ". " &amp;G263</f>
        <v>50. Experienced violence or physical restraint</v>
      </c>
      <c r="K263" s="172" t="str">
        <f t="shared" si="50"/>
        <v>50. A subi des violences ou des contraintes physiques</v>
      </c>
      <c r="L263" s="172" t="str">
        <f t="shared" si="50"/>
        <v>50. An matsa muku ko an kallafa muku abin da ku iyawa</v>
      </c>
      <c r="M263" s="172"/>
      <c r="N263" s="172"/>
      <c r="O263" s="172"/>
      <c r="P263" s="172"/>
      <c r="Q263" s="172"/>
      <c r="R263" s="172"/>
      <c r="S263" s="172"/>
      <c r="T263" s="172"/>
      <c r="U263" s="172"/>
      <c r="V263" s="172"/>
      <c r="W263" s="172"/>
      <c r="X263" s="172"/>
      <c r="Y263" s="172"/>
      <c r="Z263" s="172"/>
    </row>
    <row r="264">
      <c r="A264" s="215" t="s">
        <v>1834</v>
      </c>
      <c r="B264" s="216" t="s">
        <v>1848</v>
      </c>
      <c r="C264" s="216" t="s">
        <v>1051</v>
      </c>
      <c r="D264" s="216" t="s">
        <v>1052</v>
      </c>
      <c r="E264" s="216" t="s">
        <v>1849</v>
      </c>
      <c r="F264" s="182">
        <v>51.0</v>
      </c>
      <c r="G264" s="172" t="str">
        <f>IFERROR(__xludf.DUMMYFUNCTION("TRIM(REGEXREPLACE(C264, ""[0-9]+[a-f]?\."", """"))"),"Forced to engage in actions against my will")</f>
        <v>Forced to engage in actions against my will</v>
      </c>
      <c r="H264" s="172" t="str">
        <f>IFERROR(__xludf.DUMMYFUNCTION("TRIM(REGEXREPLACE(D264, ""[0-9]+[a-f]?\."", """"))"),"Forcé de s'engager dans des actions contre ma volonté")</f>
        <v>Forcé de s'engager dans des actions contre ma volonté</v>
      </c>
      <c r="I264" s="172" t="str">
        <f>IFERROR(__xludf.DUMMYFUNCTION("TRIM(REGEXREPLACE(E264, ""[0-9]+[a-f]?\."", """"))"),"An tilasta muku da aikin ayyukan da ba ku so ba")</f>
        <v>An tilasta muku da aikin ayyukan da ba ku so ba</v>
      </c>
      <c r="J264" s="172" t="str">
        <f t="shared" ref="J264:L264" si="51">$F264 &amp; ". " &amp;G264</f>
        <v>51. Forced to engage in actions against my will</v>
      </c>
      <c r="K264" s="172" t="str">
        <f t="shared" si="51"/>
        <v>51. Forcé de s'engager dans des actions contre ma volonté</v>
      </c>
      <c r="L264" s="172" t="str">
        <f t="shared" si="51"/>
        <v>51. An tilasta muku da aikin ayyukan da ba ku so ba</v>
      </c>
      <c r="M264" s="172"/>
      <c r="N264" s="172"/>
      <c r="O264" s="172"/>
      <c r="P264" s="172"/>
      <c r="Q264" s="172"/>
      <c r="R264" s="172"/>
      <c r="S264" s="172"/>
      <c r="T264" s="172"/>
      <c r="U264" s="172"/>
      <c r="V264" s="172"/>
      <c r="W264" s="172"/>
      <c r="X264" s="172"/>
      <c r="Y264" s="172"/>
      <c r="Z264" s="172"/>
    </row>
    <row r="265" hidden="1">
      <c r="A265" s="172"/>
      <c r="B265" s="172"/>
      <c r="C265" s="174"/>
      <c r="D265" s="174"/>
      <c r="E265" s="174"/>
      <c r="F265" s="175"/>
      <c r="G265" s="172" t="str">
        <f>IFERROR(__xludf.DUMMYFUNCTION("TRIM(REGEXREPLACE(C265, ""[0-9]+[a-f]?\."", """"))"),"")</f>
        <v/>
      </c>
      <c r="H265" s="172" t="str">
        <f>IFERROR(__xludf.DUMMYFUNCTION("TRIM(REGEXREPLACE(D265, ""[0-9]+[a-f]?\."", """"))"),"")</f>
        <v/>
      </c>
      <c r="I265" s="172" t="str">
        <f>IFERROR(__xludf.DUMMYFUNCTION("TRIM(REGEXREPLACE(E265, ""[0-9]+[a-f]?\."", """"))"),"")</f>
        <v/>
      </c>
      <c r="J265" s="172" t="s">
        <v>1850</v>
      </c>
      <c r="K265" s="172" t="s">
        <v>1851</v>
      </c>
      <c r="L265" s="172" t="s">
        <v>1852</v>
      </c>
      <c r="M265" s="172"/>
      <c r="N265" s="172"/>
      <c r="O265" s="172"/>
      <c r="P265" s="172"/>
      <c r="Q265" s="172"/>
      <c r="R265" s="172"/>
      <c r="S265" s="172"/>
      <c r="T265" s="172"/>
      <c r="U265" s="172"/>
      <c r="V265" s="172"/>
      <c r="W265" s="172"/>
      <c r="X265" s="172"/>
      <c r="Y265" s="172"/>
      <c r="Z265" s="172"/>
    </row>
    <row r="266" hidden="1">
      <c r="B266" s="260"/>
      <c r="C266" s="260"/>
      <c r="D266" s="260"/>
      <c r="E266" s="260"/>
      <c r="F266" s="182">
        <v>132.0</v>
      </c>
      <c r="G266" s="172" t="str">
        <f>IFERROR(__xludf.DUMMYFUNCTION("TRIM(REGEXREPLACE(C266, ""[0-9]+[a-f]?\."", """"))"),"")</f>
        <v/>
      </c>
      <c r="H266" s="172" t="str">
        <f>IFERROR(__xludf.DUMMYFUNCTION("TRIM(REGEXREPLACE(D266, ""[0-9]+[a-f]?\."", """"))"),"")</f>
        <v/>
      </c>
      <c r="I266" s="172" t="str">
        <f>IFERROR(__xludf.DUMMYFUNCTION("TRIM(REGEXREPLACE(E266, ""[0-9]+[a-f]?\."", """"))"),"")</f>
        <v/>
      </c>
      <c r="J266" s="172" t="s">
        <v>1854</v>
      </c>
      <c r="K266" s="172" t="s">
        <v>1855</v>
      </c>
      <c r="L266" s="172" t="s">
        <v>1856</v>
      </c>
    </row>
    <row r="267" hidden="1">
      <c r="A267" s="211" t="s">
        <v>238</v>
      </c>
      <c r="B267" s="224" t="s">
        <v>1811</v>
      </c>
      <c r="C267" s="224" t="s">
        <v>1812</v>
      </c>
      <c r="D267" s="225"/>
      <c r="E267" s="225"/>
      <c r="F267" s="182">
        <v>123.0</v>
      </c>
      <c r="G267" s="172" t="str">
        <f>IFERROR(__xludf.DUMMYFUNCTION("TRIM(REGEXREPLACE(C267, ""[0-9]+[a-f]?\."", """"))"),"Another location during missed followup")</f>
        <v>Another location during missed followup</v>
      </c>
      <c r="H267" s="172" t="str">
        <f>IFERROR(__xludf.DUMMYFUNCTION("TRIM(REGEXREPLACE(D267, ""[0-9]+[a-f]?\."", """"))"),"")</f>
        <v/>
      </c>
      <c r="I267" s="172" t="str">
        <f>IFERROR(__xludf.DUMMYFUNCTION("TRIM(REGEXREPLACE(E267, ""[0-9]+[a-f]?\."", """"))"),"")</f>
        <v/>
      </c>
      <c r="J267" s="172" t="s">
        <v>1857</v>
      </c>
      <c r="K267" s="172" t="s">
        <v>1858</v>
      </c>
      <c r="L267" s="172" t="s">
        <v>1859</v>
      </c>
      <c r="M267" s="172"/>
    </row>
    <row r="268" hidden="1">
      <c r="A268" s="255" t="s">
        <v>1064</v>
      </c>
      <c r="B268" s="261" t="s">
        <v>1457</v>
      </c>
      <c r="C268" s="261" t="s">
        <v>1458</v>
      </c>
      <c r="D268" s="262"/>
      <c r="E268" s="262"/>
      <c r="F268" s="182">
        <v>124.0</v>
      </c>
      <c r="G268" s="172" t="str">
        <f>IFERROR(__xludf.DUMMYFUNCTION("TRIM(REGEXREPLACE(C268, ""[0-9]+[a-f]?\."", """"))"),"Missed locations")</f>
        <v>Missed locations</v>
      </c>
      <c r="H268" s="172" t="str">
        <f>IFERROR(__xludf.DUMMYFUNCTION("TRIM(REGEXREPLACE(D268, ""[0-9]+[a-f]?\."", """"))"),"")</f>
        <v/>
      </c>
      <c r="I268" s="172" t="str">
        <f>IFERROR(__xludf.DUMMYFUNCTION("TRIM(REGEXREPLACE(E268, ""[0-9]+[a-f]?\."", """"))"),"")</f>
        <v/>
      </c>
      <c r="J268" s="172" t="s">
        <v>1860</v>
      </c>
      <c r="K268" s="172" t="s">
        <v>1861</v>
      </c>
      <c r="L268" s="172" t="s">
        <v>1862</v>
      </c>
    </row>
    <row r="269">
      <c r="A269" s="215" t="s">
        <v>1863</v>
      </c>
      <c r="B269" s="216" t="s">
        <v>1864</v>
      </c>
      <c r="C269" s="216" t="s">
        <v>1865</v>
      </c>
      <c r="D269" s="216" t="s">
        <v>1055</v>
      </c>
      <c r="E269" s="216" t="s">
        <v>1867</v>
      </c>
      <c r="F269" s="182">
        <v>52.0</v>
      </c>
      <c r="G269" s="172" t="str">
        <f>IFERROR(__xludf.DUMMYFUNCTION("TRIM(REGEXREPLACE(C269, ""[0-9]+[a-f]?\."", """"))"),"I've asked you a lot of questions about your life in the ${pm_missed_period} in order to better understand your experiences. Is there anything else that has happened during this time that has changed your life in an important way?
 Enumerator: do not re"&amp;"ad options, code based on response")</f>
        <v>I've asked you a lot of questions about your life in the ${pm_missed_period} in order to better understand your experiences. Is there anything else that has happened during this time that has changed your life in an important way?
 Enumerator: do not read options, code based on response</v>
      </c>
      <c r="H269" s="172" t="str">
        <f>IFERROR(__xludf.DUMMYFUNCTION("TRIM(REGEXREPLACE(D269, ""[0-9]+[a-f]?\."", """"))"),"Je vous ai posé beaucoup de questions sur votre vie au cours de ${pm_missed_period_french} afin de mieux comprendre vos expériences. Y a-t-il autre chose qui vous est arrivé récemment qui a changé votre vie de manière importante ?")</f>
        <v>Je vous ai posé beaucoup de questions sur votre vie au cours de ${pm_missed_period_french} afin de mieux comprendre vos expériences. Y a-t-il autre chose qui vous est arrivé récemment qui a changé votre vie de manière importante ?</v>
      </c>
      <c r="I269" s="172" t="str">
        <f>IFERROR(__xludf.DUMMYFUNCTION("TRIM(REGEXREPLACE(E269, ""[0-9]+[a-f]?\."", """"))"),"Na yi muku tambayoyi da dama game da rayuwar ku ${pm_missed_period_hausa} don ƙara gane yadda ku ka kware da tafiyar da raywar ku . Ko akwai wani abu da ya faru da ku kwanan nan wanda ya kawo muhimmin canji ga rayuwarku?")</f>
        <v>Na yi muku tambayoyi da dama game da rayuwar ku ${pm_missed_period_hausa} don ƙara gane yadda ku ka kware da tafiyar da raywar ku . Ko akwai wani abu da ya faru da ku kwanan nan wanda ya kawo muhimmin canji ga rayuwarku?</v>
      </c>
      <c r="J269" s="172" t="str">
        <f t="shared" ref="J269:L269" si="52">$F269 &amp; ". " &amp;G269</f>
        <v>52. I've asked you a lot of questions about your life in the ${pm_missed_period} in order to better understand your experiences. Is there anything else that has happened during this time that has changed your life in an important way?
 Enumerator: do not read options, code based on response</v>
      </c>
      <c r="K269" s="172" t="str">
        <f t="shared" si="52"/>
        <v>52. Je vous ai posé beaucoup de questions sur votre vie au cours de ${pm_missed_period_french} afin de mieux comprendre vos expériences. Y a-t-il autre chose qui vous est arrivé récemment qui a changé votre vie de manière importante ?</v>
      </c>
      <c r="L269" s="172" t="str">
        <f t="shared" si="52"/>
        <v>52. Na yi muku tambayoyi da dama game da rayuwar ku ${pm_missed_period_hausa} don ƙara gane yadda ku ka kware da tafiyar da raywar ku . Ko akwai wani abu da ya faru da ku kwanan nan wanda ya kawo muhimmin canji ga rayuwarku?</v>
      </c>
    </row>
    <row r="270">
      <c r="A270" s="246" t="s">
        <v>231</v>
      </c>
      <c r="B270" s="247" t="s">
        <v>1873</v>
      </c>
      <c r="C270" s="247" t="s">
        <v>1061</v>
      </c>
      <c r="D270" s="247" t="s">
        <v>1062</v>
      </c>
      <c r="E270" s="247" t="s">
        <v>1063</v>
      </c>
      <c r="F270" s="182">
        <v>53.0</v>
      </c>
      <c r="G270" s="172" t="str">
        <f>IFERROR(__xludf.DUMMYFUNCTION("TRIM(REGEXREPLACE(C270, ""[0-9]+[a-f]?\."", """"))"),"Enumerator: Briefly summarize the changes described by the respondent")</f>
        <v>Enumerator: Briefly summarize the changes described by the respondent</v>
      </c>
      <c r="H270" s="172" t="str">
        <f>IFERROR(__xludf.DUMMYFUNCTION("TRIM(REGEXREPLACE(D270, ""[0-9]+[a-f]?\."", """"))"),"Enquêteur : Résumez brièvement les changements décrits par le répondant")</f>
        <v>Enquêteur : Résumez brièvement les changements décrits par le répondant</v>
      </c>
      <c r="I270" s="172" t="str">
        <f>IFERROR(__xludf.DUMMYFUNCTION("TRIM(REGEXREPLACE(E270, ""[0-9]+[a-f]?\."", """"))"),"Ɗan bincike A taƙaita canje-canjen da mai bada amsa ya baiyana")</f>
        <v>Ɗan bincike A taƙaita canje-canjen da mai bada amsa ya baiyana</v>
      </c>
      <c r="J270" s="172" t="str">
        <f t="shared" ref="J270:L270" si="53">$F270 &amp; ". " &amp;G270</f>
        <v>53. Enumerator: Briefly summarize the changes described by the respondent</v>
      </c>
      <c r="K270" s="172" t="str">
        <f t="shared" si="53"/>
        <v>53. Enquêteur : Résumez brièvement les changements décrits par le répondant</v>
      </c>
      <c r="L270" s="172" t="str">
        <f t="shared" si="53"/>
        <v>53. Ɗan bincike A taƙaita canje-canjen da mai bada amsa ya baiyana</v>
      </c>
    </row>
    <row r="271" hidden="1">
      <c r="A271" s="188" t="s">
        <v>118</v>
      </c>
      <c r="B271" s="189" t="s">
        <v>1877</v>
      </c>
      <c r="C271" s="190"/>
      <c r="D271" s="190"/>
      <c r="E271" s="190"/>
      <c r="F271" s="182">
        <v>127.0</v>
      </c>
      <c r="G271" s="172" t="str">
        <f>IFERROR(__xludf.DUMMYFUNCTION("TRIM(REGEXREPLACE(C271, ""[0-9]+[a-f]?\."", """"))"),"")</f>
        <v/>
      </c>
      <c r="H271" s="172" t="str">
        <f>IFERROR(__xludf.DUMMYFUNCTION("TRIM(REGEXREPLACE(D271, ""[0-9]+[a-f]?\."", """"))"),"")</f>
        <v/>
      </c>
      <c r="I271" s="172" t="str">
        <f>IFERROR(__xludf.DUMMYFUNCTION("TRIM(REGEXREPLACE(E271, ""[0-9]+[a-f]?\."", """"))"),"")</f>
        <v/>
      </c>
      <c r="J271" s="172" t="s">
        <v>1878</v>
      </c>
      <c r="K271" s="172" t="s">
        <v>1879</v>
      </c>
      <c r="L271" s="172" t="s">
        <v>1880</v>
      </c>
      <c r="M271" s="172"/>
    </row>
    <row r="272" hidden="1">
      <c r="B272" s="260"/>
      <c r="C272" s="260"/>
      <c r="D272" s="260"/>
      <c r="E272" s="260"/>
      <c r="F272" s="182">
        <v>134.0</v>
      </c>
      <c r="G272" s="172" t="str">
        <f>IFERROR(__xludf.DUMMYFUNCTION("TRIM(REGEXREPLACE(C272, ""[0-9]+[a-f]?\."", """"))"),"")</f>
        <v/>
      </c>
      <c r="H272" s="172" t="str">
        <f>IFERROR(__xludf.DUMMYFUNCTION("TRIM(REGEXREPLACE(D272, ""[0-9]+[a-f]?\."", """"))"),"")</f>
        <v/>
      </c>
      <c r="I272" s="172" t="str">
        <f>IFERROR(__xludf.DUMMYFUNCTION("TRIM(REGEXREPLACE(E272, ""[0-9]+[a-f]?\."", """"))"),"")</f>
        <v/>
      </c>
      <c r="J272" s="172" t="s">
        <v>1884</v>
      </c>
      <c r="K272" s="172" t="s">
        <v>1885</v>
      </c>
      <c r="L272" s="172" t="s">
        <v>1886</v>
      </c>
      <c r="M272" s="172"/>
    </row>
    <row r="273" hidden="1">
      <c r="B273" s="260"/>
      <c r="C273" s="260"/>
      <c r="D273" s="260"/>
      <c r="E273" s="260"/>
      <c r="F273" s="182">
        <v>135.0</v>
      </c>
      <c r="G273" s="172" t="str">
        <f>IFERROR(__xludf.DUMMYFUNCTION("TRIM(REGEXREPLACE(C273, ""[0-9]+[a-f]?\."", """"))"),"")</f>
        <v/>
      </c>
      <c r="H273" s="172" t="str">
        <f>IFERROR(__xludf.DUMMYFUNCTION("TRIM(REGEXREPLACE(D273, ""[0-9]+[a-f]?\."", """"))"),"")</f>
        <v/>
      </c>
      <c r="I273" s="172" t="str">
        <f>IFERROR(__xludf.DUMMYFUNCTION("TRIM(REGEXREPLACE(E273, ""[0-9]+[a-f]?\."", """"))"),"")</f>
        <v/>
      </c>
      <c r="J273" s="172" t="s">
        <v>1887</v>
      </c>
      <c r="K273" s="172" t="s">
        <v>1888</v>
      </c>
      <c r="L273" s="172" t="s">
        <v>1889</v>
      </c>
      <c r="M273" s="172"/>
    </row>
    <row r="274" hidden="1">
      <c r="A274" s="188" t="s">
        <v>68</v>
      </c>
      <c r="B274" s="189" t="s">
        <v>1893</v>
      </c>
      <c r="C274" s="190"/>
      <c r="D274" s="190"/>
      <c r="E274" s="190"/>
      <c r="F274" s="182">
        <v>128.0</v>
      </c>
      <c r="G274" s="172" t="str">
        <f>IFERROR(__xludf.DUMMYFUNCTION("TRIM(REGEXREPLACE(C274, ""[0-9]+[a-f]?\."", """"))"),"")</f>
        <v/>
      </c>
      <c r="H274" s="172" t="str">
        <f>IFERROR(__xludf.DUMMYFUNCTION("TRIM(REGEXREPLACE(D274, ""[0-9]+[a-f]?\."", """"))"),"")</f>
        <v/>
      </c>
      <c r="I274" s="172" t="str">
        <f>IFERROR(__xludf.DUMMYFUNCTION("TRIM(REGEXREPLACE(E274, ""[0-9]+[a-f]?\."", """"))"),"")</f>
        <v/>
      </c>
      <c r="J274" s="172" t="s">
        <v>1894</v>
      </c>
      <c r="K274" s="172" t="s">
        <v>1895</v>
      </c>
      <c r="L274" s="172" t="s">
        <v>1896</v>
      </c>
      <c r="M274" s="172"/>
    </row>
    <row r="275" hidden="1">
      <c r="A275" s="211" t="s">
        <v>238</v>
      </c>
      <c r="B275" s="224" t="s">
        <v>1429</v>
      </c>
      <c r="C275" s="224" t="s">
        <v>1430</v>
      </c>
      <c r="D275" s="225"/>
      <c r="E275" s="225"/>
      <c r="F275" s="182">
        <v>129.0</v>
      </c>
      <c r="G275" s="172" t="str">
        <f>IFERROR(__xludf.DUMMYFUNCTION("TRIM(REGEXREPLACE(C275, ""[0-9]+[a-f]?\."", """"))"),"Missed Previous Followup")</f>
        <v>Missed Previous Followup</v>
      </c>
      <c r="H275" s="172" t="str">
        <f>IFERROR(__xludf.DUMMYFUNCTION("TRIM(REGEXREPLACE(D275, ""[0-9]+[a-f]?\."", """"))"),"")</f>
        <v/>
      </c>
      <c r="I275" s="172" t="str">
        <f>IFERROR(__xludf.DUMMYFUNCTION("TRIM(REGEXREPLACE(E275, ""[0-9]+[a-f]?\."", """"))"),"")</f>
        <v/>
      </c>
      <c r="J275" s="172" t="s">
        <v>1900</v>
      </c>
      <c r="K275" s="172" t="s">
        <v>1901</v>
      </c>
      <c r="L275" s="172" t="s">
        <v>1902</v>
      </c>
      <c r="M275" s="172"/>
    </row>
    <row r="276" hidden="1">
      <c r="A276" s="263"/>
      <c r="B276" s="214"/>
      <c r="C276" s="214"/>
      <c r="D276" s="214"/>
      <c r="E276" s="214"/>
      <c r="F276" s="182">
        <v>130.0</v>
      </c>
      <c r="G276" s="172" t="str">
        <f>IFERROR(__xludf.DUMMYFUNCTION("TRIM(REGEXREPLACE(C276, ""[0-9]+[a-f]?\."", """"))"),"")</f>
        <v/>
      </c>
      <c r="H276" s="172" t="str">
        <f>IFERROR(__xludf.DUMMYFUNCTION("TRIM(REGEXREPLACE(D276, ""[0-9]+[a-f]?\."", """"))"),"")</f>
        <v/>
      </c>
      <c r="I276" s="172" t="str">
        <f>IFERROR(__xludf.DUMMYFUNCTION("TRIM(REGEXREPLACE(E276, ""[0-9]+[a-f]?\."", """"))"),"")</f>
        <v/>
      </c>
      <c r="J276" s="172" t="s">
        <v>1903</v>
      </c>
      <c r="K276" s="172" t="s">
        <v>1904</v>
      </c>
      <c r="L276" s="172" t="s">
        <v>1905</v>
      </c>
      <c r="M276" s="172"/>
    </row>
    <row r="277" hidden="1">
      <c r="A277" s="211" t="s">
        <v>107</v>
      </c>
      <c r="B277" s="212" t="s">
        <v>1906</v>
      </c>
      <c r="C277" s="212" t="s">
        <v>1907</v>
      </c>
      <c r="D277" s="212" t="s">
        <v>1908</v>
      </c>
      <c r="E277" s="212" t="s">
        <v>1909</v>
      </c>
      <c r="F277" s="182">
        <v>131.0</v>
      </c>
      <c r="G277" s="172" t="str">
        <f>IFERROR(__xludf.DUMMYFUNCTION("TRIM(REGEXREPLACE(C277, ""[0-9]+[a-f]?\."", """"))"),"Periods")</f>
        <v>Periods</v>
      </c>
      <c r="H277" s="172" t="str">
        <f>IFERROR(__xludf.DUMMYFUNCTION("TRIM(REGEXREPLACE(D277, ""[0-9]+[a-f]?\."", """"))"),"Périodes")</f>
        <v>Périodes</v>
      </c>
      <c r="I277" s="172" t="str">
        <f>IFERROR(__xludf.DUMMYFUNCTION("TRIM(REGEXREPLACE(E277, ""[0-9]+[a-f]?\."", """"))"),"Lokaci")</f>
        <v>Lokaci</v>
      </c>
      <c r="J277" s="172" t="s">
        <v>1910</v>
      </c>
      <c r="K277" s="172" t="s">
        <v>1911</v>
      </c>
      <c r="L277" s="172" t="s">
        <v>1913</v>
      </c>
      <c r="M277" s="172"/>
    </row>
    <row r="278" hidden="1">
      <c r="A278" s="188" t="s">
        <v>118</v>
      </c>
      <c r="B278" s="189" t="s">
        <v>1915</v>
      </c>
      <c r="C278" s="190"/>
      <c r="D278" s="190"/>
      <c r="E278" s="190"/>
      <c r="F278" s="182">
        <v>132.0</v>
      </c>
      <c r="G278" s="172" t="str">
        <f>IFERROR(__xludf.DUMMYFUNCTION("TRIM(REGEXREPLACE(C278, ""[0-9]+[a-f]?\."", """"))"),"")</f>
        <v/>
      </c>
      <c r="H278" s="172" t="str">
        <f>IFERROR(__xludf.DUMMYFUNCTION("TRIM(REGEXREPLACE(D278, ""[0-9]+[a-f]?\."", """"))"),"")</f>
        <v/>
      </c>
      <c r="I278" s="172" t="str">
        <f>IFERROR(__xludf.DUMMYFUNCTION("TRIM(REGEXREPLACE(E278, ""[0-9]+[a-f]?\."", """"))"),"")</f>
        <v/>
      </c>
      <c r="J278" s="172" t="s">
        <v>1917</v>
      </c>
      <c r="K278" s="172" t="s">
        <v>1918</v>
      </c>
      <c r="L278" s="172" t="s">
        <v>1919</v>
      </c>
      <c r="M278" s="172"/>
    </row>
    <row r="279" hidden="1">
      <c r="B279" s="260"/>
      <c r="C279" s="260"/>
      <c r="D279" s="260"/>
      <c r="E279" s="260"/>
      <c r="F279" s="182">
        <v>139.0</v>
      </c>
      <c r="G279" s="172" t="str">
        <f>IFERROR(__xludf.DUMMYFUNCTION("TRIM(REGEXREPLACE(C279, ""[0-9]+[a-f]?\."", """"))"),"")</f>
        <v/>
      </c>
      <c r="H279" s="172" t="str">
        <f>IFERROR(__xludf.DUMMYFUNCTION("TRIM(REGEXREPLACE(D279, ""[0-9]+[a-f]?\."", """"))"),"")</f>
        <v/>
      </c>
      <c r="I279" s="172" t="str">
        <f>IFERROR(__xludf.DUMMYFUNCTION("TRIM(REGEXREPLACE(E279, ""[0-9]+[a-f]?\."", """"))"),"")</f>
        <v/>
      </c>
      <c r="J279" s="172" t="s">
        <v>1920</v>
      </c>
      <c r="K279" s="172" t="s">
        <v>1921</v>
      </c>
      <c r="L279" s="172" t="s">
        <v>1922</v>
      </c>
      <c r="M279" s="172"/>
    </row>
    <row r="280" hidden="1">
      <c r="B280" s="260"/>
      <c r="C280" s="260"/>
      <c r="D280" s="260"/>
      <c r="E280" s="260"/>
      <c r="F280" s="182">
        <v>140.0</v>
      </c>
      <c r="G280" s="172" t="str">
        <f>IFERROR(__xludf.DUMMYFUNCTION("TRIM(REGEXREPLACE(C280, ""[0-9]+[a-f]?\."", """"))"),"")</f>
        <v/>
      </c>
      <c r="H280" s="172" t="str">
        <f>IFERROR(__xludf.DUMMYFUNCTION("TRIM(REGEXREPLACE(D280, ""[0-9]+[a-f]?\."", """"))"),"")</f>
        <v/>
      </c>
      <c r="I280" s="172" t="str">
        <f>IFERROR(__xludf.DUMMYFUNCTION("TRIM(REGEXREPLACE(E280, ""[0-9]+[a-f]?\."", """"))"),"")</f>
        <v/>
      </c>
      <c r="J280" s="172" t="s">
        <v>1924</v>
      </c>
      <c r="K280" s="172" t="s">
        <v>1925</v>
      </c>
      <c r="L280" s="172" t="s">
        <v>1926</v>
      </c>
      <c r="M280" s="172"/>
    </row>
    <row r="281" hidden="1">
      <c r="B281" s="260"/>
      <c r="C281" s="260"/>
      <c r="D281" s="260"/>
      <c r="E281" s="260"/>
      <c r="F281" s="182">
        <v>134.0</v>
      </c>
      <c r="G281" s="172" t="str">
        <f>IFERROR(__xludf.DUMMYFUNCTION("TRIM(REGEXREPLACE(C281, ""[0-9]+[a-f]?\."", """"))"),"")</f>
        <v/>
      </c>
      <c r="H281" s="172" t="str">
        <f>IFERROR(__xludf.DUMMYFUNCTION("TRIM(REGEXREPLACE(D281, ""[0-9]+[a-f]?\."", """"))"),"")</f>
        <v/>
      </c>
      <c r="I281" s="172" t="str">
        <f>IFERROR(__xludf.DUMMYFUNCTION("TRIM(REGEXREPLACE(E281, ""[0-9]+[a-f]?\."", """"))"),"")</f>
        <v/>
      </c>
      <c r="J281" s="172" t="s">
        <v>1929</v>
      </c>
      <c r="K281" s="172" t="s">
        <v>1930</v>
      </c>
      <c r="L281" s="172" t="s">
        <v>1931</v>
      </c>
      <c r="M281" s="172"/>
    </row>
    <row r="282" hidden="1">
      <c r="B282" s="260"/>
      <c r="C282" s="260"/>
      <c r="D282" s="260"/>
      <c r="E282" s="260"/>
      <c r="F282" s="182">
        <v>141.0</v>
      </c>
      <c r="G282" s="172" t="str">
        <f>IFERROR(__xludf.DUMMYFUNCTION("TRIM(REGEXREPLACE(C282, ""[0-9]+[a-f]?\."", """"))"),"")</f>
        <v/>
      </c>
      <c r="H282" s="172" t="str">
        <f>IFERROR(__xludf.DUMMYFUNCTION("TRIM(REGEXREPLACE(D282, ""[0-9]+[a-f]?\."", """"))"),"")</f>
        <v/>
      </c>
      <c r="I282" s="172" t="str">
        <f>IFERROR(__xludf.DUMMYFUNCTION("TRIM(REGEXREPLACE(E282, ""[0-9]+[a-f]?\."", """"))"),"")</f>
        <v/>
      </c>
      <c r="J282" s="172" t="s">
        <v>1932</v>
      </c>
      <c r="K282" s="172" t="s">
        <v>1933</v>
      </c>
      <c r="L282" s="172" t="s">
        <v>1934</v>
      </c>
      <c r="M282" s="172"/>
    </row>
    <row r="283" hidden="1">
      <c r="B283" s="260"/>
      <c r="C283" s="260"/>
      <c r="D283" s="260"/>
      <c r="E283" s="260"/>
      <c r="F283" s="182">
        <v>142.0</v>
      </c>
      <c r="G283" s="172" t="str">
        <f>IFERROR(__xludf.DUMMYFUNCTION("TRIM(REGEXREPLACE(C283, ""[0-9]+[a-f]?\."", """"))"),"")</f>
        <v/>
      </c>
      <c r="H283" s="172" t="str">
        <f>IFERROR(__xludf.DUMMYFUNCTION("TRIM(REGEXREPLACE(D283, ""[0-9]+[a-f]?\."", """"))"),"")</f>
        <v/>
      </c>
      <c r="I283" s="172" t="str">
        <f>IFERROR(__xludf.DUMMYFUNCTION("TRIM(REGEXREPLACE(E283, ""[0-9]+[a-f]?\."", """"))"),"")</f>
        <v/>
      </c>
      <c r="J283" s="172" t="s">
        <v>1935</v>
      </c>
      <c r="K283" s="172" t="s">
        <v>1936</v>
      </c>
      <c r="L283" s="172" t="s">
        <v>1938</v>
      </c>
      <c r="M283" s="172"/>
    </row>
    <row r="284" hidden="1">
      <c r="B284" s="260"/>
      <c r="C284" s="260"/>
      <c r="D284" s="260"/>
      <c r="E284" s="260"/>
      <c r="F284" s="182">
        <v>143.0</v>
      </c>
      <c r="G284" s="172" t="str">
        <f>IFERROR(__xludf.DUMMYFUNCTION("TRIM(REGEXREPLACE(C284, ""[0-9]+[a-f]?\."", """"))"),"")</f>
        <v/>
      </c>
      <c r="H284" s="172" t="str">
        <f>IFERROR(__xludf.DUMMYFUNCTION("TRIM(REGEXREPLACE(D284, ""[0-9]+[a-f]?\."", """"))"),"")</f>
        <v/>
      </c>
      <c r="I284" s="172" t="str">
        <f>IFERROR(__xludf.DUMMYFUNCTION("TRIM(REGEXREPLACE(E284, ""[0-9]+[a-f]?\."", """"))"),"")</f>
        <v/>
      </c>
      <c r="J284" s="172" t="s">
        <v>1941</v>
      </c>
      <c r="K284" s="172" t="s">
        <v>1942</v>
      </c>
      <c r="L284" s="172" t="s">
        <v>1943</v>
      </c>
    </row>
    <row r="285" hidden="1">
      <c r="A285" s="211" t="s">
        <v>107</v>
      </c>
      <c r="B285" s="212" t="s">
        <v>1944</v>
      </c>
      <c r="C285" s="212" t="s">
        <v>1945</v>
      </c>
      <c r="D285" s="214"/>
      <c r="E285" s="214"/>
      <c r="F285" s="182">
        <v>133.0</v>
      </c>
      <c r="G285" s="172" t="str">
        <f>IFERROR(__xludf.DUMMYFUNCTION("TRIM(REGEXREPLACE(C285, ""[0-9]+[a-f]?\."", """"))"),"Period location")</f>
        <v>Period location</v>
      </c>
      <c r="H285" s="172" t="str">
        <f>IFERROR(__xludf.DUMMYFUNCTION("TRIM(REGEXREPLACE(D285, ""[0-9]+[a-f]?\."", """"))"),"")</f>
        <v/>
      </c>
      <c r="I285" s="172" t="str">
        <f>IFERROR(__xludf.DUMMYFUNCTION("TRIM(REGEXREPLACE(E285, ""[0-9]+[a-f]?\."", """"))"),"")</f>
        <v/>
      </c>
      <c r="J285" s="172" t="s">
        <v>1946</v>
      </c>
      <c r="K285" s="172" t="s">
        <v>1947</v>
      </c>
      <c r="L285" s="172" t="s">
        <v>1948</v>
      </c>
    </row>
    <row r="286" hidden="1"/>
    <row r="287" hidden="1"/>
    <row r="288" hidden="1"/>
    <row r="289" hidden="1"/>
    <row r="290">
      <c r="A290" s="207" t="s">
        <v>41</v>
      </c>
      <c r="B290" s="208" t="s">
        <v>1949</v>
      </c>
      <c r="C290" s="208" t="s">
        <v>1081</v>
      </c>
      <c r="D290" s="208" t="s">
        <v>1082</v>
      </c>
      <c r="E290" s="208" t="s">
        <v>1951</v>
      </c>
      <c r="F290" s="182">
        <v>54.0</v>
      </c>
      <c r="G290" s="172" t="str">
        <f>IFERROR(__xludf.DUMMYFUNCTION("TRIM(REGEXREPLACE(C290, ""[0-9]+[a-f]?\."", """"))"),"We would like to ask you some questions about your life and activities during the period from ${period}. Think about the period from ${period} when answering the following questions.")</f>
        <v>We would like to ask you some questions about your life and activities during the period from ${period}. Think about the period from ${period} when answering the following questions.</v>
      </c>
      <c r="H290" s="172" t="str">
        <f>IFERROR(__xludf.DUMMYFUNCTION("TRIM(REGEXREPLACE(D290, ""[0-9]+[a-f]?\."", """"))"),"Nous aimerions vous poser quelques questions sur votre vie et vos activités pendant la période du ${period_french}. Pensez à la période à partir de ${period_french} lorsque vous répondez aux questions suivantes.")</f>
        <v>Nous aimerions vous poser quelques questions sur votre vie et vos activités pendant la période du ${period_french}. Pensez à la période à partir de ${period_french} lorsque vous répondez aux questions suivantes.</v>
      </c>
      <c r="I290" s="172" t="str">
        <f>IFERROR(__xludf.DUMMYFUNCTION("TRIM(REGEXREPLACE(E290, ""[0-9]+[a-f]?\."", """"))"),"Muna son mu yi muku wasu tambayoyi bisa rayuwarku da ayyukanku a cikin lokacin ${period_hausa}. Ku tuna da lokacin ${period_hausa} in zaku bada amsar tambayoyin nan masu zuwa.")</f>
        <v>Muna son mu yi muku wasu tambayoyi bisa rayuwarku da ayyukanku a cikin lokacin ${period_hausa}. Ku tuna da lokacin ${period_hausa} in zaku bada amsar tambayoyin nan masu zuwa.</v>
      </c>
      <c r="J290" s="172" t="str">
        <f t="shared" ref="J290:L290" si="54">$F290 &amp; ". " &amp;G290</f>
        <v>54. We would like to ask you some questions about your life and activities during the period from ${period}. Think about the period from ${period} when answering the following questions.</v>
      </c>
      <c r="K290" s="172" t="str">
        <f t="shared" si="54"/>
        <v>54. Nous aimerions vous poser quelques questions sur votre vie et vos activités pendant la période du ${period_french}. Pensez à la période à partir de ${period_french} lorsque vous répondez aux questions suivantes.</v>
      </c>
      <c r="L290" s="172" t="str">
        <f t="shared" si="54"/>
        <v>54. Muna son mu yi muku wasu tambayoyi bisa rayuwarku da ayyukanku a cikin lokacin ${period_hausa}. Ku tuna da lokacin ${period_hausa} in zaku bada amsar tambayoyin nan masu zuwa.</v>
      </c>
    </row>
    <row r="291" hidden="1">
      <c r="A291" s="172"/>
      <c r="B291" s="174"/>
      <c r="C291" s="174"/>
      <c r="D291" s="174"/>
      <c r="E291" s="174"/>
      <c r="F291" s="182">
        <v>135.0</v>
      </c>
      <c r="G291" s="172" t="str">
        <f>IFERROR(__xludf.DUMMYFUNCTION("TRIM(REGEXREPLACE(C291, ""[0-9]+[a-f]?\."", """"))"),"")</f>
        <v/>
      </c>
      <c r="H291" s="172" t="str">
        <f>IFERROR(__xludf.DUMMYFUNCTION("TRIM(REGEXREPLACE(D291, ""[0-9]+[a-f]?\."", """"))"),"")</f>
        <v/>
      </c>
      <c r="I291" s="172" t="str">
        <f>IFERROR(__xludf.DUMMYFUNCTION("TRIM(REGEXREPLACE(E291, ""[0-9]+[a-f]?\."", """"))"),"")</f>
        <v/>
      </c>
      <c r="J291" s="172" t="s">
        <v>1954</v>
      </c>
      <c r="K291" s="172" t="s">
        <v>1955</v>
      </c>
      <c r="L291" s="172" t="s">
        <v>1956</v>
      </c>
    </row>
    <row r="292" hidden="1">
      <c r="A292" s="211" t="s">
        <v>238</v>
      </c>
      <c r="B292" s="224" t="s">
        <v>1944</v>
      </c>
      <c r="C292" s="224" t="s">
        <v>1945</v>
      </c>
      <c r="D292" s="225"/>
      <c r="E292" s="225"/>
      <c r="F292" s="182">
        <v>136.0</v>
      </c>
      <c r="G292" s="172" t="str">
        <f>IFERROR(__xludf.DUMMYFUNCTION("TRIM(REGEXREPLACE(C292, ""[0-9]+[a-f]?\."", """"))"),"Period location")</f>
        <v>Period location</v>
      </c>
      <c r="H292" s="172" t="str">
        <f>IFERROR(__xludf.DUMMYFUNCTION("TRIM(REGEXREPLACE(D292, ""[0-9]+[a-f]?\."", """"))"),"")</f>
        <v/>
      </c>
      <c r="I292" s="172" t="str">
        <f>IFERROR(__xludf.DUMMYFUNCTION("TRIM(REGEXREPLACE(E292, ""[0-9]+[a-f]?\."", """"))"),"")</f>
        <v/>
      </c>
      <c r="J292" s="172" t="s">
        <v>1958</v>
      </c>
      <c r="K292" s="172" t="s">
        <v>1960</v>
      </c>
      <c r="L292" s="172" t="s">
        <v>1961</v>
      </c>
      <c r="M292" s="172"/>
    </row>
    <row r="293" hidden="1">
      <c r="A293" s="188" t="s">
        <v>118</v>
      </c>
      <c r="B293" s="189" t="s">
        <v>1963</v>
      </c>
      <c r="C293" s="190"/>
      <c r="D293" s="190"/>
      <c r="E293" s="190"/>
      <c r="F293" s="182">
        <v>137.0</v>
      </c>
      <c r="G293" s="172" t="str">
        <f>IFERROR(__xludf.DUMMYFUNCTION("TRIM(REGEXREPLACE(C293, ""[0-9]+[a-f]?\."", """"))"),"")</f>
        <v/>
      </c>
      <c r="H293" s="172" t="str">
        <f>IFERROR(__xludf.DUMMYFUNCTION("TRIM(REGEXREPLACE(D293, ""[0-9]+[a-f]?\."", """"))"),"")</f>
        <v/>
      </c>
      <c r="I293" s="172" t="str">
        <f>IFERROR(__xludf.DUMMYFUNCTION("TRIM(REGEXREPLACE(E293, ""[0-9]+[a-f]?\."", """"))"),"")</f>
        <v/>
      </c>
      <c r="J293" s="172" t="s">
        <v>1964</v>
      </c>
      <c r="K293" s="172" t="s">
        <v>1965</v>
      </c>
      <c r="L293" s="172" t="s">
        <v>1966</v>
      </c>
    </row>
    <row r="294" hidden="1">
      <c r="A294" s="188" t="s">
        <v>68</v>
      </c>
      <c r="B294" s="189" t="s">
        <v>1967</v>
      </c>
      <c r="C294" s="190"/>
      <c r="D294" s="190"/>
      <c r="E294" s="190"/>
      <c r="F294" s="182">
        <v>138.0</v>
      </c>
      <c r="G294" s="172" t="str">
        <f>IFERROR(__xludf.DUMMYFUNCTION("TRIM(REGEXREPLACE(C294, ""[0-9]+[a-f]?\."", """"))"),"")</f>
        <v/>
      </c>
      <c r="H294" s="172" t="str">
        <f>IFERROR(__xludf.DUMMYFUNCTION("TRIM(REGEXREPLACE(D294, ""[0-9]+[a-f]?\."", """"))"),"")</f>
        <v/>
      </c>
      <c r="I294" s="172" t="str">
        <f>IFERROR(__xludf.DUMMYFUNCTION("TRIM(REGEXREPLACE(E294, ""[0-9]+[a-f]?\."", """"))"),"")</f>
        <v/>
      </c>
      <c r="J294" s="172" t="s">
        <v>1968</v>
      </c>
      <c r="K294" s="172" t="s">
        <v>1969</v>
      </c>
      <c r="L294" s="172" t="s">
        <v>1970</v>
      </c>
      <c r="M294" s="172"/>
    </row>
    <row r="295" hidden="1">
      <c r="A295" s="255" t="s">
        <v>1042</v>
      </c>
      <c r="B295" s="256" t="s">
        <v>1971</v>
      </c>
      <c r="C295" s="256" t="s">
        <v>1972</v>
      </c>
      <c r="D295" s="257"/>
      <c r="E295" s="257"/>
      <c r="F295" s="182">
        <v>139.0</v>
      </c>
      <c r="G295" s="172" t="str">
        <f>IFERROR(__xludf.DUMMYFUNCTION("TRIM(REGEXREPLACE(C295, ""[0-9]+[a-f]?\."", """"))"),"Roster")</f>
        <v>Roster</v>
      </c>
      <c r="H295" s="172" t="str">
        <f>IFERROR(__xludf.DUMMYFUNCTION("TRIM(REGEXREPLACE(D295, ""[0-9]+[a-f]?\."", """"))"),"")</f>
        <v/>
      </c>
      <c r="I295" s="172" t="str">
        <f>IFERROR(__xludf.DUMMYFUNCTION("TRIM(REGEXREPLACE(E295, ""[0-9]+[a-f]?\."", """"))"),"")</f>
        <v/>
      </c>
      <c r="J295" s="172" t="s">
        <v>1976</v>
      </c>
      <c r="K295" s="172" t="s">
        <v>1977</v>
      </c>
      <c r="L295" s="172" t="s">
        <v>1978</v>
      </c>
      <c r="M295" s="172"/>
    </row>
    <row r="296" hidden="1">
      <c r="B296" s="260"/>
      <c r="C296" s="260"/>
      <c r="D296" s="260"/>
      <c r="E296" s="260"/>
      <c r="F296" s="182">
        <v>146.0</v>
      </c>
      <c r="G296" s="172" t="str">
        <f>IFERROR(__xludf.DUMMYFUNCTION("TRIM(REGEXREPLACE(C296, ""[0-9]+[a-f]?\."", """"))"),"")</f>
        <v/>
      </c>
      <c r="H296" s="172" t="str">
        <f>IFERROR(__xludf.DUMMYFUNCTION("TRIM(REGEXREPLACE(D296, ""[0-9]+[a-f]?\."", """"))"),"")</f>
        <v/>
      </c>
      <c r="I296" s="172" t="str">
        <f>IFERROR(__xludf.DUMMYFUNCTION("TRIM(REGEXREPLACE(E296, ""[0-9]+[a-f]?\."", """"))"),"")</f>
        <v/>
      </c>
      <c r="J296" s="172" t="s">
        <v>1979</v>
      </c>
      <c r="K296" s="172" t="s">
        <v>1980</v>
      </c>
      <c r="L296" s="172" t="s">
        <v>1981</v>
      </c>
      <c r="M296" s="172"/>
    </row>
    <row r="297" hidden="1">
      <c r="B297" s="260"/>
      <c r="C297" s="260"/>
      <c r="D297" s="260"/>
      <c r="E297" s="260"/>
      <c r="F297" s="182">
        <v>147.0</v>
      </c>
      <c r="G297" s="172" t="str">
        <f>IFERROR(__xludf.DUMMYFUNCTION("TRIM(REGEXREPLACE(C297, ""[0-9]+[a-f]?\."", """"))"),"")</f>
        <v/>
      </c>
      <c r="H297" s="172" t="str">
        <f>IFERROR(__xludf.DUMMYFUNCTION("TRIM(REGEXREPLACE(D297, ""[0-9]+[a-f]?\."", """"))"),"")</f>
        <v/>
      </c>
      <c r="I297" s="172" t="str">
        <f>IFERROR(__xludf.DUMMYFUNCTION("TRIM(REGEXREPLACE(E297, ""[0-9]+[a-f]?\."", """"))"),"")</f>
        <v/>
      </c>
      <c r="J297" s="172" t="s">
        <v>1982</v>
      </c>
      <c r="K297" s="172" t="s">
        <v>1983</v>
      </c>
      <c r="L297" s="172" t="s">
        <v>1984</v>
      </c>
      <c r="M297" s="172"/>
    </row>
    <row r="298" hidden="1">
      <c r="B298" s="260"/>
      <c r="C298" s="260"/>
      <c r="D298" s="260"/>
      <c r="E298" s="260"/>
      <c r="F298" s="182">
        <v>148.0</v>
      </c>
      <c r="G298" s="172" t="str">
        <f>IFERROR(__xludf.DUMMYFUNCTION("TRIM(REGEXREPLACE(C298, ""[0-9]+[a-f]?\."", """"))"),"")</f>
        <v/>
      </c>
      <c r="H298" s="172" t="str">
        <f>IFERROR(__xludf.DUMMYFUNCTION("TRIM(REGEXREPLACE(D298, ""[0-9]+[a-f]?\."", """"))"),"")</f>
        <v/>
      </c>
      <c r="I298" s="172" t="str">
        <f>IFERROR(__xludf.DUMMYFUNCTION("TRIM(REGEXREPLACE(E298, ""[0-9]+[a-f]?\."", """"))"),"")</f>
        <v/>
      </c>
      <c r="J298" s="172" t="s">
        <v>1985</v>
      </c>
      <c r="K298" s="172" t="s">
        <v>1986</v>
      </c>
      <c r="L298" s="172" t="s">
        <v>1987</v>
      </c>
      <c r="M298" s="172"/>
    </row>
    <row r="299" hidden="1">
      <c r="A299" s="188" t="s">
        <v>68</v>
      </c>
      <c r="B299" s="189" t="s">
        <v>1988</v>
      </c>
      <c r="C299" s="190"/>
      <c r="D299" s="190"/>
      <c r="E299" s="190"/>
      <c r="F299" s="182">
        <v>140.0</v>
      </c>
      <c r="G299" s="172" t="str">
        <f>IFERROR(__xludf.DUMMYFUNCTION("TRIM(REGEXREPLACE(C299, ""[0-9]+[a-f]?\."", """"))"),"")</f>
        <v/>
      </c>
      <c r="H299" s="172" t="str">
        <f>IFERROR(__xludf.DUMMYFUNCTION("TRIM(REGEXREPLACE(D299, ""[0-9]+[a-f]?\."", """"))"),"")</f>
        <v/>
      </c>
      <c r="I299" s="172" t="str">
        <f>IFERROR(__xludf.DUMMYFUNCTION("TRIM(REGEXREPLACE(E299, ""[0-9]+[a-f]?\."", """"))"),"")</f>
        <v/>
      </c>
      <c r="J299" s="172" t="s">
        <v>1989</v>
      </c>
      <c r="K299" s="172" t="s">
        <v>1990</v>
      </c>
      <c r="L299" s="172" t="s">
        <v>1991</v>
      </c>
    </row>
    <row r="300" hidden="1">
      <c r="A300" s="188" t="s">
        <v>68</v>
      </c>
      <c r="B300" s="189" t="s">
        <v>1992</v>
      </c>
      <c r="C300" s="217" t="s">
        <v>1993</v>
      </c>
      <c r="D300" s="190"/>
      <c r="E300" s="190"/>
      <c r="F300" s="182">
        <v>141.0</v>
      </c>
      <c r="G300" s="172" t="str">
        <f>IFERROR(__xludf.DUMMYFUNCTION("TRIM(REGEXREPLACE(C300, ""[0-9]+[a-f]?\."", """"))"),"Member name from case management")</f>
        <v>Member name from case management</v>
      </c>
      <c r="H300" s="172" t="str">
        <f>IFERROR(__xludf.DUMMYFUNCTION("TRIM(REGEXREPLACE(D300, ""[0-9]+[a-f]?\."", """"))"),"")</f>
        <v/>
      </c>
      <c r="I300" s="172" t="str">
        <f>IFERROR(__xludf.DUMMYFUNCTION("TRIM(REGEXREPLACE(E300, ""[0-9]+[a-f]?\."", """"))"),"")</f>
        <v/>
      </c>
      <c r="J300" s="172" t="s">
        <v>1994</v>
      </c>
      <c r="K300" s="172" t="s">
        <v>1995</v>
      </c>
      <c r="L300" s="172" t="s">
        <v>1996</v>
      </c>
    </row>
    <row r="301" hidden="1">
      <c r="B301" s="260"/>
      <c r="C301" s="260"/>
      <c r="D301" s="260"/>
      <c r="E301" s="260"/>
      <c r="F301" s="182">
        <v>151.0</v>
      </c>
      <c r="G301" s="172" t="str">
        <f>IFERROR(__xludf.DUMMYFUNCTION("TRIM(REGEXREPLACE(C301, ""[0-9]+[a-f]?\."", """"))"),"")</f>
        <v/>
      </c>
      <c r="H301" s="172" t="str">
        <f>IFERROR(__xludf.DUMMYFUNCTION("TRIM(REGEXREPLACE(D301, ""[0-9]+[a-f]?\."", """"))"),"")</f>
        <v/>
      </c>
      <c r="I301" s="172" t="str">
        <f>IFERROR(__xludf.DUMMYFUNCTION("TRIM(REGEXREPLACE(E301, ""[0-9]+[a-f]?\."", """"))"),"")</f>
        <v/>
      </c>
      <c r="J301" s="172" t="s">
        <v>1997</v>
      </c>
      <c r="K301" s="172" t="s">
        <v>1998</v>
      </c>
      <c r="L301" s="172" t="s">
        <v>1999</v>
      </c>
      <c r="M301" s="172"/>
    </row>
    <row r="302" hidden="1">
      <c r="A302" s="188" t="s">
        <v>68</v>
      </c>
      <c r="B302" s="189" t="s">
        <v>2000</v>
      </c>
      <c r="C302" s="217" t="s">
        <v>2001</v>
      </c>
      <c r="D302" s="190"/>
      <c r="E302" s="190"/>
      <c r="F302" s="182">
        <v>142.0</v>
      </c>
      <c r="G302" s="172" t="str">
        <f>IFERROR(__xludf.DUMMYFUNCTION("TRIM(REGEXREPLACE(C302, ""[0-9]+[a-f]?\."", """"))"),"Member age from case management")</f>
        <v>Member age from case management</v>
      </c>
      <c r="H302" s="172" t="str">
        <f>IFERROR(__xludf.DUMMYFUNCTION("TRIM(REGEXREPLACE(D302, ""[0-9]+[a-f]?\."", """"))"),"")</f>
        <v/>
      </c>
      <c r="I302" s="172" t="str">
        <f>IFERROR(__xludf.DUMMYFUNCTION("TRIM(REGEXREPLACE(E302, ""[0-9]+[a-f]?\."", """"))"),"")</f>
        <v/>
      </c>
      <c r="J302" s="172" t="s">
        <v>2006</v>
      </c>
      <c r="K302" s="172" t="s">
        <v>2007</v>
      </c>
      <c r="L302" s="172" t="s">
        <v>2008</v>
      </c>
    </row>
    <row r="303" hidden="1">
      <c r="A303" s="188" t="s">
        <v>68</v>
      </c>
      <c r="B303" s="189" t="s">
        <v>2009</v>
      </c>
      <c r="C303" s="217" t="s">
        <v>2010</v>
      </c>
      <c r="D303" s="190"/>
      <c r="E303" s="190"/>
      <c r="F303" s="182">
        <v>143.0</v>
      </c>
      <c r="G303" s="172" t="str">
        <f>IFERROR(__xludf.DUMMYFUNCTION("TRIM(REGEXREPLACE(C303, ""[0-9]+[a-f]?\."", """"))"),"Member sex from case management")</f>
        <v>Member sex from case management</v>
      </c>
      <c r="H303" s="172" t="str">
        <f>IFERROR(__xludf.DUMMYFUNCTION("TRIM(REGEXREPLACE(D303, ""[0-9]+[a-f]?\."", """"))"),"")</f>
        <v/>
      </c>
      <c r="I303" s="172" t="str">
        <f>IFERROR(__xludf.DUMMYFUNCTION("TRIM(REGEXREPLACE(E303, ""[0-9]+[a-f]?\."", """"))"),"")</f>
        <v/>
      </c>
      <c r="J303" s="172" t="s">
        <v>2011</v>
      </c>
      <c r="K303" s="172" t="s">
        <v>2012</v>
      </c>
      <c r="L303" s="172" t="s">
        <v>2013</v>
      </c>
    </row>
    <row r="304" hidden="1">
      <c r="A304" s="255" t="s">
        <v>1064</v>
      </c>
      <c r="B304" s="261" t="s">
        <v>1971</v>
      </c>
      <c r="C304" s="264"/>
      <c r="D304" s="264"/>
      <c r="E304" s="264"/>
      <c r="F304" s="182">
        <v>144.0</v>
      </c>
      <c r="G304" s="172" t="str">
        <f>IFERROR(__xludf.DUMMYFUNCTION("TRIM(REGEXREPLACE(C304, ""[0-9]+[a-f]?\."", """"))"),"")</f>
        <v/>
      </c>
      <c r="H304" s="172" t="str">
        <f>IFERROR(__xludf.DUMMYFUNCTION("TRIM(REGEXREPLACE(D304, ""[0-9]+[a-f]?\."", """"))"),"")</f>
        <v/>
      </c>
      <c r="I304" s="172" t="str">
        <f>IFERROR(__xludf.DUMMYFUNCTION("TRIM(REGEXREPLACE(E304, ""[0-9]+[a-f]?\."", """"))"),"")</f>
        <v/>
      </c>
      <c r="J304" s="172" t="s">
        <v>2017</v>
      </c>
      <c r="K304" s="172" t="s">
        <v>2018</v>
      </c>
      <c r="L304" s="172" t="s">
        <v>2019</v>
      </c>
    </row>
    <row r="305" hidden="1">
      <c r="B305" s="260"/>
      <c r="C305" s="260"/>
      <c r="D305" s="260"/>
      <c r="E305" s="260"/>
      <c r="F305" s="182">
        <v>155.0</v>
      </c>
      <c r="G305" s="172" t="str">
        <f>IFERROR(__xludf.DUMMYFUNCTION("TRIM(REGEXREPLACE(C305, ""[0-9]+[a-f]?\."", """"))"),"")</f>
        <v/>
      </c>
      <c r="H305" s="172" t="str">
        <f>IFERROR(__xludf.DUMMYFUNCTION("TRIM(REGEXREPLACE(D305, ""[0-9]+[a-f]?\."", """"))"),"")</f>
        <v/>
      </c>
      <c r="I305" s="172" t="str">
        <f>IFERROR(__xludf.DUMMYFUNCTION("TRIM(REGEXREPLACE(E305, ""[0-9]+[a-f]?\."", """"))"),"")</f>
        <v/>
      </c>
      <c r="J305" s="172" t="s">
        <v>2020</v>
      </c>
      <c r="K305" s="172" t="s">
        <v>2021</v>
      </c>
      <c r="L305" s="172" t="s">
        <v>2022</v>
      </c>
      <c r="M305" s="172"/>
    </row>
    <row r="306" hidden="1">
      <c r="B306" s="260"/>
      <c r="C306" s="260"/>
      <c r="D306" s="260"/>
      <c r="E306" s="260"/>
      <c r="F306" s="182">
        <v>156.0</v>
      </c>
      <c r="G306" s="172" t="str">
        <f>IFERROR(__xludf.DUMMYFUNCTION("TRIM(REGEXREPLACE(C306, ""[0-9]+[a-f]?\."", """"))"),"")</f>
        <v/>
      </c>
      <c r="H306" s="172" t="str">
        <f>IFERROR(__xludf.DUMMYFUNCTION("TRIM(REGEXREPLACE(D306, ""[0-9]+[a-f]?\."", """"))"),"")</f>
        <v/>
      </c>
      <c r="I306" s="172" t="str">
        <f>IFERROR(__xludf.DUMMYFUNCTION("TRIM(REGEXREPLACE(E306, ""[0-9]+[a-f]?\."", """"))"),"")</f>
        <v/>
      </c>
      <c r="J306" s="172" t="s">
        <v>2024</v>
      </c>
      <c r="K306" s="172" t="s">
        <v>2025</v>
      </c>
      <c r="L306" s="172" t="s">
        <v>2026</v>
      </c>
      <c r="M306" s="172"/>
    </row>
    <row r="307" hidden="1">
      <c r="B307" s="260"/>
      <c r="C307" s="260"/>
      <c r="D307" s="260"/>
      <c r="E307" s="260"/>
      <c r="F307" s="182">
        <v>157.0</v>
      </c>
      <c r="G307" s="172" t="str">
        <f>IFERROR(__xludf.DUMMYFUNCTION("TRIM(REGEXREPLACE(C307, ""[0-9]+[a-f]?\."", """"))"),"")</f>
        <v/>
      </c>
      <c r="H307" s="172" t="str">
        <f>IFERROR(__xludf.DUMMYFUNCTION("TRIM(REGEXREPLACE(D307, ""[0-9]+[a-f]?\."", """"))"),"")</f>
        <v/>
      </c>
      <c r="I307" s="172" t="str">
        <f>IFERROR(__xludf.DUMMYFUNCTION("TRIM(REGEXREPLACE(E307, ""[0-9]+[a-f]?\."", """"))"),"")</f>
        <v/>
      </c>
      <c r="J307" s="172" t="s">
        <v>2027</v>
      </c>
      <c r="K307" s="172" t="s">
        <v>2028</v>
      </c>
      <c r="L307" s="172" t="s">
        <v>2029</v>
      </c>
      <c r="M307" s="172"/>
    </row>
    <row r="308" hidden="1">
      <c r="B308" s="260"/>
      <c r="C308" s="260"/>
      <c r="D308" s="260"/>
      <c r="E308" s="260"/>
      <c r="F308" s="182">
        <v>148.0</v>
      </c>
      <c r="G308" s="172" t="str">
        <f>IFERROR(__xludf.DUMMYFUNCTION("TRIM(REGEXREPLACE(C308, ""[0-9]+[a-f]?\."", """"))"),"")</f>
        <v/>
      </c>
      <c r="H308" s="172" t="str">
        <f>IFERROR(__xludf.DUMMYFUNCTION("TRIM(REGEXREPLACE(D308, ""[0-9]+[a-f]?\."", """"))"),"")</f>
        <v/>
      </c>
      <c r="I308" s="172" t="str">
        <f>IFERROR(__xludf.DUMMYFUNCTION("TRIM(REGEXREPLACE(E308, ""[0-9]+[a-f]?\."", """"))"),"")</f>
        <v/>
      </c>
      <c r="J308" s="172" t="s">
        <v>2030</v>
      </c>
      <c r="K308" s="172" t="s">
        <v>2031</v>
      </c>
      <c r="L308" s="172" t="s">
        <v>2033</v>
      </c>
      <c r="M308" s="172"/>
    </row>
    <row r="309" hidden="1">
      <c r="B309" s="260"/>
      <c r="C309" s="260"/>
      <c r="D309" s="260"/>
      <c r="E309" s="260"/>
      <c r="F309" s="182">
        <v>149.0</v>
      </c>
      <c r="G309" s="172" t="str">
        <f>IFERROR(__xludf.DUMMYFUNCTION("TRIM(REGEXREPLACE(C309, ""[0-9]+[a-f]?\."", """"))"),"")</f>
        <v/>
      </c>
      <c r="H309" s="172" t="str">
        <f>IFERROR(__xludf.DUMMYFUNCTION("TRIM(REGEXREPLACE(D309, ""[0-9]+[a-f]?\."", """"))"),"")</f>
        <v/>
      </c>
      <c r="I309" s="172" t="str">
        <f>IFERROR(__xludf.DUMMYFUNCTION("TRIM(REGEXREPLACE(E309, ""[0-9]+[a-f]?\."", """"))"),"")</f>
        <v/>
      </c>
      <c r="J309" s="172" t="s">
        <v>2035</v>
      </c>
      <c r="K309" s="172" t="s">
        <v>2036</v>
      </c>
      <c r="L309" s="172" t="s">
        <v>2037</v>
      </c>
      <c r="M309" s="172"/>
    </row>
    <row r="310" hidden="1">
      <c r="B310" s="260"/>
      <c r="C310" s="260"/>
      <c r="D310" s="260"/>
      <c r="E310" s="260"/>
      <c r="F310" s="182">
        <v>150.0</v>
      </c>
      <c r="G310" s="172" t="str">
        <f>IFERROR(__xludf.DUMMYFUNCTION("TRIM(REGEXREPLACE(C310, ""[0-9]+[a-f]?\."", """"))"),"")</f>
        <v/>
      </c>
      <c r="H310" s="172" t="str">
        <f>IFERROR(__xludf.DUMMYFUNCTION("TRIM(REGEXREPLACE(D310, ""[0-9]+[a-f]?\."", """"))"),"")</f>
        <v/>
      </c>
      <c r="I310" s="172" t="str">
        <f>IFERROR(__xludf.DUMMYFUNCTION("TRIM(REGEXREPLACE(E310, ""[0-9]+[a-f]?\."", """"))"),"")</f>
        <v/>
      </c>
      <c r="J310" s="172" t="s">
        <v>2038</v>
      </c>
      <c r="K310" s="172" t="s">
        <v>2039</v>
      </c>
      <c r="L310" s="172" t="s">
        <v>2040</v>
      </c>
      <c r="M310" s="172"/>
    </row>
    <row r="311" hidden="1">
      <c r="B311" s="260"/>
      <c r="C311" s="260"/>
      <c r="D311" s="260"/>
      <c r="E311" s="260"/>
      <c r="F311" s="182">
        <v>151.0</v>
      </c>
      <c r="G311" s="172" t="str">
        <f>IFERROR(__xludf.DUMMYFUNCTION("TRIM(REGEXREPLACE(C311, ""[0-9]+[a-f]?\."", """"))"),"")</f>
        <v/>
      </c>
      <c r="H311" s="172" t="str">
        <f>IFERROR(__xludf.DUMMYFUNCTION("TRIM(REGEXREPLACE(D311, ""[0-9]+[a-f]?\."", """"))"),"")</f>
        <v/>
      </c>
      <c r="I311" s="172" t="str">
        <f>IFERROR(__xludf.DUMMYFUNCTION("TRIM(REGEXREPLACE(E311, ""[0-9]+[a-f]?\."", """"))"),"")</f>
        <v/>
      </c>
      <c r="J311" s="172" t="s">
        <v>2044</v>
      </c>
      <c r="K311" s="172" t="s">
        <v>2045</v>
      </c>
      <c r="L311" s="172" t="s">
        <v>2046</v>
      </c>
      <c r="M311" s="172"/>
    </row>
    <row r="312" hidden="1">
      <c r="B312" s="260"/>
      <c r="C312" s="260"/>
      <c r="D312" s="260"/>
      <c r="E312" s="260"/>
      <c r="F312" s="182">
        <v>152.0</v>
      </c>
      <c r="G312" s="172" t="str">
        <f>IFERROR(__xludf.DUMMYFUNCTION("TRIM(REGEXREPLACE(C312, ""[0-9]+[a-f]?\."", """"))"),"")</f>
        <v/>
      </c>
      <c r="H312" s="172" t="str">
        <f>IFERROR(__xludf.DUMMYFUNCTION("TRIM(REGEXREPLACE(D312, ""[0-9]+[a-f]?\."", """"))"),"")</f>
        <v/>
      </c>
      <c r="I312" s="172" t="str">
        <f>IFERROR(__xludf.DUMMYFUNCTION("TRIM(REGEXREPLACE(E312, ""[0-9]+[a-f]?\."", """"))"),"")</f>
        <v/>
      </c>
      <c r="J312" s="172" t="s">
        <v>2050</v>
      </c>
      <c r="K312" s="172" t="s">
        <v>2051</v>
      </c>
      <c r="L312" s="172" t="s">
        <v>2052</v>
      </c>
      <c r="M312" s="172"/>
    </row>
    <row r="313" hidden="1"/>
    <row r="314" hidden="1">
      <c r="A314" s="188" t="s">
        <v>68</v>
      </c>
      <c r="B314" s="189" t="s">
        <v>2053</v>
      </c>
      <c r="C314" s="265"/>
      <c r="D314" s="265"/>
      <c r="E314" s="265"/>
      <c r="F314" s="182">
        <v>145.0</v>
      </c>
      <c r="G314" s="172" t="str">
        <f>IFERROR(__xludf.DUMMYFUNCTION("TRIM(REGEXREPLACE(C314, ""[0-9]+[a-f]?\."", """"))"),"")</f>
        <v/>
      </c>
      <c r="H314" s="172" t="str">
        <f>IFERROR(__xludf.DUMMYFUNCTION("TRIM(REGEXREPLACE(D314, ""[0-9]+[a-f]?\."", """"))"),"")</f>
        <v/>
      </c>
      <c r="I314" s="172" t="str">
        <f>IFERROR(__xludf.DUMMYFUNCTION("TRIM(REGEXREPLACE(E314, ""[0-9]+[a-f]?\."", """"))"),"")</f>
        <v/>
      </c>
      <c r="J314" s="172" t="s">
        <v>2054</v>
      </c>
      <c r="K314" s="172" t="s">
        <v>2055</v>
      </c>
      <c r="L314" s="172" t="s">
        <v>2056</v>
      </c>
    </row>
    <row r="315" hidden="1"/>
    <row r="316" hidden="1">
      <c r="B316" s="260"/>
      <c r="C316" s="260"/>
      <c r="D316" s="260"/>
      <c r="E316" s="260"/>
      <c r="F316" s="182">
        <v>158.0</v>
      </c>
      <c r="G316" s="172" t="str">
        <f>IFERROR(__xludf.DUMMYFUNCTION("TRIM(REGEXREPLACE(C316, ""[0-9]+[a-f]?\."", """"))"),"")</f>
        <v/>
      </c>
      <c r="H316" s="172" t="str">
        <f>IFERROR(__xludf.DUMMYFUNCTION("TRIM(REGEXREPLACE(D316, ""[0-9]+[a-f]?\."", """"))"),"")</f>
        <v/>
      </c>
      <c r="I316" s="172" t="str">
        <f>IFERROR(__xludf.DUMMYFUNCTION("TRIM(REGEXREPLACE(E316, ""[0-9]+[a-f]?\."", """"))"),"")</f>
        <v/>
      </c>
      <c r="J316" s="172" t="s">
        <v>2057</v>
      </c>
      <c r="K316" s="172" t="s">
        <v>2058</v>
      </c>
      <c r="L316" s="172" t="s">
        <v>2059</v>
      </c>
    </row>
    <row r="317" hidden="1">
      <c r="B317" s="260"/>
      <c r="C317" s="260"/>
      <c r="D317" s="260"/>
      <c r="E317" s="260"/>
      <c r="F317" s="182">
        <v>159.0</v>
      </c>
      <c r="G317" s="172" t="str">
        <f>IFERROR(__xludf.DUMMYFUNCTION("TRIM(REGEXREPLACE(C317, ""[0-9]+[a-f]?\."", """"))"),"")</f>
        <v/>
      </c>
      <c r="H317" s="172" t="str">
        <f>IFERROR(__xludf.DUMMYFUNCTION("TRIM(REGEXREPLACE(D317, ""[0-9]+[a-f]?\."", """"))"),"")</f>
        <v/>
      </c>
      <c r="I317" s="172" t="str">
        <f>IFERROR(__xludf.DUMMYFUNCTION("TRIM(REGEXREPLACE(E317, ""[0-9]+[a-f]?\."", """"))"),"")</f>
        <v/>
      </c>
      <c r="J317" s="172" t="s">
        <v>2060</v>
      </c>
      <c r="K317" s="172" t="s">
        <v>2061</v>
      </c>
      <c r="L317" s="172" t="s">
        <v>2062</v>
      </c>
      <c r="M317" s="172"/>
    </row>
    <row r="318" hidden="1">
      <c r="A318" s="188" t="s">
        <v>68</v>
      </c>
      <c r="B318" s="189" t="s">
        <v>2063</v>
      </c>
      <c r="C318" s="265"/>
      <c r="D318" s="265"/>
      <c r="E318" s="265"/>
      <c r="F318" s="182">
        <v>146.0</v>
      </c>
      <c r="G318" s="172" t="str">
        <f>IFERROR(__xludf.DUMMYFUNCTION("TRIM(REGEXREPLACE(C318, ""[0-9]+[a-f]?\."", """"))"),"")</f>
        <v/>
      </c>
      <c r="H318" s="172" t="str">
        <f>IFERROR(__xludf.DUMMYFUNCTION("TRIM(REGEXREPLACE(D318, ""[0-9]+[a-f]?\."", """"))"),"")</f>
        <v/>
      </c>
      <c r="I318" s="172" t="str">
        <f>IFERROR(__xludf.DUMMYFUNCTION("TRIM(REGEXREPLACE(E318, ""[0-9]+[a-f]?\."", """"))"),"")</f>
        <v/>
      </c>
      <c r="J318" s="172" t="s">
        <v>2064</v>
      </c>
      <c r="K318" s="172" t="s">
        <v>2065</v>
      </c>
      <c r="L318" s="172" t="s">
        <v>2066</v>
      </c>
      <c r="M318" s="172"/>
    </row>
    <row r="319" hidden="1">
      <c r="A319" s="188" t="s">
        <v>68</v>
      </c>
      <c r="B319" s="189" t="s">
        <v>2067</v>
      </c>
      <c r="C319" s="265"/>
      <c r="D319" s="265"/>
      <c r="E319" s="265"/>
      <c r="F319" s="182">
        <v>147.0</v>
      </c>
      <c r="G319" s="172" t="str">
        <f>IFERROR(__xludf.DUMMYFUNCTION("TRIM(REGEXREPLACE(C319, ""[0-9]+[a-f]?\."", """"))"),"")</f>
        <v/>
      </c>
      <c r="H319" s="172" t="str">
        <f>IFERROR(__xludf.DUMMYFUNCTION("TRIM(REGEXREPLACE(D319, ""[0-9]+[a-f]?\."", """"))"),"")</f>
        <v/>
      </c>
      <c r="I319" s="172" t="str">
        <f>IFERROR(__xludf.DUMMYFUNCTION("TRIM(REGEXREPLACE(E319, ""[0-9]+[a-f]?\."", """"))"),"")</f>
        <v/>
      </c>
      <c r="J319" s="172" t="s">
        <v>2068</v>
      </c>
      <c r="K319" s="172" t="s">
        <v>2069</v>
      </c>
      <c r="L319" s="172" t="s">
        <v>2070</v>
      </c>
    </row>
    <row r="320" hidden="1">
      <c r="A320" s="188" t="s">
        <v>68</v>
      </c>
      <c r="B320" s="189" t="s">
        <v>2071</v>
      </c>
      <c r="C320" s="265"/>
      <c r="D320" s="265"/>
      <c r="E320" s="265"/>
      <c r="F320" s="182">
        <v>148.0</v>
      </c>
      <c r="G320" s="172" t="str">
        <f>IFERROR(__xludf.DUMMYFUNCTION("TRIM(REGEXREPLACE(C320, ""[0-9]+[a-f]?\."", """"))"),"")</f>
        <v/>
      </c>
      <c r="H320" s="172" t="str">
        <f>IFERROR(__xludf.DUMMYFUNCTION("TRIM(REGEXREPLACE(D320, ""[0-9]+[a-f]?\."", """"))"),"")</f>
        <v/>
      </c>
      <c r="I320" s="172" t="str">
        <f>IFERROR(__xludf.DUMMYFUNCTION("TRIM(REGEXREPLACE(E320, ""[0-9]+[a-f]?\."", """"))"),"")</f>
        <v/>
      </c>
      <c r="J320" s="172" t="s">
        <v>2074</v>
      </c>
      <c r="K320" s="172" t="s">
        <v>2075</v>
      </c>
      <c r="L320" s="172" t="s">
        <v>2076</v>
      </c>
    </row>
    <row r="321" hidden="1">
      <c r="A321" s="188" t="s">
        <v>68</v>
      </c>
      <c r="B321" s="189" t="s">
        <v>2078</v>
      </c>
      <c r="C321" s="265"/>
      <c r="D321" s="265"/>
      <c r="E321" s="265"/>
      <c r="F321" s="182">
        <v>149.0</v>
      </c>
      <c r="G321" s="172" t="str">
        <f>IFERROR(__xludf.DUMMYFUNCTION("TRIM(REGEXREPLACE(C321, ""[0-9]+[a-f]?\."", """"))"),"")</f>
        <v/>
      </c>
      <c r="H321" s="172" t="str">
        <f>IFERROR(__xludf.DUMMYFUNCTION("TRIM(REGEXREPLACE(D321, ""[0-9]+[a-f]?\."", """"))"),"")</f>
        <v/>
      </c>
      <c r="I321" s="172" t="str">
        <f>IFERROR(__xludf.DUMMYFUNCTION("TRIM(REGEXREPLACE(E321, ""[0-9]+[a-f]?\."", """"))"),"")</f>
        <v/>
      </c>
      <c r="J321" s="172" t="s">
        <v>2080</v>
      </c>
      <c r="K321" s="172" t="s">
        <v>2081</v>
      </c>
      <c r="L321" s="172" t="s">
        <v>2082</v>
      </c>
      <c r="M321" s="172"/>
    </row>
    <row r="322" hidden="1">
      <c r="A322" s="188" t="s">
        <v>68</v>
      </c>
      <c r="B322" s="189" t="s">
        <v>2083</v>
      </c>
      <c r="C322" s="265"/>
      <c r="D322" s="265"/>
      <c r="E322" s="265"/>
      <c r="F322" s="182">
        <v>150.0</v>
      </c>
      <c r="G322" s="172" t="str">
        <f>IFERROR(__xludf.DUMMYFUNCTION("TRIM(REGEXREPLACE(C322, ""[0-9]+[a-f]?\."", """"))"),"")</f>
        <v/>
      </c>
      <c r="H322" s="172" t="str">
        <f>IFERROR(__xludf.DUMMYFUNCTION("TRIM(REGEXREPLACE(D322, ""[0-9]+[a-f]?\."", """"))"),"")</f>
        <v/>
      </c>
      <c r="I322" s="172" t="str">
        <f>IFERROR(__xludf.DUMMYFUNCTION("TRIM(REGEXREPLACE(E322, ""[0-9]+[a-f]?\."", """"))"),"")</f>
        <v/>
      </c>
      <c r="J322" s="172" t="s">
        <v>2084</v>
      </c>
      <c r="K322" s="172" t="s">
        <v>2086</v>
      </c>
      <c r="L322" s="172" t="s">
        <v>2088</v>
      </c>
      <c r="M322" s="172"/>
    </row>
    <row r="323" hidden="1">
      <c r="A323" s="188" t="s">
        <v>68</v>
      </c>
      <c r="B323" s="189" t="s">
        <v>2090</v>
      </c>
      <c r="C323" s="265"/>
      <c r="D323" s="265"/>
      <c r="E323" s="265"/>
      <c r="F323" s="182">
        <v>151.0</v>
      </c>
      <c r="G323" s="172" t="str">
        <f>IFERROR(__xludf.DUMMYFUNCTION("TRIM(REGEXREPLACE(C323, ""[0-9]+[a-f]?\."", """"))"),"")</f>
        <v/>
      </c>
      <c r="H323" s="172" t="str">
        <f>IFERROR(__xludf.DUMMYFUNCTION("TRIM(REGEXREPLACE(D323, ""[0-9]+[a-f]?\."", """"))"),"")</f>
        <v/>
      </c>
      <c r="I323" s="172" t="str">
        <f>IFERROR(__xludf.DUMMYFUNCTION("TRIM(REGEXREPLACE(E323, ""[0-9]+[a-f]?\."", """"))"),"")</f>
        <v/>
      </c>
      <c r="J323" s="172" t="s">
        <v>2091</v>
      </c>
      <c r="K323" s="172" t="s">
        <v>2092</v>
      </c>
      <c r="L323" s="172" t="s">
        <v>2093</v>
      </c>
      <c r="M323" s="172"/>
    </row>
    <row r="324" hidden="1">
      <c r="A324" s="188" t="s">
        <v>68</v>
      </c>
      <c r="B324" s="189" t="s">
        <v>2094</v>
      </c>
      <c r="C324" s="190"/>
      <c r="D324" s="190"/>
      <c r="E324" s="190"/>
      <c r="F324" s="182">
        <v>152.0</v>
      </c>
      <c r="G324" s="172" t="str">
        <f>IFERROR(__xludf.DUMMYFUNCTION("TRIM(REGEXREPLACE(C324, ""[0-9]+[a-f]?\."", """"))"),"")</f>
        <v/>
      </c>
      <c r="H324" s="172" t="str">
        <f>IFERROR(__xludf.DUMMYFUNCTION("TRIM(REGEXREPLACE(D324, ""[0-9]+[a-f]?\."", """"))"),"")</f>
        <v/>
      </c>
      <c r="I324" s="172" t="str">
        <f>IFERROR(__xludf.DUMMYFUNCTION("TRIM(REGEXREPLACE(E324, ""[0-9]+[a-f]?\."", """"))"),"")</f>
        <v/>
      </c>
      <c r="J324" s="172" t="s">
        <v>2095</v>
      </c>
      <c r="K324" s="172" t="s">
        <v>2096</v>
      </c>
      <c r="L324" s="172" t="s">
        <v>2097</v>
      </c>
      <c r="M324" s="172"/>
    </row>
    <row r="325" hidden="1">
      <c r="A325" s="188" t="s">
        <v>68</v>
      </c>
      <c r="B325" s="266" t="s">
        <v>2098</v>
      </c>
      <c r="C325" s="190"/>
      <c r="D325" s="190"/>
      <c r="E325" s="190"/>
      <c r="F325" s="182">
        <v>153.0</v>
      </c>
      <c r="G325" s="172" t="str">
        <f>IFERROR(__xludf.DUMMYFUNCTION("TRIM(REGEXREPLACE(C325, ""[0-9]+[a-f]?\."", """"))"),"")</f>
        <v/>
      </c>
      <c r="H325" s="172" t="str">
        <f>IFERROR(__xludf.DUMMYFUNCTION("TRIM(REGEXREPLACE(D325, ""[0-9]+[a-f]?\."", """"))"),"")</f>
        <v/>
      </c>
      <c r="I325" s="172" t="str">
        <f>IFERROR(__xludf.DUMMYFUNCTION("TRIM(REGEXREPLACE(E325, ""[0-9]+[a-f]?\."", """"))"),"")</f>
        <v/>
      </c>
      <c r="J325" s="172" t="s">
        <v>2102</v>
      </c>
      <c r="K325" s="172" t="s">
        <v>2103</v>
      </c>
      <c r="L325" s="172" t="s">
        <v>2104</v>
      </c>
      <c r="M325" s="172"/>
    </row>
    <row r="326" hidden="1">
      <c r="A326" s="188" t="s">
        <v>68</v>
      </c>
      <c r="B326" s="266" t="s">
        <v>2105</v>
      </c>
      <c r="C326" s="265"/>
      <c r="D326" s="265"/>
      <c r="E326" s="265"/>
      <c r="F326" s="182">
        <v>154.0</v>
      </c>
      <c r="G326" s="172" t="str">
        <f>IFERROR(__xludf.DUMMYFUNCTION("TRIM(REGEXREPLACE(C326, ""[0-9]+[a-f]?\."", """"))"),"")</f>
        <v/>
      </c>
      <c r="H326" s="172" t="str">
        <f>IFERROR(__xludf.DUMMYFUNCTION("TRIM(REGEXREPLACE(D326, ""[0-9]+[a-f]?\."", """"))"),"")</f>
        <v/>
      </c>
      <c r="I326" s="172" t="str">
        <f>IFERROR(__xludf.DUMMYFUNCTION("TRIM(REGEXREPLACE(E326, ""[0-9]+[a-f]?\."", """"))"),"")</f>
        <v/>
      </c>
      <c r="J326" s="172" t="s">
        <v>2106</v>
      </c>
      <c r="K326" s="172" t="s">
        <v>2107</v>
      </c>
      <c r="L326" s="172" t="s">
        <v>2108</v>
      </c>
    </row>
    <row r="327" hidden="1">
      <c r="A327" s="188" t="s">
        <v>68</v>
      </c>
      <c r="B327" s="266" t="s">
        <v>2109</v>
      </c>
      <c r="C327" s="265"/>
      <c r="D327" s="265"/>
      <c r="E327" s="265"/>
      <c r="F327" s="182">
        <v>155.0</v>
      </c>
      <c r="G327" s="172" t="str">
        <f>IFERROR(__xludf.DUMMYFUNCTION("TRIM(REGEXREPLACE(C327, ""[0-9]+[a-f]?\."", """"))"),"")</f>
        <v/>
      </c>
      <c r="H327" s="172" t="str">
        <f>IFERROR(__xludf.DUMMYFUNCTION("TRIM(REGEXREPLACE(D327, ""[0-9]+[a-f]?\."", """"))"),"")</f>
        <v/>
      </c>
      <c r="I327" s="172" t="str">
        <f>IFERROR(__xludf.DUMMYFUNCTION("TRIM(REGEXREPLACE(E327, ""[0-9]+[a-f]?\."", """"))"),"")</f>
        <v/>
      </c>
      <c r="J327" s="172" t="s">
        <v>2112</v>
      </c>
      <c r="K327" s="172" t="s">
        <v>2114</v>
      </c>
      <c r="L327" s="172" t="s">
        <v>2115</v>
      </c>
    </row>
    <row r="328" hidden="1">
      <c r="A328" s="188" t="s">
        <v>68</v>
      </c>
      <c r="B328" s="266" t="s">
        <v>2116</v>
      </c>
      <c r="C328" s="265"/>
      <c r="D328" s="265"/>
      <c r="E328" s="265"/>
      <c r="F328" s="182">
        <v>156.0</v>
      </c>
      <c r="G328" s="172" t="str">
        <f>IFERROR(__xludf.DUMMYFUNCTION("TRIM(REGEXREPLACE(C328, ""[0-9]+[a-f]?\."", """"))"),"")</f>
        <v/>
      </c>
      <c r="H328" s="172" t="str">
        <f>IFERROR(__xludf.DUMMYFUNCTION("TRIM(REGEXREPLACE(D328, ""[0-9]+[a-f]?\."", """"))"),"")</f>
        <v/>
      </c>
      <c r="I328" s="172" t="str">
        <f>IFERROR(__xludf.DUMMYFUNCTION("TRIM(REGEXREPLACE(E328, ""[0-9]+[a-f]?\."", """"))"),"")</f>
        <v/>
      </c>
      <c r="J328" s="172" t="s">
        <v>2117</v>
      </c>
      <c r="K328" s="172" t="s">
        <v>2118</v>
      </c>
      <c r="L328" s="172" t="s">
        <v>2119</v>
      </c>
      <c r="M328" s="172"/>
    </row>
    <row r="329" hidden="1">
      <c r="A329" s="188" t="s">
        <v>68</v>
      </c>
      <c r="B329" s="266" t="s">
        <v>2120</v>
      </c>
      <c r="C329" s="265"/>
      <c r="D329" s="265"/>
      <c r="E329" s="265"/>
      <c r="F329" s="182">
        <v>157.0</v>
      </c>
      <c r="G329" s="172" t="str">
        <f>IFERROR(__xludf.DUMMYFUNCTION("TRIM(REGEXREPLACE(C329, ""[0-9]+[a-f]?\."", """"))"),"")</f>
        <v/>
      </c>
      <c r="H329" s="172" t="str">
        <f>IFERROR(__xludf.DUMMYFUNCTION("TRIM(REGEXREPLACE(D329, ""[0-9]+[a-f]?\."", """"))"),"")</f>
        <v/>
      </c>
      <c r="I329" s="172" t="str">
        <f>IFERROR(__xludf.DUMMYFUNCTION("TRIM(REGEXREPLACE(E329, ""[0-9]+[a-f]?\."", """"))"),"")</f>
        <v/>
      </c>
      <c r="J329" s="172" t="s">
        <v>2124</v>
      </c>
      <c r="K329" s="172" t="s">
        <v>2125</v>
      </c>
      <c r="L329" s="172" t="s">
        <v>2126</v>
      </c>
    </row>
    <row r="330" hidden="1">
      <c r="A330" s="188" t="s">
        <v>68</v>
      </c>
      <c r="B330" s="266" t="s">
        <v>2127</v>
      </c>
      <c r="C330" s="265"/>
      <c r="D330" s="265"/>
      <c r="E330" s="265"/>
      <c r="F330" s="182">
        <v>158.0</v>
      </c>
      <c r="G330" s="172" t="str">
        <f>IFERROR(__xludf.DUMMYFUNCTION("TRIM(REGEXREPLACE(C330, ""[0-9]+[a-f]?\."", """"))"),"")</f>
        <v/>
      </c>
      <c r="H330" s="172" t="str">
        <f>IFERROR(__xludf.DUMMYFUNCTION("TRIM(REGEXREPLACE(D330, ""[0-9]+[a-f]?\."", """"))"),"")</f>
        <v/>
      </c>
      <c r="I330" s="172" t="str">
        <f>IFERROR(__xludf.DUMMYFUNCTION("TRIM(REGEXREPLACE(E330, ""[0-9]+[a-f]?\."", """"))"),"")</f>
        <v/>
      </c>
      <c r="J330" s="172" t="s">
        <v>2128</v>
      </c>
      <c r="K330" s="172" t="s">
        <v>2129</v>
      </c>
      <c r="L330" s="172" t="s">
        <v>2130</v>
      </c>
      <c r="M330" s="172"/>
    </row>
    <row r="331" hidden="1">
      <c r="B331" s="260"/>
      <c r="C331" s="260"/>
      <c r="D331" s="260"/>
      <c r="E331" s="260"/>
      <c r="F331" s="182">
        <v>168.0</v>
      </c>
      <c r="G331" s="172" t="str">
        <f>IFERROR(__xludf.DUMMYFUNCTION("TRIM(REGEXREPLACE(C331, ""[0-9]+[a-f]?\."", """"))"),"")</f>
        <v/>
      </c>
      <c r="H331" s="172" t="str">
        <f>IFERROR(__xludf.DUMMYFUNCTION("TRIM(REGEXREPLACE(D331, ""[0-9]+[a-f]?\."", """"))"),"")</f>
        <v/>
      </c>
      <c r="I331" s="172" t="str">
        <f>IFERROR(__xludf.DUMMYFUNCTION("TRIM(REGEXREPLACE(E331, ""[0-9]+[a-f]?\."", """"))"),"")</f>
        <v/>
      </c>
      <c r="J331" s="172" t="s">
        <v>2131</v>
      </c>
      <c r="K331" s="172" t="s">
        <v>2132</v>
      </c>
      <c r="L331" s="172" t="s">
        <v>2134</v>
      </c>
      <c r="M331" s="172"/>
    </row>
    <row r="332" hidden="1">
      <c r="B332" s="260"/>
      <c r="C332" s="260"/>
      <c r="D332" s="260"/>
      <c r="E332" s="260"/>
      <c r="F332" s="182">
        <v>169.0</v>
      </c>
      <c r="G332" s="172" t="str">
        <f>IFERROR(__xludf.DUMMYFUNCTION("TRIM(REGEXREPLACE(C332, ""[0-9]+[a-f]?\."", """"))"),"")</f>
        <v/>
      </c>
      <c r="H332" s="172" t="str">
        <f>IFERROR(__xludf.DUMMYFUNCTION("TRIM(REGEXREPLACE(D332, ""[0-9]+[a-f]?\."", """"))"),"")</f>
        <v/>
      </c>
      <c r="I332" s="172" t="str">
        <f>IFERROR(__xludf.DUMMYFUNCTION("TRIM(REGEXREPLACE(E332, ""[0-9]+[a-f]?\."", """"))"),"")</f>
        <v/>
      </c>
      <c r="J332" s="172" t="s">
        <v>2137</v>
      </c>
      <c r="K332" s="172" t="s">
        <v>2138</v>
      </c>
      <c r="L332" s="172" t="s">
        <v>2139</v>
      </c>
    </row>
    <row r="333" hidden="1">
      <c r="B333" s="260"/>
      <c r="C333" s="260"/>
      <c r="D333" s="260"/>
      <c r="E333" s="260"/>
      <c r="F333" s="182">
        <v>170.0</v>
      </c>
      <c r="G333" s="172" t="str">
        <f>IFERROR(__xludf.DUMMYFUNCTION("TRIM(REGEXREPLACE(C333, ""[0-9]+[a-f]?\."", """"))"),"")</f>
        <v/>
      </c>
      <c r="H333" s="172" t="str">
        <f>IFERROR(__xludf.DUMMYFUNCTION("TRIM(REGEXREPLACE(D333, ""[0-9]+[a-f]?\."", """"))"),"")</f>
        <v/>
      </c>
      <c r="I333" s="172" t="str">
        <f>IFERROR(__xludf.DUMMYFUNCTION("TRIM(REGEXREPLACE(E333, ""[0-9]+[a-f]?\."", """"))"),"")</f>
        <v/>
      </c>
      <c r="J333" s="172" t="s">
        <v>2140</v>
      </c>
      <c r="K333" s="172" t="s">
        <v>2141</v>
      </c>
      <c r="L333" s="172" t="s">
        <v>2142</v>
      </c>
      <c r="M333" s="172"/>
    </row>
    <row r="334" hidden="1">
      <c r="B334" s="260"/>
      <c r="C334" s="260"/>
      <c r="D334" s="260"/>
      <c r="E334" s="260"/>
      <c r="F334" s="182">
        <v>171.0</v>
      </c>
      <c r="G334" s="172" t="str">
        <f>IFERROR(__xludf.DUMMYFUNCTION("TRIM(REGEXREPLACE(C334, ""[0-9]+[a-f]?\."", """"))"),"")</f>
        <v/>
      </c>
      <c r="H334" s="172" t="str">
        <f>IFERROR(__xludf.DUMMYFUNCTION("TRIM(REGEXREPLACE(D334, ""[0-9]+[a-f]?\."", """"))"),"")</f>
        <v/>
      </c>
      <c r="I334" s="172" t="str">
        <f>IFERROR(__xludf.DUMMYFUNCTION("TRIM(REGEXREPLACE(E334, ""[0-9]+[a-f]?\."", """"))"),"")</f>
        <v/>
      </c>
      <c r="J334" s="172" t="s">
        <v>2143</v>
      </c>
      <c r="K334" s="172" t="s">
        <v>2144</v>
      </c>
      <c r="L334" s="172" t="s">
        <v>2145</v>
      </c>
      <c r="M334" s="172"/>
    </row>
    <row r="335" hidden="1">
      <c r="B335" s="260"/>
      <c r="C335" s="260"/>
      <c r="D335" s="260"/>
      <c r="E335" s="260"/>
      <c r="F335" s="182">
        <v>172.0</v>
      </c>
      <c r="G335" s="172" t="str">
        <f>IFERROR(__xludf.DUMMYFUNCTION("TRIM(REGEXREPLACE(C335, ""[0-9]+[a-f]?\."", """"))"),"")</f>
        <v/>
      </c>
      <c r="H335" s="172" t="str">
        <f>IFERROR(__xludf.DUMMYFUNCTION("TRIM(REGEXREPLACE(D335, ""[0-9]+[a-f]?\."", """"))"),"")</f>
        <v/>
      </c>
      <c r="I335" s="172" t="str">
        <f>IFERROR(__xludf.DUMMYFUNCTION("TRIM(REGEXREPLACE(E335, ""[0-9]+[a-f]?\."", """"))"),"")</f>
        <v/>
      </c>
      <c r="J335" s="172" t="s">
        <v>2146</v>
      </c>
      <c r="K335" s="172" t="s">
        <v>2147</v>
      </c>
      <c r="L335" s="172" t="s">
        <v>2148</v>
      </c>
      <c r="M335" s="172"/>
    </row>
    <row r="336" hidden="1">
      <c r="B336" s="260"/>
      <c r="C336" s="260"/>
      <c r="D336" s="260"/>
      <c r="E336" s="260"/>
      <c r="F336" s="182">
        <v>173.0</v>
      </c>
      <c r="G336" s="172" t="str">
        <f>IFERROR(__xludf.DUMMYFUNCTION("TRIM(REGEXREPLACE(C336, ""[0-9]+[a-f]?\."", """"))"),"")</f>
        <v/>
      </c>
      <c r="H336" s="172" t="str">
        <f>IFERROR(__xludf.DUMMYFUNCTION("TRIM(REGEXREPLACE(D336, ""[0-9]+[a-f]?\."", """"))"),"")</f>
        <v/>
      </c>
      <c r="I336" s="172" t="str">
        <f>IFERROR(__xludf.DUMMYFUNCTION("TRIM(REGEXREPLACE(E336, ""[0-9]+[a-f]?\."", """"))"),"")</f>
        <v/>
      </c>
      <c r="J336" s="172" t="s">
        <v>2149</v>
      </c>
      <c r="K336" s="172" t="s">
        <v>2150</v>
      </c>
      <c r="L336" s="172" t="s">
        <v>2151</v>
      </c>
      <c r="M336" s="172"/>
    </row>
    <row r="337" hidden="1">
      <c r="B337" s="260"/>
      <c r="C337" s="260"/>
      <c r="D337" s="260"/>
      <c r="E337" s="260"/>
      <c r="F337" s="182">
        <v>170.0</v>
      </c>
      <c r="G337" s="172" t="str">
        <f>IFERROR(__xludf.DUMMYFUNCTION("TRIM(REGEXREPLACE(C337, ""[0-9]+[a-f]?\."", """"))"),"")</f>
        <v/>
      </c>
      <c r="H337" s="172" t="str">
        <f>IFERROR(__xludf.DUMMYFUNCTION("TRIM(REGEXREPLACE(D337, ""[0-9]+[a-f]?\."", """"))"),"")</f>
        <v/>
      </c>
      <c r="I337" s="172" t="str">
        <f>IFERROR(__xludf.DUMMYFUNCTION("TRIM(REGEXREPLACE(E337, ""[0-9]+[a-f]?\."", """"))"),"")</f>
        <v/>
      </c>
      <c r="J337" s="172" t="s">
        <v>2152</v>
      </c>
      <c r="K337" s="172" t="s">
        <v>2153</v>
      </c>
      <c r="L337" s="172" t="s">
        <v>2154</v>
      </c>
      <c r="M337" s="172"/>
    </row>
    <row r="338" hidden="1">
      <c r="B338" s="260"/>
      <c r="C338" s="260"/>
      <c r="D338" s="260"/>
      <c r="E338" s="260"/>
      <c r="F338" s="182">
        <v>171.0</v>
      </c>
      <c r="G338" s="172" t="str">
        <f>IFERROR(__xludf.DUMMYFUNCTION("TRIM(REGEXREPLACE(C338, ""[0-9]+[a-f]?\."", """"))"),"")</f>
        <v/>
      </c>
      <c r="H338" s="172" t="str">
        <f>IFERROR(__xludf.DUMMYFUNCTION("TRIM(REGEXREPLACE(D338, ""[0-9]+[a-f]?\."", """"))"),"")</f>
        <v/>
      </c>
      <c r="I338" s="172" t="str">
        <f>IFERROR(__xludf.DUMMYFUNCTION("TRIM(REGEXREPLACE(E338, ""[0-9]+[a-f]?\."", """"))"),"")</f>
        <v/>
      </c>
      <c r="J338" s="172" t="s">
        <v>2155</v>
      </c>
      <c r="K338" s="172" t="s">
        <v>2156</v>
      </c>
      <c r="L338" s="172" t="s">
        <v>2157</v>
      </c>
      <c r="M338" s="172"/>
    </row>
    <row r="339" hidden="1">
      <c r="A339" s="188" t="s">
        <v>68</v>
      </c>
      <c r="B339" s="266" t="s">
        <v>2158</v>
      </c>
      <c r="C339" s="265"/>
      <c r="D339" s="265"/>
      <c r="E339" s="265"/>
      <c r="F339" s="182">
        <v>159.0</v>
      </c>
      <c r="G339" s="172" t="str">
        <f>IFERROR(__xludf.DUMMYFUNCTION("TRIM(REGEXREPLACE(C339, ""[0-9]+[a-f]?\."", """"))"),"")</f>
        <v/>
      </c>
      <c r="H339" s="172" t="str">
        <f>IFERROR(__xludf.DUMMYFUNCTION("TRIM(REGEXREPLACE(D339, ""[0-9]+[a-f]?\."", """"))"),"")</f>
        <v/>
      </c>
      <c r="I339" s="172" t="str">
        <f>IFERROR(__xludf.DUMMYFUNCTION("TRIM(REGEXREPLACE(E339, ""[0-9]+[a-f]?\."", """"))"),"")</f>
        <v/>
      </c>
      <c r="J339" s="172" t="s">
        <v>2160</v>
      </c>
      <c r="K339" s="172" t="s">
        <v>2161</v>
      </c>
      <c r="L339" s="172" t="s">
        <v>2162</v>
      </c>
    </row>
    <row r="340" hidden="1">
      <c r="A340" s="188" t="s">
        <v>68</v>
      </c>
      <c r="B340" s="266" t="s">
        <v>2163</v>
      </c>
      <c r="C340" s="265"/>
      <c r="D340" s="265"/>
      <c r="E340" s="265"/>
      <c r="F340" s="182">
        <v>160.0</v>
      </c>
      <c r="G340" s="172" t="str">
        <f>IFERROR(__xludf.DUMMYFUNCTION("TRIM(REGEXREPLACE(C340, ""[0-9]+[a-f]?\."", """"))"),"")</f>
        <v/>
      </c>
      <c r="H340" s="172" t="str">
        <f>IFERROR(__xludf.DUMMYFUNCTION("TRIM(REGEXREPLACE(D340, ""[0-9]+[a-f]?\."", """"))"),"")</f>
        <v/>
      </c>
      <c r="I340" s="172" t="str">
        <f>IFERROR(__xludf.DUMMYFUNCTION("TRIM(REGEXREPLACE(E340, ""[0-9]+[a-f]?\."", """"))"),"")</f>
        <v/>
      </c>
      <c r="J340" s="172" t="s">
        <v>2164</v>
      </c>
      <c r="K340" s="172" t="s">
        <v>2165</v>
      </c>
      <c r="L340" s="172" t="s">
        <v>2166</v>
      </c>
    </row>
    <row r="341" hidden="1">
      <c r="A341" s="188" t="s">
        <v>68</v>
      </c>
      <c r="B341" s="266" t="s">
        <v>2167</v>
      </c>
      <c r="C341" s="265"/>
      <c r="D341" s="265"/>
      <c r="E341" s="265"/>
      <c r="F341" s="182">
        <v>161.0</v>
      </c>
      <c r="G341" s="172" t="str">
        <f>IFERROR(__xludf.DUMMYFUNCTION("TRIM(REGEXREPLACE(C341, ""[0-9]+[a-f]?\."", """"))"),"")</f>
        <v/>
      </c>
      <c r="H341" s="172" t="str">
        <f>IFERROR(__xludf.DUMMYFUNCTION("TRIM(REGEXREPLACE(D341, ""[0-9]+[a-f]?\."", """"))"),"")</f>
        <v/>
      </c>
      <c r="I341" s="172" t="str">
        <f>IFERROR(__xludf.DUMMYFUNCTION("TRIM(REGEXREPLACE(E341, ""[0-9]+[a-f]?\."", """"))"),"")</f>
        <v/>
      </c>
      <c r="J341" s="172" t="s">
        <v>2168</v>
      </c>
      <c r="K341" s="172" t="s">
        <v>2169</v>
      </c>
      <c r="L341" s="172" t="s">
        <v>2170</v>
      </c>
    </row>
    <row r="342" hidden="1">
      <c r="A342" s="188" t="s">
        <v>68</v>
      </c>
      <c r="B342" s="266" t="s">
        <v>2171</v>
      </c>
      <c r="C342" s="265"/>
      <c r="D342" s="265"/>
      <c r="E342" s="265"/>
      <c r="F342" s="182">
        <v>162.0</v>
      </c>
      <c r="G342" s="172" t="str">
        <f>IFERROR(__xludf.DUMMYFUNCTION("TRIM(REGEXREPLACE(C342, ""[0-9]+[a-f]?\."", """"))"),"")</f>
        <v/>
      </c>
      <c r="H342" s="172" t="str">
        <f>IFERROR(__xludf.DUMMYFUNCTION("TRIM(REGEXREPLACE(D342, ""[0-9]+[a-f]?\."", """"))"),"")</f>
        <v/>
      </c>
      <c r="I342" s="172" t="str">
        <f>IFERROR(__xludf.DUMMYFUNCTION("TRIM(REGEXREPLACE(E342, ""[0-9]+[a-f]?\."", """"))"),"")</f>
        <v/>
      </c>
      <c r="J342" s="172" t="s">
        <v>2173</v>
      </c>
      <c r="K342" s="172" t="s">
        <v>2174</v>
      </c>
      <c r="L342" s="172" t="s">
        <v>2175</v>
      </c>
      <c r="M342" s="172"/>
    </row>
    <row r="343" hidden="1">
      <c r="A343" s="188" t="s">
        <v>68</v>
      </c>
      <c r="B343" s="266" t="s">
        <v>2176</v>
      </c>
      <c r="C343" s="265"/>
      <c r="D343" s="265"/>
      <c r="E343" s="265"/>
      <c r="F343" s="182">
        <v>163.0</v>
      </c>
      <c r="G343" s="172" t="str">
        <f>IFERROR(__xludf.DUMMYFUNCTION("TRIM(REGEXREPLACE(C343, ""[0-9]+[a-f]?\."", """"))"),"")</f>
        <v/>
      </c>
      <c r="H343" s="172" t="str">
        <f>IFERROR(__xludf.DUMMYFUNCTION("TRIM(REGEXREPLACE(D343, ""[0-9]+[a-f]?\."", """"))"),"")</f>
        <v/>
      </c>
      <c r="I343" s="172" t="str">
        <f>IFERROR(__xludf.DUMMYFUNCTION("TRIM(REGEXREPLACE(E343, ""[0-9]+[a-f]?\."", """"))"),"")</f>
        <v/>
      </c>
      <c r="J343" s="172" t="s">
        <v>2177</v>
      </c>
      <c r="K343" s="172" t="s">
        <v>2179</v>
      </c>
      <c r="L343" s="172" t="s">
        <v>2180</v>
      </c>
      <c r="M343" s="172"/>
    </row>
    <row r="344" hidden="1">
      <c r="A344" s="188" t="s">
        <v>68</v>
      </c>
      <c r="B344" s="266" t="s">
        <v>2181</v>
      </c>
      <c r="C344" s="265"/>
      <c r="D344" s="265"/>
      <c r="E344" s="265"/>
      <c r="F344" s="182">
        <v>164.0</v>
      </c>
      <c r="G344" s="172" t="str">
        <f>IFERROR(__xludf.DUMMYFUNCTION("TRIM(REGEXREPLACE(C344, ""[0-9]+[a-f]?\."", """"))"),"")</f>
        <v/>
      </c>
      <c r="H344" s="172" t="str">
        <f>IFERROR(__xludf.DUMMYFUNCTION("TRIM(REGEXREPLACE(D344, ""[0-9]+[a-f]?\."", """"))"),"")</f>
        <v/>
      </c>
      <c r="I344" s="172" t="str">
        <f>IFERROR(__xludf.DUMMYFUNCTION("TRIM(REGEXREPLACE(E344, ""[0-9]+[a-f]?\."", """"))"),"")</f>
        <v/>
      </c>
      <c r="J344" s="172" t="s">
        <v>2182</v>
      </c>
      <c r="K344" s="172" t="s">
        <v>2183</v>
      </c>
      <c r="L344" s="172" t="s">
        <v>2184</v>
      </c>
      <c r="M344" s="172"/>
    </row>
    <row r="345" hidden="1">
      <c r="A345" s="188" t="s">
        <v>68</v>
      </c>
      <c r="B345" s="266" t="s">
        <v>2185</v>
      </c>
      <c r="C345" s="265"/>
      <c r="D345" s="265"/>
      <c r="E345" s="265"/>
      <c r="F345" s="182">
        <v>165.0</v>
      </c>
      <c r="G345" s="172" t="str">
        <f>IFERROR(__xludf.DUMMYFUNCTION("TRIM(REGEXREPLACE(C345, ""[0-9]+[a-f]?\."", """"))"),"")</f>
        <v/>
      </c>
      <c r="H345" s="172" t="str">
        <f>IFERROR(__xludf.DUMMYFUNCTION("TRIM(REGEXREPLACE(D345, ""[0-9]+[a-f]?\."", """"))"),"")</f>
        <v/>
      </c>
      <c r="I345" s="172" t="str">
        <f>IFERROR(__xludf.DUMMYFUNCTION("TRIM(REGEXREPLACE(E345, ""[0-9]+[a-f]?\."", """"))"),"")</f>
        <v/>
      </c>
      <c r="J345" s="172" t="s">
        <v>2186</v>
      </c>
      <c r="K345" s="172" t="s">
        <v>2187</v>
      </c>
      <c r="L345" s="172" t="s">
        <v>2188</v>
      </c>
      <c r="M345" s="172"/>
    </row>
    <row r="346" hidden="1">
      <c r="B346" s="260"/>
      <c r="C346" s="260"/>
      <c r="D346" s="260"/>
      <c r="E346" s="260"/>
      <c r="F346" s="182">
        <v>179.0</v>
      </c>
      <c r="G346" s="172" t="str">
        <f>IFERROR(__xludf.DUMMYFUNCTION("TRIM(REGEXREPLACE(C346, ""[0-9]+[a-f]?\."", """"))"),"")</f>
        <v/>
      </c>
      <c r="H346" s="172" t="str">
        <f>IFERROR(__xludf.DUMMYFUNCTION("TRIM(REGEXREPLACE(D346, ""[0-9]+[a-f]?\."", """"))"),"")</f>
        <v/>
      </c>
      <c r="I346" s="172" t="str">
        <f>IFERROR(__xludf.DUMMYFUNCTION("TRIM(REGEXREPLACE(E346, ""[0-9]+[a-f]?\."", """"))"),"")</f>
        <v/>
      </c>
      <c r="J346" s="172" t="s">
        <v>2190</v>
      </c>
      <c r="K346" s="172" t="s">
        <v>2191</v>
      </c>
      <c r="L346" s="172" t="s">
        <v>2192</v>
      </c>
      <c r="M346" s="172"/>
    </row>
    <row r="347" hidden="1">
      <c r="B347" s="260"/>
      <c r="C347" s="260"/>
      <c r="D347" s="260"/>
      <c r="E347" s="260"/>
      <c r="F347" s="182">
        <v>180.0</v>
      </c>
      <c r="G347" s="172" t="str">
        <f>IFERROR(__xludf.DUMMYFUNCTION("TRIM(REGEXREPLACE(C347, ""[0-9]+[a-f]?\."", """"))"),"")</f>
        <v/>
      </c>
      <c r="H347" s="172" t="str">
        <f>IFERROR(__xludf.DUMMYFUNCTION("TRIM(REGEXREPLACE(D347, ""[0-9]+[a-f]?\."", """"))"),"")</f>
        <v/>
      </c>
      <c r="I347" s="172" t="str">
        <f>IFERROR(__xludf.DUMMYFUNCTION("TRIM(REGEXREPLACE(E347, ""[0-9]+[a-f]?\."", """"))"),"")</f>
        <v/>
      </c>
      <c r="J347" s="172" t="s">
        <v>2193</v>
      </c>
      <c r="K347" s="172" t="s">
        <v>2194</v>
      </c>
      <c r="L347" s="172" t="s">
        <v>2195</v>
      </c>
      <c r="M347" s="172"/>
    </row>
    <row r="348" hidden="1">
      <c r="A348" s="188" t="s">
        <v>68</v>
      </c>
      <c r="B348" s="266" t="s">
        <v>2196</v>
      </c>
      <c r="C348" s="265"/>
      <c r="D348" s="265"/>
      <c r="E348" s="265"/>
      <c r="F348" s="182">
        <v>166.0</v>
      </c>
      <c r="G348" s="172" t="str">
        <f>IFERROR(__xludf.DUMMYFUNCTION("TRIM(REGEXREPLACE(C348, ""[0-9]+[a-f]?\."", """"))"),"")</f>
        <v/>
      </c>
      <c r="H348" s="172" t="str">
        <f>IFERROR(__xludf.DUMMYFUNCTION("TRIM(REGEXREPLACE(D348, ""[0-9]+[a-f]?\."", """"))"),"")</f>
        <v/>
      </c>
      <c r="I348" s="172" t="str">
        <f>IFERROR(__xludf.DUMMYFUNCTION("TRIM(REGEXREPLACE(E348, ""[0-9]+[a-f]?\."", """"))"),"")</f>
        <v/>
      </c>
      <c r="J348" s="172" t="s">
        <v>2198</v>
      </c>
      <c r="K348" s="172" t="s">
        <v>2199</v>
      </c>
      <c r="L348" s="172" t="s">
        <v>2200</v>
      </c>
      <c r="M348" s="172"/>
    </row>
    <row r="349" hidden="1">
      <c r="B349" s="260"/>
      <c r="C349" s="260"/>
      <c r="D349" s="260"/>
      <c r="E349" s="260"/>
      <c r="F349" s="182">
        <v>182.0</v>
      </c>
      <c r="G349" s="172" t="str">
        <f>IFERROR(__xludf.DUMMYFUNCTION("TRIM(REGEXREPLACE(C349, ""[0-9]+[a-f]?\."", """"))"),"")</f>
        <v/>
      </c>
      <c r="H349" s="172" t="str">
        <f>IFERROR(__xludf.DUMMYFUNCTION("TRIM(REGEXREPLACE(D349, ""[0-9]+[a-f]?\."", """"))"),"")</f>
        <v/>
      </c>
      <c r="I349" s="172" t="str">
        <f>IFERROR(__xludf.DUMMYFUNCTION("TRIM(REGEXREPLACE(E349, ""[0-9]+[a-f]?\."", """"))"),"")</f>
        <v/>
      </c>
      <c r="J349" s="172" t="s">
        <v>2201</v>
      </c>
      <c r="K349" s="172" t="s">
        <v>2202</v>
      </c>
      <c r="L349" s="172" t="s">
        <v>2203</v>
      </c>
    </row>
    <row r="350" hidden="1"/>
    <row r="351" hidden="1"/>
    <row r="352" hidden="1">
      <c r="B352" s="260"/>
      <c r="C352" s="260"/>
      <c r="D352" s="260"/>
      <c r="E352" s="260"/>
      <c r="F352" s="182">
        <v>183.0</v>
      </c>
      <c r="G352" s="172" t="str">
        <f>IFERROR(__xludf.DUMMYFUNCTION("TRIM(REGEXREPLACE(C352, ""[0-9]+[a-f]?\."", """"))"),"")</f>
        <v/>
      </c>
      <c r="H352" s="172" t="str">
        <f>IFERROR(__xludf.DUMMYFUNCTION("TRIM(REGEXREPLACE(D352, ""[0-9]+[a-f]?\."", """"))"),"")</f>
        <v/>
      </c>
      <c r="I352" s="172" t="str">
        <f>IFERROR(__xludf.DUMMYFUNCTION("TRIM(REGEXREPLACE(E352, ""[0-9]+[a-f]?\."", """"))"),"")</f>
        <v/>
      </c>
      <c r="J352" s="172" t="s">
        <v>2204</v>
      </c>
      <c r="K352" s="172" t="s">
        <v>2205</v>
      </c>
      <c r="L352" s="172" t="s">
        <v>2207</v>
      </c>
    </row>
    <row r="353" hidden="1">
      <c r="B353" s="260"/>
      <c r="C353" s="260"/>
      <c r="D353" s="260"/>
      <c r="E353" s="260"/>
      <c r="F353" s="182">
        <v>184.0</v>
      </c>
      <c r="G353" s="172" t="str">
        <f>IFERROR(__xludf.DUMMYFUNCTION("TRIM(REGEXREPLACE(C353, ""[0-9]+[a-f]?\."", """"))"),"")</f>
        <v/>
      </c>
      <c r="H353" s="172" t="str">
        <f>IFERROR(__xludf.DUMMYFUNCTION("TRIM(REGEXREPLACE(D353, ""[0-9]+[a-f]?\."", """"))"),"")</f>
        <v/>
      </c>
      <c r="I353" s="172" t="str">
        <f>IFERROR(__xludf.DUMMYFUNCTION("TRIM(REGEXREPLACE(E353, ""[0-9]+[a-f]?\."", """"))"),"")</f>
        <v/>
      </c>
      <c r="J353" s="172" t="s">
        <v>2208</v>
      </c>
      <c r="K353" s="172" t="s">
        <v>2209</v>
      </c>
      <c r="L353" s="172" t="s">
        <v>2210</v>
      </c>
      <c r="M353" s="172"/>
    </row>
    <row r="354" hidden="1">
      <c r="B354" s="260"/>
      <c r="C354" s="260"/>
      <c r="D354" s="260"/>
      <c r="E354" s="260"/>
      <c r="F354" s="182">
        <v>185.0</v>
      </c>
      <c r="G354" s="172" t="str">
        <f>IFERROR(__xludf.DUMMYFUNCTION("TRIM(REGEXREPLACE(C354, ""[0-9]+[a-f]?\."", """"))"),"")</f>
        <v/>
      </c>
      <c r="H354" s="172" t="str">
        <f>IFERROR(__xludf.DUMMYFUNCTION("TRIM(REGEXREPLACE(D354, ""[0-9]+[a-f]?\."", """"))"),"")</f>
        <v/>
      </c>
      <c r="I354" s="172" t="str">
        <f>IFERROR(__xludf.DUMMYFUNCTION("TRIM(REGEXREPLACE(E354, ""[0-9]+[a-f]?\."", """"))"),"")</f>
        <v/>
      </c>
      <c r="J354" s="172" t="s">
        <v>2211</v>
      </c>
      <c r="K354" s="172" t="s">
        <v>2212</v>
      </c>
      <c r="L354" s="172" t="s">
        <v>2213</v>
      </c>
      <c r="M354" s="172"/>
    </row>
    <row r="355" hidden="1">
      <c r="B355" s="260"/>
      <c r="C355" s="260"/>
      <c r="D355" s="260"/>
      <c r="E355" s="260"/>
      <c r="F355" s="182">
        <v>186.0</v>
      </c>
      <c r="G355" s="172" t="str">
        <f>IFERROR(__xludf.DUMMYFUNCTION("TRIM(REGEXREPLACE(C355, ""[0-9]+[a-f]?\."", """"))"),"")</f>
        <v/>
      </c>
      <c r="H355" s="172" t="str">
        <f>IFERROR(__xludf.DUMMYFUNCTION("TRIM(REGEXREPLACE(D355, ""[0-9]+[a-f]?\."", """"))"),"")</f>
        <v/>
      </c>
      <c r="I355" s="172" t="str">
        <f>IFERROR(__xludf.DUMMYFUNCTION("TRIM(REGEXREPLACE(E355, ""[0-9]+[a-f]?\."", """"))"),"")</f>
        <v/>
      </c>
      <c r="J355" s="172" t="s">
        <v>2215</v>
      </c>
      <c r="K355" s="172" t="s">
        <v>2216</v>
      </c>
      <c r="L355" s="172" t="s">
        <v>2217</v>
      </c>
    </row>
    <row r="356" hidden="1">
      <c r="A356" s="188" t="s">
        <v>68</v>
      </c>
      <c r="B356" s="266" t="s">
        <v>2218</v>
      </c>
      <c r="C356" s="265"/>
      <c r="D356" s="265"/>
      <c r="E356" s="265"/>
      <c r="F356" s="182">
        <v>167.0</v>
      </c>
      <c r="G356" s="172" t="str">
        <f>IFERROR(__xludf.DUMMYFUNCTION("TRIM(REGEXREPLACE(C356, ""[0-9]+[a-f]?\."", """"))"),"")</f>
        <v/>
      </c>
      <c r="H356" s="172" t="str">
        <f>IFERROR(__xludf.DUMMYFUNCTION("TRIM(REGEXREPLACE(D356, ""[0-9]+[a-f]?\."", """"))"),"")</f>
        <v/>
      </c>
      <c r="I356" s="172" t="str">
        <f>IFERROR(__xludf.DUMMYFUNCTION("TRIM(REGEXREPLACE(E356, ""[0-9]+[a-f]?\."", """"))"),"")</f>
        <v/>
      </c>
      <c r="J356" s="172" t="s">
        <v>2219</v>
      </c>
      <c r="K356" s="172" t="s">
        <v>2220</v>
      </c>
      <c r="L356" s="172" t="s">
        <v>2221</v>
      </c>
    </row>
    <row r="357" hidden="1">
      <c r="A357" s="188" t="s">
        <v>68</v>
      </c>
      <c r="B357" s="266" t="s">
        <v>2222</v>
      </c>
      <c r="C357" s="265"/>
      <c r="D357" s="265"/>
      <c r="E357" s="265"/>
      <c r="F357" s="182">
        <v>168.0</v>
      </c>
      <c r="G357" s="172" t="str">
        <f>IFERROR(__xludf.DUMMYFUNCTION("TRIM(REGEXREPLACE(C357, ""[0-9]+[a-f]?\."", """"))"),"")</f>
        <v/>
      </c>
      <c r="H357" s="172" t="str">
        <f>IFERROR(__xludf.DUMMYFUNCTION("TRIM(REGEXREPLACE(D357, ""[0-9]+[a-f]?\."", """"))"),"")</f>
        <v/>
      </c>
      <c r="I357" s="172" t="str">
        <f>IFERROR(__xludf.DUMMYFUNCTION("TRIM(REGEXREPLACE(E357, ""[0-9]+[a-f]?\."", """"))"),"")</f>
        <v/>
      </c>
      <c r="J357" s="172" t="s">
        <v>2223</v>
      </c>
      <c r="K357" s="172" t="s">
        <v>2224</v>
      </c>
      <c r="L357" s="172" t="s">
        <v>2225</v>
      </c>
      <c r="M357" s="172"/>
    </row>
    <row r="358" hidden="1">
      <c r="A358" s="188" t="s">
        <v>68</v>
      </c>
      <c r="B358" s="266" t="s">
        <v>2226</v>
      </c>
      <c r="C358" s="265"/>
      <c r="D358" s="265"/>
      <c r="E358" s="265"/>
      <c r="F358" s="182">
        <v>169.0</v>
      </c>
      <c r="G358" s="172" t="str">
        <f>IFERROR(__xludf.DUMMYFUNCTION("TRIM(REGEXREPLACE(C358, ""[0-9]+[a-f]?\."", """"))"),"")</f>
        <v/>
      </c>
      <c r="H358" s="172" t="str">
        <f>IFERROR(__xludf.DUMMYFUNCTION("TRIM(REGEXREPLACE(D358, ""[0-9]+[a-f]?\."", """"))"),"")</f>
        <v/>
      </c>
      <c r="I358" s="172" t="str">
        <f>IFERROR(__xludf.DUMMYFUNCTION("TRIM(REGEXREPLACE(E358, ""[0-9]+[a-f]?\."", """"))"),"")</f>
        <v/>
      </c>
      <c r="J358" s="172" t="s">
        <v>2227</v>
      </c>
      <c r="K358" s="172" t="s">
        <v>2228</v>
      </c>
      <c r="L358" s="172" t="s">
        <v>2229</v>
      </c>
      <c r="M358" s="172"/>
    </row>
    <row r="359" hidden="1">
      <c r="A359" s="188" t="s">
        <v>68</v>
      </c>
      <c r="B359" s="266" t="s">
        <v>2230</v>
      </c>
      <c r="C359" s="265"/>
      <c r="D359" s="265"/>
      <c r="E359" s="265"/>
      <c r="F359" s="182">
        <v>170.0</v>
      </c>
      <c r="G359" s="172" t="str">
        <f>IFERROR(__xludf.DUMMYFUNCTION("TRIM(REGEXREPLACE(C359, ""[0-9]+[a-f]?\."", """"))"),"")</f>
        <v/>
      </c>
      <c r="H359" s="172" t="str">
        <f>IFERROR(__xludf.DUMMYFUNCTION("TRIM(REGEXREPLACE(D359, ""[0-9]+[a-f]?\."", """"))"),"")</f>
        <v/>
      </c>
      <c r="I359" s="172" t="str">
        <f>IFERROR(__xludf.DUMMYFUNCTION("TRIM(REGEXREPLACE(E359, ""[0-9]+[a-f]?\."", """"))"),"")</f>
        <v/>
      </c>
      <c r="J359" s="172" t="s">
        <v>2232</v>
      </c>
      <c r="K359" s="172" t="s">
        <v>2233</v>
      </c>
      <c r="L359" s="172" t="s">
        <v>2234</v>
      </c>
      <c r="M359" s="172"/>
    </row>
    <row r="360" hidden="1">
      <c r="A360" s="188" t="s">
        <v>68</v>
      </c>
      <c r="B360" s="266" t="s">
        <v>2235</v>
      </c>
      <c r="C360" s="265"/>
      <c r="D360" s="265"/>
      <c r="E360" s="265"/>
      <c r="F360" s="182">
        <v>171.0</v>
      </c>
      <c r="G360" s="172" t="str">
        <f>IFERROR(__xludf.DUMMYFUNCTION("TRIM(REGEXREPLACE(C360, ""[0-9]+[a-f]?\."", """"))"),"")</f>
        <v/>
      </c>
      <c r="H360" s="172" t="str">
        <f>IFERROR(__xludf.DUMMYFUNCTION("TRIM(REGEXREPLACE(D360, ""[0-9]+[a-f]?\."", """"))"),"")</f>
        <v/>
      </c>
      <c r="I360" s="172" t="str">
        <f>IFERROR(__xludf.DUMMYFUNCTION("TRIM(REGEXREPLACE(E360, ""[0-9]+[a-f]?\."", """"))"),"")</f>
        <v/>
      </c>
      <c r="J360" s="172" t="s">
        <v>2236</v>
      </c>
      <c r="K360" s="172" t="s">
        <v>2237</v>
      </c>
      <c r="L360" s="172" t="s">
        <v>2238</v>
      </c>
      <c r="M360" s="172"/>
    </row>
    <row r="361" hidden="1">
      <c r="A361" s="188" t="s">
        <v>68</v>
      </c>
      <c r="B361" s="266" t="s">
        <v>2239</v>
      </c>
      <c r="C361" s="265"/>
      <c r="D361" s="265"/>
      <c r="E361" s="265"/>
      <c r="F361" s="182">
        <v>172.0</v>
      </c>
      <c r="G361" s="172" t="str">
        <f>IFERROR(__xludf.DUMMYFUNCTION("TRIM(REGEXREPLACE(C361, ""[0-9]+[a-f]?\."", """"))"),"")</f>
        <v/>
      </c>
      <c r="H361" s="172" t="str">
        <f>IFERROR(__xludf.DUMMYFUNCTION("TRIM(REGEXREPLACE(D361, ""[0-9]+[a-f]?\."", """"))"),"")</f>
        <v/>
      </c>
      <c r="I361" s="172" t="str">
        <f>IFERROR(__xludf.DUMMYFUNCTION("TRIM(REGEXREPLACE(E361, ""[0-9]+[a-f]?\."", """"))"),"")</f>
        <v/>
      </c>
      <c r="J361" s="172" t="s">
        <v>2240</v>
      </c>
      <c r="K361" s="172" t="s">
        <v>2241</v>
      </c>
      <c r="L361" s="172" t="s">
        <v>2242</v>
      </c>
      <c r="M361" s="172"/>
    </row>
    <row r="362" hidden="1">
      <c r="A362" s="188" t="s">
        <v>68</v>
      </c>
      <c r="B362" s="266" t="s">
        <v>2243</v>
      </c>
      <c r="C362" s="265"/>
      <c r="D362" s="265"/>
      <c r="E362" s="265"/>
      <c r="F362" s="182">
        <v>173.0</v>
      </c>
      <c r="G362" s="172" t="str">
        <f>IFERROR(__xludf.DUMMYFUNCTION("TRIM(REGEXREPLACE(C362, ""[0-9]+[a-f]?\."", """"))"),"")</f>
        <v/>
      </c>
      <c r="H362" s="172" t="str">
        <f>IFERROR(__xludf.DUMMYFUNCTION("TRIM(REGEXREPLACE(D362, ""[0-9]+[a-f]?\."", """"))"),"")</f>
        <v/>
      </c>
      <c r="I362" s="172" t="str">
        <f>IFERROR(__xludf.DUMMYFUNCTION("TRIM(REGEXREPLACE(E362, ""[0-9]+[a-f]?\."", """"))"),"")</f>
        <v/>
      </c>
      <c r="J362" s="172" t="s">
        <v>2245</v>
      </c>
      <c r="K362" s="172" t="s">
        <v>2246</v>
      </c>
      <c r="L362" s="172" t="s">
        <v>2247</v>
      </c>
      <c r="M362" s="172"/>
    </row>
    <row r="363" hidden="1">
      <c r="A363" s="188" t="s">
        <v>68</v>
      </c>
      <c r="B363" s="266" t="s">
        <v>2248</v>
      </c>
      <c r="C363" s="265"/>
      <c r="D363" s="265"/>
      <c r="E363" s="265"/>
      <c r="F363" s="182">
        <v>174.0</v>
      </c>
      <c r="G363" s="172" t="str">
        <f>IFERROR(__xludf.DUMMYFUNCTION("TRIM(REGEXREPLACE(C363, ""[0-9]+[a-f]?\."", """"))"),"")</f>
        <v/>
      </c>
      <c r="H363" s="172" t="str">
        <f>IFERROR(__xludf.DUMMYFUNCTION("TRIM(REGEXREPLACE(D363, ""[0-9]+[a-f]?\."", """"))"),"")</f>
        <v/>
      </c>
      <c r="I363" s="172" t="str">
        <f>IFERROR(__xludf.DUMMYFUNCTION("TRIM(REGEXREPLACE(E363, ""[0-9]+[a-f]?\."", """"))"),"")</f>
        <v/>
      </c>
      <c r="J363" s="172" t="s">
        <v>2249</v>
      </c>
      <c r="K363" s="172" t="s">
        <v>2250</v>
      </c>
      <c r="L363" s="172" t="s">
        <v>2251</v>
      </c>
      <c r="M363" s="172"/>
    </row>
    <row r="364" hidden="1"/>
    <row r="365" hidden="1">
      <c r="B365" s="260"/>
      <c r="C365" s="260"/>
      <c r="D365" s="260"/>
      <c r="E365" s="260"/>
      <c r="F365" s="182">
        <v>193.0</v>
      </c>
      <c r="G365" s="172" t="str">
        <f>IFERROR(__xludf.DUMMYFUNCTION("TRIM(REGEXREPLACE(C365, ""[0-9]+[a-f]?\."", """"))"),"")</f>
        <v/>
      </c>
      <c r="H365" s="172" t="str">
        <f>IFERROR(__xludf.DUMMYFUNCTION("TRIM(REGEXREPLACE(D365, ""[0-9]+[a-f]?\."", """"))"),"")</f>
        <v/>
      </c>
      <c r="I365" s="172" t="str">
        <f>IFERROR(__xludf.DUMMYFUNCTION("TRIM(REGEXREPLACE(E365, ""[0-9]+[a-f]?\."", """"))"),"")</f>
        <v/>
      </c>
      <c r="J365" s="172" t="s">
        <v>2252</v>
      </c>
      <c r="K365" s="172" t="s">
        <v>2254</v>
      </c>
      <c r="L365" s="172" t="s">
        <v>2255</v>
      </c>
    </row>
    <row r="366" hidden="1">
      <c r="B366" s="260"/>
      <c r="C366" s="260"/>
      <c r="D366" s="260"/>
      <c r="E366" s="260"/>
      <c r="F366" s="182">
        <v>194.0</v>
      </c>
      <c r="G366" s="172" t="str">
        <f>IFERROR(__xludf.DUMMYFUNCTION("TRIM(REGEXREPLACE(C366, ""[0-9]+[a-f]?\."", """"))"),"")</f>
        <v/>
      </c>
      <c r="H366" s="172" t="str">
        <f>IFERROR(__xludf.DUMMYFUNCTION("TRIM(REGEXREPLACE(D366, ""[0-9]+[a-f]?\."", """"))"),"")</f>
        <v/>
      </c>
      <c r="I366" s="172" t="str">
        <f>IFERROR(__xludf.DUMMYFUNCTION("TRIM(REGEXREPLACE(E366, ""[0-9]+[a-f]?\."", """"))"),"")</f>
        <v/>
      </c>
      <c r="J366" s="172" t="s">
        <v>2256</v>
      </c>
      <c r="K366" s="172" t="s">
        <v>2257</v>
      </c>
      <c r="L366" s="172" t="s">
        <v>2258</v>
      </c>
      <c r="M366" s="172"/>
    </row>
    <row r="367" hidden="1">
      <c r="B367" s="260"/>
      <c r="C367" s="260"/>
      <c r="D367" s="260"/>
      <c r="E367" s="260"/>
      <c r="F367" s="182">
        <v>195.0</v>
      </c>
      <c r="G367" s="172" t="str">
        <f>IFERROR(__xludf.DUMMYFUNCTION("TRIM(REGEXREPLACE(C367, ""[0-9]+[a-f]?\."", """"))"),"")</f>
        <v/>
      </c>
      <c r="H367" s="172" t="str">
        <f>IFERROR(__xludf.DUMMYFUNCTION("TRIM(REGEXREPLACE(D367, ""[0-9]+[a-f]?\."", """"))"),"")</f>
        <v/>
      </c>
      <c r="I367" s="172" t="str">
        <f>IFERROR(__xludf.DUMMYFUNCTION("TRIM(REGEXREPLACE(E367, ""[0-9]+[a-f]?\."", """"))"),"")</f>
        <v/>
      </c>
      <c r="J367" s="172" t="s">
        <v>2259</v>
      </c>
      <c r="K367" s="172" t="s">
        <v>2260</v>
      </c>
      <c r="L367" s="172" t="s">
        <v>2261</v>
      </c>
      <c r="M367" s="172"/>
    </row>
    <row r="368" hidden="1">
      <c r="B368" s="260"/>
      <c r="C368" s="260"/>
      <c r="D368" s="260"/>
      <c r="E368" s="260"/>
      <c r="F368" s="182">
        <v>196.0</v>
      </c>
      <c r="G368" s="172" t="str">
        <f>IFERROR(__xludf.DUMMYFUNCTION("TRIM(REGEXREPLACE(C368, ""[0-9]+[a-f]?\."", """"))"),"")</f>
        <v/>
      </c>
      <c r="H368" s="172" t="str">
        <f>IFERROR(__xludf.DUMMYFUNCTION("TRIM(REGEXREPLACE(D368, ""[0-9]+[a-f]?\."", """"))"),"")</f>
        <v/>
      </c>
      <c r="I368" s="172" t="str">
        <f>IFERROR(__xludf.DUMMYFUNCTION("TRIM(REGEXREPLACE(E368, ""[0-9]+[a-f]?\."", """"))"),"")</f>
        <v/>
      </c>
      <c r="J368" s="172" t="s">
        <v>2262</v>
      </c>
      <c r="K368" s="172" t="s">
        <v>2263</v>
      </c>
      <c r="L368" s="172" t="s">
        <v>2264</v>
      </c>
      <c r="M368" s="172"/>
    </row>
    <row r="369" hidden="1">
      <c r="B369" s="260"/>
      <c r="C369" s="260"/>
      <c r="D369" s="260"/>
      <c r="E369" s="260"/>
      <c r="F369" s="182">
        <v>197.0</v>
      </c>
      <c r="G369" s="172" t="str">
        <f>IFERROR(__xludf.DUMMYFUNCTION("TRIM(REGEXREPLACE(C369, ""[0-9]+[a-f]?\."", """"))"),"")</f>
        <v/>
      </c>
      <c r="H369" s="172" t="str">
        <f>IFERROR(__xludf.DUMMYFUNCTION("TRIM(REGEXREPLACE(D369, ""[0-9]+[a-f]?\."", """"))"),"")</f>
        <v/>
      </c>
      <c r="I369" s="172" t="str">
        <f>IFERROR(__xludf.DUMMYFUNCTION("TRIM(REGEXREPLACE(E369, ""[0-9]+[a-f]?\."", """"))"),"")</f>
        <v/>
      </c>
      <c r="J369" s="172" t="s">
        <v>2266</v>
      </c>
      <c r="K369" s="172" t="s">
        <v>2267</v>
      </c>
      <c r="L369" s="172" t="s">
        <v>2268</v>
      </c>
      <c r="M369" s="172"/>
    </row>
    <row r="370" hidden="1">
      <c r="A370" s="188" t="s">
        <v>68</v>
      </c>
      <c r="B370" s="266" t="s">
        <v>2269</v>
      </c>
      <c r="C370" s="265"/>
      <c r="D370" s="265"/>
      <c r="E370" s="265"/>
      <c r="F370" s="182">
        <v>175.0</v>
      </c>
      <c r="G370" s="172" t="str">
        <f>IFERROR(__xludf.DUMMYFUNCTION("TRIM(REGEXREPLACE(C370, ""[0-9]+[a-f]?\."", """"))"),"")</f>
        <v/>
      </c>
      <c r="H370" s="172" t="str">
        <f>IFERROR(__xludf.DUMMYFUNCTION("TRIM(REGEXREPLACE(D370, ""[0-9]+[a-f]?\."", """"))"),"")</f>
        <v/>
      </c>
      <c r="I370" s="172" t="str">
        <f>IFERROR(__xludf.DUMMYFUNCTION("TRIM(REGEXREPLACE(E370, ""[0-9]+[a-f]?\."", """"))"),"")</f>
        <v/>
      </c>
      <c r="J370" s="172" t="s">
        <v>2270</v>
      </c>
      <c r="K370" s="172" t="s">
        <v>2271</v>
      </c>
      <c r="L370" s="172" t="s">
        <v>2272</v>
      </c>
      <c r="M370" s="172"/>
    </row>
    <row r="371" hidden="1">
      <c r="A371" s="188" t="s">
        <v>68</v>
      </c>
      <c r="B371" s="266" t="s">
        <v>2273</v>
      </c>
      <c r="C371" s="265"/>
      <c r="D371" s="265"/>
      <c r="E371" s="265"/>
      <c r="F371" s="182">
        <v>176.0</v>
      </c>
      <c r="G371" s="172" t="str">
        <f>IFERROR(__xludf.DUMMYFUNCTION("TRIM(REGEXREPLACE(C371, ""[0-9]+[a-f]?\."", """"))"),"")</f>
        <v/>
      </c>
      <c r="H371" s="172" t="str">
        <f>IFERROR(__xludf.DUMMYFUNCTION("TRIM(REGEXREPLACE(D371, ""[0-9]+[a-f]?\."", """"))"),"")</f>
        <v/>
      </c>
      <c r="I371" s="172" t="str">
        <f>IFERROR(__xludf.DUMMYFUNCTION("TRIM(REGEXREPLACE(E371, ""[0-9]+[a-f]?\."", """"))"),"")</f>
        <v/>
      </c>
      <c r="J371" s="172" t="s">
        <v>2274</v>
      </c>
      <c r="K371" s="172" t="s">
        <v>2275</v>
      </c>
      <c r="L371" s="172" t="s">
        <v>2276</v>
      </c>
      <c r="M371" s="172"/>
    </row>
    <row r="372" hidden="1">
      <c r="A372" s="188" t="s">
        <v>68</v>
      </c>
      <c r="B372" s="266" t="s">
        <v>2278</v>
      </c>
      <c r="C372" s="265"/>
      <c r="D372" s="265"/>
      <c r="E372" s="265"/>
      <c r="F372" s="182">
        <v>177.0</v>
      </c>
      <c r="G372" s="172" t="str">
        <f>IFERROR(__xludf.DUMMYFUNCTION("TRIM(REGEXREPLACE(C372, ""[0-9]+[a-f]?\."", """"))"),"")</f>
        <v/>
      </c>
      <c r="H372" s="172" t="str">
        <f>IFERROR(__xludf.DUMMYFUNCTION("TRIM(REGEXREPLACE(D372, ""[0-9]+[a-f]?\."", """"))"),"")</f>
        <v/>
      </c>
      <c r="I372" s="172" t="str">
        <f>IFERROR(__xludf.DUMMYFUNCTION("TRIM(REGEXREPLACE(E372, ""[0-9]+[a-f]?\."", """"))"),"")</f>
        <v/>
      </c>
      <c r="J372" s="172" t="s">
        <v>2279</v>
      </c>
      <c r="K372" s="172" t="s">
        <v>2280</v>
      </c>
      <c r="L372" s="172" t="s">
        <v>2281</v>
      </c>
      <c r="M372" s="172"/>
    </row>
    <row r="373" hidden="1"/>
    <row r="374" hidden="1">
      <c r="A374" s="188" t="s">
        <v>68</v>
      </c>
      <c r="B374" s="266" t="s">
        <v>2282</v>
      </c>
      <c r="C374" s="265"/>
      <c r="D374" s="265"/>
      <c r="E374" s="265"/>
      <c r="F374" s="182">
        <v>178.0</v>
      </c>
      <c r="G374" s="172" t="str">
        <f>IFERROR(__xludf.DUMMYFUNCTION("TRIM(REGEXREPLACE(C374, ""[0-9]+[a-f]?\."", """"))"),"")</f>
        <v/>
      </c>
      <c r="H374" s="172" t="str">
        <f>IFERROR(__xludf.DUMMYFUNCTION("TRIM(REGEXREPLACE(D374, ""[0-9]+[a-f]?\."", """"))"),"")</f>
        <v/>
      </c>
      <c r="I374" s="172" t="str">
        <f>IFERROR(__xludf.DUMMYFUNCTION("TRIM(REGEXREPLACE(E374, ""[0-9]+[a-f]?\."", """"))"),"")</f>
        <v/>
      </c>
      <c r="J374" s="172" t="s">
        <v>2284</v>
      </c>
      <c r="K374" s="172" t="s">
        <v>2285</v>
      </c>
      <c r="L374" s="172" t="s">
        <v>2286</v>
      </c>
    </row>
    <row r="375" hidden="1">
      <c r="A375" s="188" t="s">
        <v>68</v>
      </c>
      <c r="B375" s="266" t="s">
        <v>2287</v>
      </c>
      <c r="C375" s="265"/>
      <c r="D375" s="265"/>
      <c r="E375" s="265"/>
      <c r="F375" s="182">
        <v>179.0</v>
      </c>
      <c r="G375" s="172" t="str">
        <f>IFERROR(__xludf.DUMMYFUNCTION("TRIM(REGEXREPLACE(C375, ""[0-9]+[a-f]?\."", """"))"),"")</f>
        <v/>
      </c>
      <c r="H375" s="172" t="str">
        <f>IFERROR(__xludf.DUMMYFUNCTION("TRIM(REGEXREPLACE(D375, ""[0-9]+[a-f]?\."", """"))"),"")</f>
        <v/>
      </c>
      <c r="I375" s="172" t="str">
        <f>IFERROR(__xludf.DUMMYFUNCTION("TRIM(REGEXREPLACE(E375, ""[0-9]+[a-f]?\."", """"))"),"")</f>
        <v/>
      </c>
      <c r="J375" s="172" t="s">
        <v>2288</v>
      </c>
      <c r="K375" s="172" t="s">
        <v>2289</v>
      </c>
      <c r="L375" s="172" t="s">
        <v>2290</v>
      </c>
    </row>
    <row r="376" hidden="1">
      <c r="A376" s="188" t="s">
        <v>68</v>
      </c>
      <c r="B376" s="266" t="s">
        <v>2291</v>
      </c>
      <c r="C376" s="265"/>
      <c r="D376" s="265"/>
      <c r="E376" s="265"/>
      <c r="F376" s="182">
        <v>180.0</v>
      </c>
      <c r="G376" s="172" t="str">
        <f>IFERROR(__xludf.DUMMYFUNCTION("TRIM(REGEXREPLACE(C376, ""[0-9]+[a-f]?\."", """"))"),"")</f>
        <v/>
      </c>
      <c r="H376" s="172" t="str">
        <f>IFERROR(__xludf.DUMMYFUNCTION("TRIM(REGEXREPLACE(D376, ""[0-9]+[a-f]?\."", """"))"),"")</f>
        <v/>
      </c>
      <c r="I376" s="172" t="str">
        <f>IFERROR(__xludf.DUMMYFUNCTION("TRIM(REGEXREPLACE(E376, ""[0-9]+[a-f]?\."", """"))"),"")</f>
        <v/>
      </c>
      <c r="J376" s="172" t="s">
        <v>2292</v>
      </c>
      <c r="K376" s="172" t="s">
        <v>2293</v>
      </c>
      <c r="L376" s="172" t="s">
        <v>2294</v>
      </c>
      <c r="M376" s="172"/>
    </row>
    <row r="377" hidden="1">
      <c r="A377" s="188" t="s">
        <v>68</v>
      </c>
      <c r="B377" s="266" t="s">
        <v>2296</v>
      </c>
      <c r="C377" s="265"/>
      <c r="D377" s="265"/>
      <c r="E377" s="265"/>
      <c r="F377" s="182">
        <v>181.0</v>
      </c>
      <c r="G377" s="172" t="str">
        <f>IFERROR(__xludf.DUMMYFUNCTION("TRIM(REGEXREPLACE(C377, ""[0-9]+[a-f]?\."", """"))"),"")</f>
        <v/>
      </c>
      <c r="H377" s="172" t="str">
        <f>IFERROR(__xludf.DUMMYFUNCTION("TRIM(REGEXREPLACE(D377, ""[0-9]+[a-f]?\."", """"))"),"")</f>
        <v/>
      </c>
      <c r="I377" s="172" t="str">
        <f>IFERROR(__xludf.DUMMYFUNCTION("TRIM(REGEXREPLACE(E377, ""[0-9]+[a-f]?\."", """"))"),"")</f>
        <v/>
      </c>
      <c r="J377" s="172" t="s">
        <v>2297</v>
      </c>
      <c r="K377" s="172" t="s">
        <v>2298</v>
      </c>
      <c r="L377" s="172" t="s">
        <v>2299</v>
      </c>
      <c r="M377" s="172"/>
    </row>
    <row r="378" hidden="1">
      <c r="A378" s="188" t="s">
        <v>68</v>
      </c>
      <c r="B378" s="266" t="s">
        <v>2300</v>
      </c>
      <c r="C378" s="265"/>
      <c r="D378" s="265"/>
      <c r="E378" s="265"/>
      <c r="F378" s="182">
        <v>182.0</v>
      </c>
      <c r="G378" s="172" t="str">
        <f>IFERROR(__xludf.DUMMYFUNCTION("TRIM(REGEXREPLACE(C378, ""[0-9]+[a-f]?\."", """"))"),"")</f>
        <v/>
      </c>
      <c r="H378" s="172" t="str">
        <f>IFERROR(__xludf.DUMMYFUNCTION("TRIM(REGEXREPLACE(D378, ""[0-9]+[a-f]?\."", """"))"),"")</f>
        <v/>
      </c>
      <c r="I378" s="172" t="str">
        <f>IFERROR(__xludf.DUMMYFUNCTION("TRIM(REGEXREPLACE(E378, ""[0-9]+[a-f]?\."", """"))"),"")</f>
        <v/>
      </c>
      <c r="J378" s="172" t="s">
        <v>2301</v>
      </c>
      <c r="K378" s="172" t="s">
        <v>2302</v>
      </c>
      <c r="L378" s="172" t="s">
        <v>2303</v>
      </c>
      <c r="M378" s="172"/>
    </row>
    <row r="379" hidden="1">
      <c r="A379" s="188" t="s">
        <v>68</v>
      </c>
      <c r="B379" s="266" t="s">
        <v>2304</v>
      </c>
      <c r="C379" s="265"/>
      <c r="D379" s="265"/>
      <c r="E379" s="265"/>
      <c r="F379" s="182">
        <v>183.0</v>
      </c>
      <c r="G379" s="172" t="str">
        <f>IFERROR(__xludf.DUMMYFUNCTION("TRIM(REGEXREPLACE(C379, ""[0-9]+[a-f]?\."", """"))"),"")</f>
        <v/>
      </c>
      <c r="H379" s="172" t="str">
        <f>IFERROR(__xludf.DUMMYFUNCTION("TRIM(REGEXREPLACE(D379, ""[0-9]+[a-f]?\."", """"))"),"")</f>
        <v/>
      </c>
      <c r="I379" s="172" t="str">
        <f>IFERROR(__xludf.DUMMYFUNCTION("TRIM(REGEXREPLACE(E379, ""[0-9]+[a-f]?\."", """"))"),"")</f>
        <v/>
      </c>
      <c r="J379" s="172" t="s">
        <v>2305</v>
      </c>
      <c r="K379" s="172" t="s">
        <v>2306</v>
      </c>
      <c r="L379" s="172" t="s">
        <v>2307</v>
      </c>
      <c r="M379" s="172"/>
    </row>
    <row r="380" hidden="1">
      <c r="B380" s="260"/>
      <c r="C380" s="260"/>
      <c r="D380" s="260"/>
      <c r="E380" s="260"/>
      <c r="F380" s="182">
        <v>201.0</v>
      </c>
      <c r="G380" s="172" t="str">
        <f>IFERROR(__xludf.DUMMYFUNCTION("TRIM(REGEXREPLACE(C380, ""[0-9]+[a-f]?\."", """"))"),"")</f>
        <v/>
      </c>
      <c r="H380" s="172" t="str">
        <f>IFERROR(__xludf.DUMMYFUNCTION("TRIM(REGEXREPLACE(D380, ""[0-9]+[a-f]?\."", """"))"),"")</f>
        <v/>
      </c>
      <c r="I380" s="172" t="str">
        <f>IFERROR(__xludf.DUMMYFUNCTION("TRIM(REGEXREPLACE(E380, ""[0-9]+[a-f]?\."", """"))"),"")</f>
        <v/>
      </c>
      <c r="J380" s="172" t="s">
        <v>2309</v>
      </c>
      <c r="K380" s="172" t="s">
        <v>2310</v>
      </c>
      <c r="L380" s="172" t="s">
        <v>2311</v>
      </c>
      <c r="M380" s="172"/>
    </row>
    <row r="381" hidden="1">
      <c r="B381" s="260"/>
      <c r="C381" s="260"/>
      <c r="D381" s="260"/>
      <c r="E381" s="260"/>
      <c r="F381" s="182">
        <v>202.0</v>
      </c>
      <c r="G381" s="172" t="str">
        <f>IFERROR(__xludf.DUMMYFUNCTION("TRIM(REGEXREPLACE(C381, ""[0-9]+[a-f]?\."", """"))"),"")</f>
        <v/>
      </c>
      <c r="H381" s="172" t="str">
        <f>IFERROR(__xludf.DUMMYFUNCTION("TRIM(REGEXREPLACE(D381, ""[0-9]+[a-f]?\."", """"))"),"")</f>
        <v/>
      </c>
      <c r="I381" s="172" t="str">
        <f>IFERROR(__xludf.DUMMYFUNCTION("TRIM(REGEXREPLACE(E381, ""[0-9]+[a-f]?\."", """"))"),"")</f>
        <v/>
      </c>
      <c r="J381" s="172" t="s">
        <v>2312</v>
      </c>
      <c r="K381" s="172" t="s">
        <v>2313</v>
      </c>
      <c r="L381" s="172" t="s">
        <v>2314</v>
      </c>
      <c r="M381" s="172"/>
    </row>
    <row r="382" hidden="1">
      <c r="A382" s="188" t="s">
        <v>68</v>
      </c>
      <c r="B382" s="266" t="s">
        <v>2315</v>
      </c>
      <c r="C382" s="265"/>
      <c r="D382" s="265"/>
      <c r="E382" s="265"/>
      <c r="F382" s="182">
        <v>184.0</v>
      </c>
      <c r="G382" s="172" t="str">
        <f>IFERROR(__xludf.DUMMYFUNCTION("TRIM(REGEXREPLACE(C382, ""[0-9]+[a-f]?\."", """"))"),"")</f>
        <v/>
      </c>
      <c r="H382" s="172" t="str">
        <f>IFERROR(__xludf.DUMMYFUNCTION("TRIM(REGEXREPLACE(D382, ""[0-9]+[a-f]?\."", """"))"),"")</f>
        <v/>
      </c>
      <c r="I382" s="172" t="str">
        <f>IFERROR(__xludf.DUMMYFUNCTION("TRIM(REGEXREPLACE(E382, ""[0-9]+[a-f]?\."", """"))"),"")</f>
        <v/>
      </c>
      <c r="J382" s="172" t="s">
        <v>2316</v>
      </c>
      <c r="K382" s="172" t="s">
        <v>2317</v>
      </c>
      <c r="L382" s="172" t="s">
        <v>2318</v>
      </c>
      <c r="M382" s="172"/>
    </row>
    <row r="383" hidden="1">
      <c r="A383" s="188" t="s">
        <v>68</v>
      </c>
      <c r="B383" s="266" t="s">
        <v>2319</v>
      </c>
      <c r="C383" s="265"/>
      <c r="D383" s="265"/>
      <c r="E383" s="265"/>
      <c r="F383" s="182">
        <v>185.0</v>
      </c>
      <c r="G383" s="172" t="str">
        <f>IFERROR(__xludf.DUMMYFUNCTION("TRIM(REGEXREPLACE(C383, ""[0-9]+[a-f]?\."", """"))"),"")</f>
        <v/>
      </c>
      <c r="H383" s="172" t="str">
        <f>IFERROR(__xludf.DUMMYFUNCTION("TRIM(REGEXREPLACE(D383, ""[0-9]+[a-f]?\."", """"))"),"")</f>
        <v/>
      </c>
      <c r="I383" s="172" t="str">
        <f>IFERROR(__xludf.DUMMYFUNCTION("TRIM(REGEXREPLACE(E383, ""[0-9]+[a-f]?\."", """"))"),"")</f>
        <v/>
      </c>
      <c r="J383" s="172" t="s">
        <v>2321</v>
      </c>
      <c r="K383" s="172" t="s">
        <v>2322</v>
      </c>
      <c r="L383" s="172" t="s">
        <v>2323</v>
      </c>
    </row>
    <row r="384" hidden="1">
      <c r="A384" s="188" t="s">
        <v>68</v>
      </c>
      <c r="B384" s="266" t="s">
        <v>2324</v>
      </c>
      <c r="C384" s="265"/>
      <c r="D384" s="265"/>
      <c r="E384" s="265"/>
      <c r="F384" s="182">
        <v>186.0</v>
      </c>
      <c r="G384" s="172" t="str">
        <f>IFERROR(__xludf.DUMMYFUNCTION("TRIM(REGEXREPLACE(C384, ""[0-9]+[a-f]?\."", """"))"),"")</f>
        <v/>
      </c>
      <c r="H384" s="172" t="str">
        <f>IFERROR(__xludf.DUMMYFUNCTION("TRIM(REGEXREPLACE(D384, ""[0-9]+[a-f]?\."", """"))"),"")</f>
        <v/>
      </c>
      <c r="I384" s="172" t="str">
        <f>IFERROR(__xludf.DUMMYFUNCTION("TRIM(REGEXREPLACE(E384, ""[0-9]+[a-f]?\."", """"))"),"")</f>
        <v/>
      </c>
      <c r="J384" s="172" t="s">
        <v>2325</v>
      </c>
      <c r="K384" s="172" t="s">
        <v>2326</v>
      </c>
      <c r="L384" s="172" t="s">
        <v>2327</v>
      </c>
    </row>
    <row r="385" hidden="1">
      <c r="A385" s="188" t="s">
        <v>68</v>
      </c>
      <c r="B385" s="266" t="s">
        <v>2328</v>
      </c>
      <c r="C385" s="265"/>
      <c r="D385" s="265"/>
      <c r="E385" s="265"/>
      <c r="F385" s="182">
        <v>187.0</v>
      </c>
      <c r="G385" s="172" t="str">
        <f>IFERROR(__xludf.DUMMYFUNCTION("TRIM(REGEXREPLACE(C385, ""[0-9]+[a-f]?\."", """"))"),"")</f>
        <v/>
      </c>
      <c r="H385" s="172" t="str">
        <f>IFERROR(__xludf.DUMMYFUNCTION("TRIM(REGEXREPLACE(D385, ""[0-9]+[a-f]?\."", """"))"),"")</f>
        <v/>
      </c>
      <c r="I385" s="172" t="str">
        <f>IFERROR(__xludf.DUMMYFUNCTION("TRIM(REGEXREPLACE(E385, ""[0-9]+[a-f]?\."", """"))"),"")</f>
        <v/>
      </c>
      <c r="J385" s="172" t="s">
        <v>2329</v>
      </c>
      <c r="K385" s="172" t="s">
        <v>2331</v>
      </c>
      <c r="L385" s="172" t="s">
        <v>2332</v>
      </c>
      <c r="M385" s="172"/>
    </row>
    <row r="386" hidden="1">
      <c r="B386" s="260"/>
      <c r="C386" s="260"/>
      <c r="D386" s="260"/>
      <c r="E386" s="260"/>
      <c r="F386" s="182">
        <v>206.0</v>
      </c>
      <c r="G386" s="172" t="str">
        <f>IFERROR(__xludf.DUMMYFUNCTION("TRIM(REGEXREPLACE(C386, ""[0-9]+[a-f]?\."", """"))"),"")</f>
        <v/>
      </c>
      <c r="H386" s="172" t="str">
        <f>IFERROR(__xludf.DUMMYFUNCTION("TRIM(REGEXREPLACE(D386, ""[0-9]+[a-f]?\."", """"))"),"")</f>
        <v/>
      </c>
      <c r="I386" s="172" t="str">
        <f>IFERROR(__xludf.DUMMYFUNCTION("TRIM(REGEXREPLACE(E386, ""[0-9]+[a-f]?\."", """"))"),"")</f>
        <v/>
      </c>
      <c r="J386" s="172" t="s">
        <v>2333</v>
      </c>
      <c r="K386" s="172" t="s">
        <v>2334</v>
      </c>
      <c r="L386" s="172" t="s">
        <v>2334</v>
      </c>
      <c r="M386" s="172"/>
    </row>
    <row r="387" hidden="1">
      <c r="A387" s="188" t="s">
        <v>68</v>
      </c>
      <c r="B387" s="266" t="s">
        <v>2335</v>
      </c>
      <c r="C387" s="265"/>
      <c r="D387" s="265"/>
      <c r="E387" s="265"/>
      <c r="F387" s="182">
        <v>188.0</v>
      </c>
      <c r="G387" s="172" t="str">
        <f>IFERROR(__xludf.DUMMYFUNCTION("TRIM(REGEXREPLACE(C387, ""[0-9]+[a-f]?\."", """"))"),"")</f>
        <v/>
      </c>
      <c r="H387" s="172" t="str">
        <f>IFERROR(__xludf.DUMMYFUNCTION("TRIM(REGEXREPLACE(D387, ""[0-9]+[a-f]?\."", """"))"),"")</f>
        <v/>
      </c>
      <c r="I387" s="172" t="str">
        <f>IFERROR(__xludf.DUMMYFUNCTION("TRIM(REGEXREPLACE(E387, ""[0-9]+[a-f]?\."", """"))"),"")</f>
        <v/>
      </c>
      <c r="J387" s="172" t="s">
        <v>2336</v>
      </c>
      <c r="K387" s="172" t="s">
        <v>2338</v>
      </c>
      <c r="L387" s="172" t="s">
        <v>2339</v>
      </c>
    </row>
    <row r="388" hidden="1">
      <c r="A388" s="188" t="s">
        <v>68</v>
      </c>
      <c r="B388" s="266" t="s">
        <v>2340</v>
      </c>
      <c r="C388" s="265"/>
      <c r="D388" s="265"/>
      <c r="E388" s="265"/>
      <c r="F388" s="182">
        <v>189.0</v>
      </c>
      <c r="G388" s="172" t="str">
        <f>IFERROR(__xludf.DUMMYFUNCTION("TRIM(REGEXREPLACE(C388, ""[0-9]+[a-f]?\."", """"))"),"")</f>
        <v/>
      </c>
      <c r="H388" s="172" t="str">
        <f>IFERROR(__xludf.DUMMYFUNCTION("TRIM(REGEXREPLACE(D388, ""[0-9]+[a-f]?\."", """"))"),"")</f>
        <v/>
      </c>
      <c r="I388" s="172" t="str">
        <f>IFERROR(__xludf.DUMMYFUNCTION("TRIM(REGEXREPLACE(E388, ""[0-9]+[a-f]?\."", """"))"),"")</f>
        <v/>
      </c>
      <c r="J388" s="172" t="s">
        <v>2341</v>
      </c>
      <c r="K388" s="172" t="s">
        <v>2342</v>
      </c>
      <c r="L388" s="172" t="s">
        <v>2343</v>
      </c>
    </row>
    <row r="389" hidden="1">
      <c r="A389" s="188" t="s">
        <v>68</v>
      </c>
      <c r="B389" s="266" t="s">
        <v>2344</v>
      </c>
      <c r="C389" s="265"/>
      <c r="D389" s="265"/>
      <c r="E389" s="265"/>
      <c r="F389" s="182">
        <v>190.0</v>
      </c>
      <c r="G389" s="172" t="str">
        <f>IFERROR(__xludf.DUMMYFUNCTION("TRIM(REGEXREPLACE(C389, ""[0-9]+[a-f]?\."", """"))"),"")</f>
        <v/>
      </c>
      <c r="H389" s="172" t="str">
        <f>IFERROR(__xludf.DUMMYFUNCTION("TRIM(REGEXREPLACE(D389, ""[0-9]+[a-f]?\."", """"))"),"")</f>
        <v/>
      </c>
      <c r="I389" s="172" t="str">
        <f>IFERROR(__xludf.DUMMYFUNCTION("TRIM(REGEXREPLACE(E389, ""[0-9]+[a-f]?\."", """"))"),"")</f>
        <v/>
      </c>
      <c r="J389" s="172" t="s">
        <v>2346</v>
      </c>
      <c r="K389" s="172" t="s">
        <v>2347</v>
      </c>
      <c r="L389" s="172" t="s">
        <v>2348</v>
      </c>
      <c r="M389" s="172"/>
    </row>
    <row r="390" hidden="1">
      <c r="A390" s="188" t="s">
        <v>68</v>
      </c>
      <c r="B390" s="266" t="s">
        <v>2349</v>
      </c>
      <c r="C390" s="265"/>
      <c r="D390" s="265"/>
      <c r="E390" s="265"/>
      <c r="F390" s="182">
        <v>191.0</v>
      </c>
      <c r="G390" s="172" t="str">
        <f>IFERROR(__xludf.DUMMYFUNCTION("TRIM(REGEXREPLACE(C390, ""[0-9]+[a-f]?\."", """"))"),"")</f>
        <v/>
      </c>
      <c r="H390" s="172" t="str">
        <f>IFERROR(__xludf.DUMMYFUNCTION("TRIM(REGEXREPLACE(D390, ""[0-9]+[a-f]?\."", """"))"),"")</f>
        <v/>
      </c>
      <c r="I390" s="172" t="str">
        <f>IFERROR(__xludf.DUMMYFUNCTION("TRIM(REGEXREPLACE(E390, ""[0-9]+[a-f]?\."", """"))"),"")</f>
        <v/>
      </c>
      <c r="J390" s="172" t="s">
        <v>2350</v>
      </c>
      <c r="K390" s="172" t="s">
        <v>2351</v>
      </c>
      <c r="L390" s="172" t="s">
        <v>2352</v>
      </c>
    </row>
    <row r="391" hidden="1">
      <c r="A391" s="188" t="s">
        <v>68</v>
      </c>
      <c r="B391" s="266" t="s">
        <v>2353</v>
      </c>
      <c r="C391" s="265"/>
      <c r="D391" s="265"/>
      <c r="E391" s="265"/>
      <c r="F391" s="182">
        <v>192.0</v>
      </c>
      <c r="G391" s="172" t="str">
        <f>IFERROR(__xludf.DUMMYFUNCTION("TRIM(REGEXREPLACE(C391, ""[0-9]+[a-f]?\."", """"))"),"")</f>
        <v/>
      </c>
      <c r="H391" s="172" t="str">
        <f>IFERROR(__xludf.DUMMYFUNCTION("TRIM(REGEXREPLACE(D391, ""[0-9]+[a-f]?\."", """"))"),"")</f>
        <v/>
      </c>
      <c r="I391" s="172" t="str">
        <f>IFERROR(__xludf.DUMMYFUNCTION("TRIM(REGEXREPLACE(E391, ""[0-9]+[a-f]?\."", """"))"),"")</f>
        <v/>
      </c>
      <c r="J391" s="172" t="s">
        <v>2355</v>
      </c>
      <c r="K391" s="172" t="s">
        <v>2356</v>
      </c>
      <c r="L391" s="172" t="s">
        <v>2357</v>
      </c>
      <c r="M391" s="172"/>
    </row>
    <row r="392" hidden="1">
      <c r="A392" s="188" t="s">
        <v>68</v>
      </c>
      <c r="B392" s="266" t="s">
        <v>2358</v>
      </c>
      <c r="C392" s="265"/>
      <c r="D392" s="265"/>
      <c r="E392" s="265"/>
      <c r="F392" s="182">
        <v>193.0</v>
      </c>
      <c r="G392" s="172" t="str">
        <f>IFERROR(__xludf.DUMMYFUNCTION("TRIM(REGEXREPLACE(C392, ""[0-9]+[a-f]?\."", """"))"),"")</f>
        <v/>
      </c>
      <c r="H392" s="172" t="str">
        <f>IFERROR(__xludf.DUMMYFUNCTION("TRIM(REGEXREPLACE(D392, ""[0-9]+[a-f]?\."", """"))"),"")</f>
        <v/>
      </c>
      <c r="I392" s="172" t="str">
        <f>IFERROR(__xludf.DUMMYFUNCTION("TRIM(REGEXREPLACE(E392, ""[0-9]+[a-f]?\."", """"))"),"")</f>
        <v/>
      </c>
      <c r="J392" s="172" t="s">
        <v>2359</v>
      </c>
      <c r="K392" s="172" t="s">
        <v>2360</v>
      </c>
      <c r="L392" s="172" t="s">
        <v>2361</v>
      </c>
    </row>
    <row r="393" hidden="1">
      <c r="B393" s="260"/>
      <c r="C393" s="260"/>
      <c r="D393" s="260"/>
      <c r="E393" s="260"/>
      <c r="F393" s="182">
        <v>211.0</v>
      </c>
      <c r="G393" s="172" t="str">
        <f>IFERROR(__xludf.DUMMYFUNCTION("TRIM(REGEXREPLACE(C393, ""[0-9]+[a-f]?\."", """"))"),"")</f>
        <v/>
      </c>
      <c r="H393" s="172" t="str">
        <f>IFERROR(__xludf.DUMMYFUNCTION("TRIM(REGEXREPLACE(D393, ""[0-9]+[a-f]?\."", """"))"),"")</f>
        <v/>
      </c>
      <c r="I393" s="172" t="str">
        <f>IFERROR(__xludf.DUMMYFUNCTION("TRIM(REGEXREPLACE(E393, ""[0-9]+[a-f]?\."", """"))"),"")</f>
        <v/>
      </c>
      <c r="J393" s="172" t="s">
        <v>2363</v>
      </c>
      <c r="K393" s="172" t="s">
        <v>2364</v>
      </c>
      <c r="L393" s="172" t="s">
        <v>2365</v>
      </c>
    </row>
    <row r="394" hidden="1">
      <c r="B394" s="260"/>
      <c r="C394" s="260"/>
      <c r="D394" s="260"/>
      <c r="E394" s="260"/>
      <c r="F394" s="182">
        <v>212.0</v>
      </c>
      <c r="G394" s="172" t="str">
        <f>IFERROR(__xludf.DUMMYFUNCTION("TRIM(REGEXREPLACE(C394, ""[0-9]+[a-f]?\."", """"))"),"")</f>
        <v/>
      </c>
      <c r="H394" s="172" t="str">
        <f>IFERROR(__xludf.DUMMYFUNCTION("TRIM(REGEXREPLACE(D394, ""[0-9]+[a-f]?\."", """"))"),"")</f>
        <v/>
      </c>
      <c r="I394" s="172" t="str">
        <f>IFERROR(__xludf.DUMMYFUNCTION("TRIM(REGEXREPLACE(E394, ""[0-9]+[a-f]?\."", """"))"),"")</f>
        <v/>
      </c>
      <c r="J394" s="172" t="s">
        <v>2366</v>
      </c>
      <c r="K394" s="172" t="s">
        <v>2367</v>
      </c>
      <c r="L394" s="172" t="s">
        <v>2368</v>
      </c>
      <c r="M394" s="172"/>
    </row>
    <row r="395" hidden="1">
      <c r="A395" s="188" t="s">
        <v>68</v>
      </c>
      <c r="B395" s="266" t="s">
        <v>2370</v>
      </c>
      <c r="C395" s="265"/>
      <c r="D395" s="265"/>
      <c r="E395" s="265"/>
      <c r="F395" s="182">
        <v>194.0</v>
      </c>
      <c r="G395" s="172" t="str">
        <f>IFERROR(__xludf.DUMMYFUNCTION("TRIM(REGEXREPLACE(C395, ""[0-9]+[a-f]?\."", """"))"),"")</f>
        <v/>
      </c>
      <c r="H395" s="172" t="str">
        <f>IFERROR(__xludf.DUMMYFUNCTION("TRIM(REGEXREPLACE(D395, ""[0-9]+[a-f]?\."", """"))"),"")</f>
        <v/>
      </c>
      <c r="I395" s="172" t="str">
        <f>IFERROR(__xludf.DUMMYFUNCTION("TRIM(REGEXREPLACE(E395, ""[0-9]+[a-f]?\."", """"))"),"")</f>
        <v/>
      </c>
      <c r="J395" s="172" t="s">
        <v>2371</v>
      </c>
      <c r="K395" s="172" t="s">
        <v>2372</v>
      </c>
      <c r="L395" s="172" t="s">
        <v>2373</v>
      </c>
      <c r="M395" s="172"/>
    </row>
    <row r="396" hidden="1">
      <c r="A396" s="188" t="s">
        <v>68</v>
      </c>
      <c r="B396" s="266" t="s">
        <v>2375</v>
      </c>
      <c r="C396" s="265"/>
      <c r="D396" s="265"/>
      <c r="E396" s="265"/>
      <c r="F396" s="182">
        <v>195.0</v>
      </c>
      <c r="G396" s="172" t="str">
        <f>IFERROR(__xludf.DUMMYFUNCTION("TRIM(REGEXREPLACE(C396, ""[0-9]+[a-f]?\."", """"))"),"")</f>
        <v/>
      </c>
      <c r="H396" s="172" t="str">
        <f>IFERROR(__xludf.DUMMYFUNCTION("TRIM(REGEXREPLACE(D396, ""[0-9]+[a-f]?\."", """"))"),"")</f>
        <v/>
      </c>
      <c r="I396" s="172" t="str">
        <f>IFERROR(__xludf.DUMMYFUNCTION("TRIM(REGEXREPLACE(E396, ""[0-9]+[a-f]?\."", """"))"),"")</f>
        <v/>
      </c>
      <c r="J396" s="172" t="s">
        <v>2377</v>
      </c>
      <c r="K396" s="172" t="s">
        <v>2378</v>
      </c>
      <c r="L396" s="172" t="s">
        <v>2379</v>
      </c>
      <c r="M396" s="172"/>
    </row>
    <row r="397" hidden="1">
      <c r="A397" s="188" t="s">
        <v>68</v>
      </c>
      <c r="B397" s="266" t="s">
        <v>2380</v>
      </c>
      <c r="C397" s="265"/>
      <c r="D397" s="265"/>
      <c r="E397" s="265"/>
      <c r="F397" s="182">
        <v>196.0</v>
      </c>
      <c r="G397" s="172" t="str">
        <f>IFERROR(__xludf.DUMMYFUNCTION("TRIM(REGEXREPLACE(C397, ""[0-9]+[a-f]?\."", """"))"),"")</f>
        <v/>
      </c>
      <c r="H397" s="172" t="str">
        <f>IFERROR(__xludf.DUMMYFUNCTION("TRIM(REGEXREPLACE(D397, ""[0-9]+[a-f]?\."", """"))"),"")</f>
        <v/>
      </c>
      <c r="I397" s="172" t="str">
        <f>IFERROR(__xludf.DUMMYFUNCTION("TRIM(REGEXREPLACE(E397, ""[0-9]+[a-f]?\."", """"))"),"")</f>
        <v/>
      </c>
      <c r="J397" s="172" t="s">
        <v>2382</v>
      </c>
      <c r="K397" s="172" t="s">
        <v>2383</v>
      </c>
      <c r="L397" s="172" t="s">
        <v>2384</v>
      </c>
      <c r="M397" s="172"/>
    </row>
    <row r="398" hidden="1">
      <c r="A398" s="188" t="s">
        <v>68</v>
      </c>
      <c r="B398" s="266" t="s">
        <v>2385</v>
      </c>
      <c r="C398" s="265"/>
      <c r="D398" s="265"/>
      <c r="E398" s="265"/>
      <c r="F398" s="182">
        <v>197.0</v>
      </c>
      <c r="G398" s="172" t="str">
        <f>IFERROR(__xludf.DUMMYFUNCTION("TRIM(REGEXREPLACE(C398, ""[0-9]+[a-f]?\."", """"))"),"")</f>
        <v/>
      </c>
      <c r="H398" s="172" t="str">
        <f>IFERROR(__xludf.DUMMYFUNCTION("TRIM(REGEXREPLACE(D398, ""[0-9]+[a-f]?\."", """"))"),"")</f>
        <v/>
      </c>
      <c r="I398" s="172" t="str">
        <f>IFERROR(__xludf.DUMMYFUNCTION("TRIM(REGEXREPLACE(E398, ""[0-9]+[a-f]?\."", """"))"),"")</f>
        <v/>
      </c>
      <c r="J398" s="172" t="s">
        <v>2387</v>
      </c>
      <c r="K398" s="172" t="s">
        <v>2267</v>
      </c>
      <c r="L398" s="172" t="s">
        <v>2388</v>
      </c>
    </row>
    <row r="399" hidden="1">
      <c r="A399" s="188" t="s">
        <v>68</v>
      </c>
      <c r="B399" s="266" t="s">
        <v>2389</v>
      </c>
      <c r="C399" s="265"/>
      <c r="D399" s="265"/>
      <c r="E399" s="265"/>
      <c r="F399" s="182">
        <v>198.0</v>
      </c>
      <c r="G399" s="172" t="str">
        <f>IFERROR(__xludf.DUMMYFUNCTION("TRIM(REGEXREPLACE(C399, ""[0-9]+[a-f]?\."", """"))"),"")</f>
        <v/>
      </c>
      <c r="H399" s="172" t="str">
        <f>IFERROR(__xludf.DUMMYFUNCTION("TRIM(REGEXREPLACE(D399, ""[0-9]+[a-f]?\."", """"))"),"")</f>
        <v/>
      </c>
      <c r="I399" s="172" t="str">
        <f>IFERROR(__xludf.DUMMYFUNCTION("TRIM(REGEXREPLACE(E399, ""[0-9]+[a-f]?\."", """"))"),"")</f>
        <v/>
      </c>
      <c r="J399" s="172" t="s">
        <v>2390</v>
      </c>
      <c r="K399" s="172" t="s">
        <v>2391</v>
      </c>
      <c r="L399" s="172" t="s">
        <v>2392</v>
      </c>
      <c r="M399" s="172"/>
    </row>
    <row r="400" hidden="1">
      <c r="A400" s="188" t="s">
        <v>68</v>
      </c>
      <c r="B400" s="266" t="s">
        <v>2393</v>
      </c>
      <c r="C400" s="265"/>
      <c r="D400" s="265"/>
      <c r="E400" s="265"/>
      <c r="F400" s="182">
        <v>199.0</v>
      </c>
      <c r="G400" s="172" t="str">
        <f>IFERROR(__xludf.DUMMYFUNCTION("TRIM(REGEXREPLACE(C400, ""[0-9]+[a-f]?\."", """"))"),"")</f>
        <v/>
      </c>
      <c r="H400" s="172" t="str">
        <f>IFERROR(__xludf.DUMMYFUNCTION("TRIM(REGEXREPLACE(D400, ""[0-9]+[a-f]?\."", """"))"),"")</f>
        <v/>
      </c>
      <c r="I400" s="172" t="str">
        <f>IFERROR(__xludf.DUMMYFUNCTION("TRIM(REGEXREPLACE(E400, ""[0-9]+[a-f]?\."", """"))"),"")</f>
        <v/>
      </c>
      <c r="J400" s="172" t="s">
        <v>2394</v>
      </c>
      <c r="K400" s="172" t="s">
        <v>2396</v>
      </c>
      <c r="L400" s="172" t="s">
        <v>2397</v>
      </c>
      <c r="M400" s="172"/>
    </row>
    <row r="401" hidden="1">
      <c r="A401" s="188" t="s">
        <v>68</v>
      </c>
      <c r="B401" s="266" t="s">
        <v>2398</v>
      </c>
      <c r="C401" s="265"/>
      <c r="D401" s="265"/>
      <c r="E401" s="265"/>
      <c r="F401" s="182">
        <v>200.0</v>
      </c>
      <c r="G401" s="172" t="str">
        <f>IFERROR(__xludf.DUMMYFUNCTION("TRIM(REGEXREPLACE(C401, ""[0-9]+[a-f]?\."", """"))"),"")</f>
        <v/>
      </c>
      <c r="H401" s="172" t="str">
        <f>IFERROR(__xludf.DUMMYFUNCTION("TRIM(REGEXREPLACE(D401, ""[0-9]+[a-f]?\."", """"))"),"")</f>
        <v/>
      </c>
      <c r="I401" s="172" t="str">
        <f>IFERROR(__xludf.DUMMYFUNCTION("TRIM(REGEXREPLACE(E401, ""[0-9]+[a-f]?\."", """"))"),"")</f>
        <v/>
      </c>
      <c r="J401" s="172" t="s">
        <v>2399</v>
      </c>
      <c r="K401" s="172" t="s">
        <v>2400</v>
      </c>
      <c r="L401" s="172" t="s">
        <v>2401</v>
      </c>
      <c r="M401" s="172"/>
    </row>
    <row r="402" hidden="1">
      <c r="A402" s="188" t="s">
        <v>68</v>
      </c>
      <c r="B402" s="266" t="s">
        <v>2402</v>
      </c>
      <c r="C402" s="265"/>
      <c r="D402" s="265"/>
      <c r="E402" s="265"/>
      <c r="F402" s="182">
        <v>201.0</v>
      </c>
      <c r="G402" s="172" t="str">
        <f>IFERROR(__xludf.DUMMYFUNCTION("TRIM(REGEXREPLACE(C402, ""[0-9]+[a-f]?\."", """"))"),"")</f>
        <v/>
      </c>
      <c r="H402" s="172" t="str">
        <f>IFERROR(__xludf.DUMMYFUNCTION("TRIM(REGEXREPLACE(D402, ""[0-9]+[a-f]?\."", """"))"),"")</f>
        <v/>
      </c>
      <c r="I402" s="172" t="str">
        <f>IFERROR(__xludf.DUMMYFUNCTION("TRIM(REGEXREPLACE(E402, ""[0-9]+[a-f]?\."", """"))"),"")</f>
        <v/>
      </c>
      <c r="J402" s="172" t="s">
        <v>2404</v>
      </c>
      <c r="K402" s="172" t="s">
        <v>2405</v>
      </c>
      <c r="L402" s="172" t="s">
        <v>2406</v>
      </c>
      <c r="M402" s="172"/>
    </row>
    <row r="403" hidden="1">
      <c r="B403" s="260"/>
      <c r="C403" s="260"/>
      <c r="D403" s="260"/>
      <c r="E403" s="260"/>
      <c r="F403" s="182">
        <v>217.0</v>
      </c>
      <c r="G403" s="172" t="str">
        <f>IFERROR(__xludf.DUMMYFUNCTION("TRIM(REGEXREPLACE(C403, ""[0-9]+[a-f]?\."", """"))"),"")</f>
        <v/>
      </c>
      <c r="H403" s="172" t="str">
        <f>IFERROR(__xludf.DUMMYFUNCTION("TRIM(REGEXREPLACE(D403, ""[0-9]+[a-f]?\."", """"))"),"")</f>
        <v/>
      </c>
      <c r="I403" s="172" t="str">
        <f>IFERROR(__xludf.DUMMYFUNCTION("TRIM(REGEXREPLACE(E403, ""[0-9]+[a-f]?\."", """"))"),"")</f>
        <v/>
      </c>
      <c r="J403" s="172" t="s">
        <v>2407</v>
      </c>
      <c r="K403" s="172" t="s">
        <v>2408</v>
      </c>
      <c r="L403" s="172" t="s">
        <v>2409</v>
      </c>
      <c r="M403" s="172"/>
    </row>
    <row r="404" hidden="1">
      <c r="B404" s="260"/>
      <c r="C404" s="260"/>
      <c r="D404" s="260"/>
      <c r="E404" s="260"/>
      <c r="F404" s="182">
        <v>216.0</v>
      </c>
      <c r="G404" s="172" t="str">
        <f>IFERROR(__xludf.DUMMYFUNCTION("TRIM(REGEXREPLACE(C404, ""[0-9]+[a-f]?\."", """"))"),"")</f>
        <v/>
      </c>
      <c r="H404" s="172" t="str">
        <f>IFERROR(__xludf.DUMMYFUNCTION("TRIM(REGEXREPLACE(D404, ""[0-9]+[a-f]?\."", """"))"),"")</f>
        <v/>
      </c>
      <c r="I404" s="172" t="str">
        <f>IFERROR(__xludf.DUMMYFUNCTION("TRIM(REGEXREPLACE(E404, ""[0-9]+[a-f]?\."", """"))"),"")</f>
        <v/>
      </c>
      <c r="J404" s="172" t="s">
        <v>2411</v>
      </c>
      <c r="K404" s="172" t="s">
        <v>2412</v>
      </c>
      <c r="L404" s="172" t="s">
        <v>2412</v>
      </c>
      <c r="M404" s="172"/>
    </row>
    <row r="405" hidden="1">
      <c r="B405" s="260"/>
      <c r="C405" s="260"/>
      <c r="D405" s="260"/>
      <c r="E405" s="260"/>
      <c r="F405" s="182">
        <v>219.0</v>
      </c>
      <c r="G405" s="172" t="str">
        <f>IFERROR(__xludf.DUMMYFUNCTION("TRIM(REGEXREPLACE(C405, ""[0-9]+[a-f]?\."", """"))"),"")</f>
        <v/>
      </c>
      <c r="H405" s="172" t="str">
        <f>IFERROR(__xludf.DUMMYFUNCTION("TRIM(REGEXREPLACE(D405, ""[0-9]+[a-f]?\."", """"))"),"")</f>
        <v/>
      </c>
      <c r="I405" s="172" t="str">
        <f>IFERROR(__xludf.DUMMYFUNCTION("TRIM(REGEXREPLACE(E405, ""[0-9]+[a-f]?\."", """"))"),"")</f>
        <v/>
      </c>
      <c r="J405" s="172" t="s">
        <v>2413</v>
      </c>
      <c r="K405" s="172" t="s">
        <v>2414</v>
      </c>
      <c r="L405" s="172" t="s">
        <v>2415</v>
      </c>
      <c r="M405" s="172"/>
    </row>
    <row r="406" hidden="1">
      <c r="B406" s="260"/>
      <c r="C406" s="260"/>
      <c r="D406" s="260"/>
      <c r="E406" s="260"/>
      <c r="F406" s="182">
        <v>220.0</v>
      </c>
      <c r="G406" s="172" t="str">
        <f>IFERROR(__xludf.DUMMYFUNCTION("TRIM(REGEXREPLACE(C406, ""[0-9]+[a-f]?\."", """"))"),"")</f>
        <v/>
      </c>
      <c r="H406" s="172" t="str">
        <f>IFERROR(__xludf.DUMMYFUNCTION("TRIM(REGEXREPLACE(D406, ""[0-9]+[a-f]?\."", """"))"),"")</f>
        <v/>
      </c>
      <c r="I406" s="172" t="str">
        <f>IFERROR(__xludf.DUMMYFUNCTION("TRIM(REGEXREPLACE(E406, ""[0-9]+[a-f]?\."", """"))"),"")</f>
        <v/>
      </c>
      <c r="J406" s="172" t="s">
        <v>2416</v>
      </c>
      <c r="K406" s="172" t="s">
        <v>2417</v>
      </c>
      <c r="L406" s="172" t="s">
        <v>2419</v>
      </c>
      <c r="M406" s="172"/>
    </row>
    <row r="407" hidden="1">
      <c r="B407" s="260"/>
      <c r="C407" s="260"/>
      <c r="D407" s="260"/>
      <c r="E407" s="260"/>
      <c r="F407" s="182">
        <v>221.0</v>
      </c>
      <c r="G407" s="172" t="str">
        <f>IFERROR(__xludf.DUMMYFUNCTION("TRIM(REGEXREPLACE(C407, ""[0-9]+[a-f]?\."", """"))"),"")</f>
        <v/>
      </c>
      <c r="H407" s="172" t="str">
        <f>IFERROR(__xludf.DUMMYFUNCTION("TRIM(REGEXREPLACE(D407, ""[0-9]+[a-f]?\."", """"))"),"")</f>
        <v/>
      </c>
      <c r="I407" s="172" t="str">
        <f>IFERROR(__xludf.DUMMYFUNCTION("TRIM(REGEXREPLACE(E407, ""[0-9]+[a-f]?\."", """"))"),"")</f>
        <v/>
      </c>
      <c r="J407" s="172" t="s">
        <v>2420</v>
      </c>
      <c r="K407" s="172" t="s">
        <v>2421</v>
      </c>
      <c r="L407" s="172" t="s">
        <v>2422</v>
      </c>
      <c r="M407" s="172"/>
    </row>
    <row r="408" hidden="1">
      <c r="B408" s="260"/>
      <c r="C408" s="260"/>
      <c r="D408" s="260"/>
      <c r="E408" s="260"/>
      <c r="F408" s="182">
        <v>217.0</v>
      </c>
      <c r="G408" s="172" t="str">
        <f>IFERROR(__xludf.DUMMYFUNCTION("TRIM(REGEXREPLACE(C408, ""[0-9]+[a-f]?\."", """"))"),"")</f>
        <v/>
      </c>
      <c r="H408" s="172" t="str">
        <f>IFERROR(__xludf.DUMMYFUNCTION("TRIM(REGEXREPLACE(D408, ""[0-9]+[a-f]?\."", """"))"),"")</f>
        <v/>
      </c>
      <c r="I408" s="172" t="str">
        <f>IFERROR(__xludf.DUMMYFUNCTION("TRIM(REGEXREPLACE(E408, ""[0-9]+[a-f]?\."", """"))"),"")</f>
        <v/>
      </c>
      <c r="J408" s="172" t="s">
        <v>2423</v>
      </c>
      <c r="K408" s="172" t="s">
        <v>2425</v>
      </c>
      <c r="L408" s="172" t="s">
        <v>2426</v>
      </c>
    </row>
    <row r="409" hidden="1">
      <c r="A409" s="188" t="s">
        <v>68</v>
      </c>
      <c r="B409" s="266" t="s">
        <v>2427</v>
      </c>
      <c r="C409" s="265"/>
      <c r="D409" s="265"/>
      <c r="E409" s="265"/>
      <c r="F409" s="182">
        <v>202.0</v>
      </c>
      <c r="G409" s="172" t="str">
        <f>IFERROR(__xludf.DUMMYFUNCTION("TRIM(REGEXREPLACE(C409, ""[0-9]+[a-f]?\."", """"))"),"")</f>
        <v/>
      </c>
      <c r="H409" s="172" t="str">
        <f>IFERROR(__xludf.DUMMYFUNCTION("TRIM(REGEXREPLACE(D409, ""[0-9]+[a-f]?\."", """"))"),"")</f>
        <v/>
      </c>
      <c r="I409" s="172" t="str">
        <f>IFERROR(__xludf.DUMMYFUNCTION("TRIM(REGEXREPLACE(E409, ""[0-9]+[a-f]?\."", """"))"),"")</f>
        <v/>
      </c>
      <c r="J409" s="172" t="s">
        <v>2428</v>
      </c>
      <c r="K409" s="172" t="s">
        <v>2429</v>
      </c>
      <c r="L409" s="172" t="s">
        <v>2430</v>
      </c>
    </row>
    <row r="410" hidden="1">
      <c r="A410" s="188" t="s">
        <v>68</v>
      </c>
      <c r="B410" s="266" t="s">
        <v>2431</v>
      </c>
      <c r="C410" s="265"/>
      <c r="D410" s="265"/>
      <c r="E410" s="265"/>
      <c r="F410" s="182">
        <v>203.0</v>
      </c>
      <c r="G410" s="172" t="str">
        <f>IFERROR(__xludf.DUMMYFUNCTION("TRIM(REGEXREPLACE(C410, ""[0-9]+[a-f]?\."", """"))"),"")</f>
        <v/>
      </c>
      <c r="H410" s="172" t="str">
        <f>IFERROR(__xludf.DUMMYFUNCTION("TRIM(REGEXREPLACE(D410, ""[0-9]+[a-f]?\."", """"))"),"")</f>
        <v/>
      </c>
      <c r="I410" s="172" t="str">
        <f>IFERROR(__xludf.DUMMYFUNCTION("TRIM(REGEXREPLACE(E410, ""[0-9]+[a-f]?\."", """"))"),"")</f>
        <v/>
      </c>
      <c r="J410" s="172" t="s">
        <v>2433</v>
      </c>
      <c r="K410" s="172" t="s">
        <v>2434</v>
      </c>
      <c r="L410" s="172" t="s">
        <v>2435</v>
      </c>
      <c r="M410" s="172"/>
    </row>
    <row r="411" hidden="1">
      <c r="A411" s="188" t="s">
        <v>68</v>
      </c>
      <c r="B411" s="266" t="s">
        <v>2436</v>
      </c>
      <c r="C411" s="265"/>
      <c r="D411" s="265"/>
      <c r="E411" s="265"/>
      <c r="F411" s="182">
        <v>204.0</v>
      </c>
      <c r="G411" s="172" t="str">
        <f>IFERROR(__xludf.DUMMYFUNCTION("TRIM(REGEXREPLACE(C411, ""[0-9]+[a-f]?\."", """"))"),"")</f>
        <v/>
      </c>
      <c r="H411" s="172" t="str">
        <f>IFERROR(__xludf.DUMMYFUNCTION("TRIM(REGEXREPLACE(D411, ""[0-9]+[a-f]?\."", """"))"),"")</f>
        <v/>
      </c>
      <c r="I411" s="172" t="str">
        <f>IFERROR(__xludf.DUMMYFUNCTION("TRIM(REGEXREPLACE(E411, ""[0-9]+[a-f]?\."", """"))"),"")</f>
        <v/>
      </c>
      <c r="J411" s="172" t="s">
        <v>2437</v>
      </c>
      <c r="K411" s="172" t="s">
        <v>2438</v>
      </c>
      <c r="L411" s="172" t="s">
        <v>2439</v>
      </c>
      <c r="M411" s="172"/>
    </row>
    <row r="412" hidden="1">
      <c r="A412" s="188" t="s">
        <v>68</v>
      </c>
      <c r="B412" s="266" t="s">
        <v>2440</v>
      </c>
      <c r="C412" s="265"/>
      <c r="D412" s="265"/>
      <c r="E412" s="265"/>
      <c r="F412" s="182">
        <v>205.0</v>
      </c>
      <c r="G412" s="172" t="str">
        <f>IFERROR(__xludf.DUMMYFUNCTION("TRIM(REGEXREPLACE(C412, ""[0-9]+[a-f]?\."", """"))"),"")</f>
        <v/>
      </c>
      <c r="H412" s="172" t="str">
        <f>IFERROR(__xludf.DUMMYFUNCTION("TRIM(REGEXREPLACE(D412, ""[0-9]+[a-f]?\."", """"))"),"")</f>
        <v/>
      </c>
      <c r="I412" s="172" t="str">
        <f>IFERROR(__xludf.DUMMYFUNCTION("TRIM(REGEXREPLACE(E412, ""[0-9]+[a-f]?\."", """"))"),"")</f>
        <v/>
      </c>
      <c r="J412" s="172" t="s">
        <v>2442</v>
      </c>
      <c r="K412" s="172" t="s">
        <v>2443</v>
      </c>
      <c r="L412" s="172" t="s">
        <v>2444</v>
      </c>
      <c r="M412" s="172"/>
    </row>
    <row r="413" hidden="1">
      <c r="A413" s="188" t="s">
        <v>68</v>
      </c>
      <c r="B413" s="266" t="s">
        <v>2445</v>
      </c>
      <c r="C413" s="265"/>
      <c r="D413" s="265"/>
      <c r="E413" s="265"/>
      <c r="F413" s="182">
        <v>206.0</v>
      </c>
      <c r="G413" s="172" t="str">
        <f>IFERROR(__xludf.DUMMYFUNCTION("TRIM(REGEXREPLACE(C413, ""[0-9]+[a-f]?\."", """"))"),"")</f>
        <v/>
      </c>
      <c r="H413" s="172" t="str">
        <f>IFERROR(__xludf.DUMMYFUNCTION("TRIM(REGEXREPLACE(D413, ""[0-9]+[a-f]?\."", """"))"),"")</f>
        <v/>
      </c>
      <c r="I413" s="172" t="str">
        <f>IFERROR(__xludf.DUMMYFUNCTION("TRIM(REGEXREPLACE(E413, ""[0-9]+[a-f]?\."", """"))"),"")</f>
        <v/>
      </c>
      <c r="J413" s="172" t="s">
        <v>2447</v>
      </c>
      <c r="K413" s="172" t="s">
        <v>2448</v>
      </c>
      <c r="L413" s="172" t="s">
        <v>2449</v>
      </c>
      <c r="M413" s="172"/>
    </row>
    <row r="414" hidden="1">
      <c r="A414" s="188" t="s">
        <v>68</v>
      </c>
      <c r="B414" s="266" t="s">
        <v>2450</v>
      </c>
      <c r="C414" s="265"/>
      <c r="D414" s="265"/>
      <c r="E414" s="265"/>
      <c r="F414" s="182">
        <v>207.0</v>
      </c>
      <c r="G414" s="172" t="str">
        <f>IFERROR(__xludf.DUMMYFUNCTION("TRIM(REGEXREPLACE(C414, ""[0-9]+[a-f]?\."", """"))"),"")</f>
        <v/>
      </c>
      <c r="H414" s="172" t="str">
        <f>IFERROR(__xludf.DUMMYFUNCTION("TRIM(REGEXREPLACE(D414, ""[0-9]+[a-f]?\."", """"))"),"")</f>
        <v/>
      </c>
      <c r="I414" s="172" t="str">
        <f>IFERROR(__xludf.DUMMYFUNCTION("TRIM(REGEXREPLACE(E414, ""[0-9]+[a-f]?\."", """"))"),"")</f>
        <v/>
      </c>
      <c r="J414" s="172" t="s">
        <v>2451</v>
      </c>
      <c r="K414" s="172" t="s">
        <v>2452</v>
      </c>
      <c r="L414" s="172" t="s">
        <v>2454</v>
      </c>
    </row>
    <row r="415" hidden="1">
      <c r="A415" s="188" t="s">
        <v>68</v>
      </c>
      <c r="B415" s="266" t="s">
        <v>2455</v>
      </c>
      <c r="C415" s="265"/>
      <c r="D415" s="265"/>
      <c r="E415" s="265"/>
      <c r="F415" s="182">
        <v>208.0</v>
      </c>
      <c r="G415" s="172" t="str">
        <f>IFERROR(__xludf.DUMMYFUNCTION("TRIM(REGEXREPLACE(C415, ""[0-9]+[a-f]?\."", """"))"),"")</f>
        <v/>
      </c>
      <c r="H415" s="172" t="str">
        <f>IFERROR(__xludf.DUMMYFUNCTION("TRIM(REGEXREPLACE(D415, ""[0-9]+[a-f]?\."", """"))"),"")</f>
        <v/>
      </c>
      <c r="I415" s="172" t="str">
        <f>IFERROR(__xludf.DUMMYFUNCTION("TRIM(REGEXREPLACE(E415, ""[0-9]+[a-f]?\."", """"))"),"")</f>
        <v/>
      </c>
      <c r="J415" s="172" t="s">
        <v>2456</v>
      </c>
      <c r="K415" s="172" t="s">
        <v>2457</v>
      </c>
      <c r="L415" s="172" t="s">
        <v>2458</v>
      </c>
      <c r="M415" s="172"/>
    </row>
    <row r="416" hidden="1">
      <c r="B416" s="260"/>
      <c r="C416" s="260"/>
      <c r="D416" s="260"/>
      <c r="E416" s="260"/>
      <c r="F416" s="182">
        <v>225.0</v>
      </c>
      <c r="G416" s="172" t="str">
        <f>IFERROR(__xludf.DUMMYFUNCTION("TRIM(REGEXREPLACE(C416, ""[0-9]+[a-f]?\."", """"))"),"")</f>
        <v/>
      </c>
      <c r="H416" s="172" t="str">
        <f>IFERROR(__xludf.DUMMYFUNCTION("TRIM(REGEXREPLACE(D416, ""[0-9]+[a-f]?\."", """"))"),"")</f>
        <v/>
      </c>
      <c r="I416" s="172" t="str">
        <f>IFERROR(__xludf.DUMMYFUNCTION("TRIM(REGEXREPLACE(E416, ""[0-9]+[a-f]?\."", """"))"),"")</f>
        <v/>
      </c>
      <c r="J416" s="172" t="s">
        <v>2460</v>
      </c>
      <c r="K416" s="172" t="s">
        <v>2461</v>
      </c>
      <c r="L416" s="172" t="s">
        <v>2462</v>
      </c>
      <c r="M416" s="172"/>
    </row>
    <row r="417" hidden="1">
      <c r="B417" s="260"/>
      <c r="C417" s="260"/>
      <c r="D417" s="260"/>
      <c r="E417" s="260"/>
      <c r="F417" s="182">
        <v>226.0</v>
      </c>
      <c r="G417" s="172" t="str">
        <f>IFERROR(__xludf.DUMMYFUNCTION("TRIM(REGEXREPLACE(C417, ""[0-9]+[a-f]?\."", """"))"),"")</f>
        <v/>
      </c>
      <c r="H417" s="172" t="str">
        <f>IFERROR(__xludf.DUMMYFUNCTION("TRIM(REGEXREPLACE(D417, ""[0-9]+[a-f]?\."", """"))"),"")</f>
        <v/>
      </c>
      <c r="I417" s="172" t="str">
        <f>IFERROR(__xludf.DUMMYFUNCTION("TRIM(REGEXREPLACE(E417, ""[0-9]+[a-f]?\."", """"))"),"")</f>
        <v/>
      </c>
      <c r="J417" s="172" t="s">
        <v>2463</v>
      </c>
      <c r="K417" s="172" t="s">
        <v>2464</v>
      </c>
      <c r="L417" s="172" t="s">
        <v>2464</v>
      </c>
      <c r="M417" s="172"/>
    </row>
    <row r="418" hidden="1">
      <c r="A418" s="188" t="s">
        <v>68</v>
      </c>
      <c r="B418" s="266" t="s">
        <v>2465</v>
      </c>
      <c r="C418" s="265"/>
      <c r="D418" s="265"/>
      <c r="E418" s="265"/>
      <c r="F418" s="182">
        <v>209.0</v>
      </c>
      <c r="G418" s="172" t="str">
        <f>IFERROR(__xludf.DUMMYFUNCTION("TRIM(REGEXREPLACE(C418, ""[0-9]+[a-f]?\."", """"))"),"")</f>
        <v/>
      </c>
      <c r="H418" s="172" t="str">
        <f>IFERROR(__xludf.DUMMYFUNCTION("TRIM(REGEXREPLACE(D418, ""[0-9]+[a-f]?\."", """"))"),"")</f>
        <v/>
      </c>
      <c r="I418" s="172" t="str">
        <f>IFERROR(__xludf.DUMMYFUNCTION("TRIM(REGEXREPLACE(E418, ""[0-9]+[a-f]?\."", """"))"),"")</f>
        <v/>
      </c>
      <c r="J418" s="172" t="s">
        <v>2467</v>
      </c>
      <c r="K418" s="172" t="s">
        <v>2468</v>
      </c>
      <c r="L418" s="172" t="s">
        <v>2469</v>
      </c>
      <c r="M418" s="172"/>
    </row>
    <row r="419" hidden="1">
      <c r="A419" s="188" t="s">
        <v>68</v>
      </c>
      <c r="B419" s="266" t="s">
        <v>2470</v>
      </c>
      <c r="C419" s="265"/>
      <c r="D419" s="265"/>
      <c r="E419" s="265"/>
      <c r="F419" s="182">
        <v>210.0</v>
      </c>
      <c r="G419" s="172" t="str">
        <f>IFERROR(__xludf.DUMMYFUNCTION("TRIM(REGEXREPLACE(C419, ""[0-9]+[a-f]?\."", """"))"),"")</f>
        <v/>
      </c>
      <c r="H419" s="172" t="str">
        <f>IFERROR(__xludf.DUMMYFUNCTION("TRIM(REGEXREPLACE(D419, ""[0-9]+[a-f]?\."", """"))"),"")</f>
        <v/>
      </c>
      <c r="I419" s="172" t="str">
        <f>IFERROR(__xludf.DUMMYFUNCTION("TRIM(REGEXREPLACE(E419, ""[0-9]+[a-f]?\."", """"))"),"")</f>
        <v/>
      </c>
      <c r="J419" s="172" t="s">
        <v>2471</v>
      </c>
      <c r="K419" s="172" t="s">
        <v>2472</v>
      </c>
      <c r="L419" s="172" t="s">
        <v>2473</v>
      </c>
    </row>
    <row r="420" hidden="1">
      <c r="A420" s="188" t="s">
        <v>68</v>
      </c>
      <c r="B420" s="266" t="s">
        <v>2474</v>
      </c>
      <c r="C420" s="265"/>
      <c r="D420" s="265"/>
      <c r="E420" s="265"/>
      <c r="F420" s="182">
        <v>211.0</v>
      </c>
      <c r="G420" s="172" t="str">
        <f>IFERROR(__xludf.DUMMYFUNCTION("TRIM(REGEXREPLACE(C420, ""[0-9]+[a-f]?\."", """"))"),"")</f>
        <v/>
      </c>
      <c r="H420" s="172" t="str">
        <f>IFERROR(__xludf.DUMMYFUNCTION("TRIM(REGEXREPLACE(D420, ""[0-9]+[a-f]?\."", """"))"),"")</f>
        <v/>
      </c>
      <c r="I420" s="172" t="str">
        <f>IFERROR(__xludf.DUMMYFUNCTION("TRIM(REGEXREPLACE(E420, ""[0-9]+[a-f]?\."", """"))"),"")</f>
        <v/>
      </c>
      <c r="J420" s="172" t="s">
        <v>2475</v>
      </c>
      <c r="K420" s="172" t="s">
        <v>2476</v>
      </c>
      <c r="L420" s="172" t="s">
        <v>2478</v>
      </c>
      <c r="M420" s="172"/>
    </row>
    <row r="421" hidden="1">
      <c r="A421" s="188" t="s">
        <v>68</v>
      </c>
      <c r="B421" s="266" t="s">
        <v>2479</v>
      </c>
      <c r="C421" s="265"/>
      <c r="D421" s="265"/>
      <c r="E421" s="265"/>
      <c r="F421" s="182">
        <v>212.0</v>
      </c>
      <c r="G421" s="172" t="str">
        <f>IFERROR(__xludf.DUMMYFUNCTION("TRIM(REGEXREPLACE(C421, ""[0-9]+[a-f]?\."", """"))"),"")</f>
        <v/>
      </c>
      <c r="H421" s="172" t="str">
        <f>IFERROR(__xludf.DUMMYFUNCTION("TRIM(REGEXREPLACE(D421, ""[0-9]+[a-f]?\."", """"))"),"")</f>
        <v/>
      </c>
      <c r="I421" s="172" t="str">
        <f>IFERROR(__xludf.DUMMYFUNCTION("TRIM(REGEXREPLACE(E421, ""[0-9]+[a-f]?\."", """"))"),"")</f>
        <v/>
      </c>
      <c r="J421" s="172" t="s">
        <v>2480</v>
      </c>
      <c r="K421" s="172" t="s">
        <v>2481</v>
      </c>
      <c r="L421" s="172" t="s">
        <v>2482</v>
      </c>
      <c r="M421" s="172"/>
    </row>
    <row r="422" hidden="1">
      <c r="A422" s="172"/>
      <c r="B422" s="174"/>
      <c r="C422" s="267"/>
      <c r="D422" s="267"/>
      <c r="E422" s="267"/>
      <c r="F422" s="182">
        <v>213.0</v>
      </c>
      <c r="G422" s="172" t="str">
        <f>IFERROR(__xludf.DUMMYFUNCTION("TRIM(REGEXREPLACE(C422, ""[0-9]+[a-f]?\."", """"))"),"")</f>
        <v/>
      </c>
      <c r="H422" s="172" t="str">
        <f>IFERROR(__xludf.DUMMYFUNCTION("TRIM(REGEXREPLACE(D422, ""[0-9]+[a-f]?\."", """"))"),"")</f>
        <v/>
      </c>
      <c r="I422" s="172" t="str">
        <f>IFERROR(__xludf.DUMMYFUNCTION("TRIM(REGEXREPLACE(E422, ""[0-9]+[a-f]?\."", """"))"),"")</f>
        <v/>
      </c>
      <c r="J422" s="172" t="s">
        <v>2484</v>
      </c>
      <c r="K422" s="172" t="s">
        <v>2485</v>
      </c>
      <c r="L422" s="172" t="s">
        <v>2486</v>
      </c>
      <c r="M422" s="172"/>
    </row>
    <row r="423" hidden="1">
      <c r="A423" s="188" t="s">
        <v>68</v>
      </c>
      <c r="B423" s="266" t="s">
        <v>2487</v>
      </c>
      <c r="C423" s="190"/>
      <c r="D423" s="190"/>
      <c r="E423" s="190"/>
      <c r="F423" s="182">
        <v>214.0</v>
      </c>
      <c r="G423" s="172" t="str">
        <f>IFERROR(__xludf.DUMMYFUNCTION("TRIM(REGEXREPLACE(C423, ""[0-9]+[a-f]?\."", """"))"),"")</f>
        <v/>
      </c>
      <c r="H423" s="172" t="str">
        <f>IFERROR(__xludf.DUMMYFUNCTION("TRIM(REGEXREPLACE(D423, ""[0-9]+[a-f]?\."", """"))"),"")</f>
        <v/>
      </c>
      <c r="I423" s="172" t="str">
        <f>IFERROR(__xludf.DUMMYFUNCTION("TRIM(REGEXREPLACE(E423, ""[0-9]+[a-f]?\."", """"))"),"")</f>
        <v/>
      </c>
      <c r="J423" s="172" t="s">
        <v>2488</v>
      </c>
      <c r="K423" s="172" t="s">
        <v>2489</v>
      </c>
      <c r="L423" s="172" t="s">
        <v>2490</v>
      </c>
      <c r="M423" s="172"/>
    </row>
    <row r="424" hidden="1">
      <c r="A424" s="188" t="s">
        <v>68</v>
      </c>
      <c r="B424" s="266" t="s">
        <v>2491</v>
      </c>
      <c r="C424" s="265"/>
      <c r="D424" s="265"/>
      <c r="E424" s="265"/>
      <c r="F424" s="182">
        <v>215.0</v>
      </c>
      <c r="G424" s="172" t="str">
        <f>IFERROR(__xludf.DUMMYFUNCTION("TRIM(REGEXREPLACE(C424, ""[0-9]+[a-f]?\."", """"))"),"")</f>
        <v/>
      </c>
      <c r="H424" s="172" t="str">
        <f>IFERROR(__xludf.DUMMYFUNCTION("TRIM(REGEXREPLACE(D424, ""[0-9]+[a-f]?\."", """"))"),"")</f>
        <v/>
      </c>
      <c r="I424" s="172" t="str">
        <f>IFERROR(__xludf.DUMMYFUNCTION("TRIM(REGEXREPLACE(E424, ""[0-9]+[a-f]?\."", """"))"),"")</f>
        <v/>
      </c>
      <c r="J424" s="172" t="s">
        <v>2493</v>
      </c>
      <c r="K424" s="172" t="s">
        <v>2494</v>
      </c>
      <c r="L424" s="172" t="s">
        <v>2495</v>
      </c>
      <c r="M424" s="172"/>
    </row>
    <row r="425" hidden="1">
      <c r="C425" s="260"/>
      <c r="D425" s="260"/>
      <c r="E425" s="260"/>
      <c r="F425" s="182">
        <v>237.0</v>
      </c>
      <c r="G425" s="172" t="str">
        <f>IFERROR(__xludf.DUMMYFUNCTION("TRIM(REGEXREPLACE(C425, ""[0-9]+[a-f]?\."", """"))"),"")</f>
        <v/>
      </c>
      <c r="H425" s="172" t="str">
        <f>IFERROR(__xludf.DUMMYFUNCTION("TRIM(REGEXREPLACE(D425, ""[0-9]+[a-f]?\."", """"))"),"")</f>
        <v/>
      </c>
      <c r="I425" s="172" t="str">
        <f>IFERROR(__xludf.DUMMYFUNCTION("TRIM(REGEXREPLACE(E425, ""[0-9]+[a-f]?\."", """"))"),"")</f>
        <v/>
      </c>
      <c r="J425" s="172" t="s">
        <v>2496</v>
      </c>
      <c r="K425" s="172" t="s">
        <v>2497</v>
      </c>
      <c r="L425" s="172" t="s">
        <v>2498</v>
      </c>
      <c r="M425" s="172"/>
    </row>
    <row r="426" hidden="1">
      <c r="B426" s="260"/>
      <c r="C426" s="260"/>
      <c r="D426" s="260"/>
      <c r="E426" s="260"/>
      <c r="F426" s="182">
        <v>230.0</v>
      </c>
      <c r="G426" s="172" t="str">
        <f>IFERROR(__xludf.DUMMYFUNCTION("TRIM(REGEXREPLACE(C426, ""[0-9]+[a-f]?\."", """"))"),"")</f>
        <v/>
      </c>
      <c r="H426" s="172" t="str">
        <f>IFERROR(__xludf.DUMMYFUNCTION("TRIM(REGEXREPLACE(D426, ""[0-9]+[a-f]?\."", """"))"),"")</f>
        <v/>
      </c>
      <c r="I426" s="172" t="str">
        <f>IFERROR(__xludf.DUMMYFUNCTION("TRIM(REGEXREPLACE(E426, ""[0-9]+[a-f]?\."", """"))"),"")</f>
        <v/>
      </c>
      <c r="J426" s="172" t="s">
        <v>2499</v>
      </c>
      <c r="K426" s="172" t="s">
        <v>2500</v>
      </c>
      <c r="L426" s="172" t="s">
        <v>2501</v>
      </c>
      <c r="M426" s="172"/>
    </row>
    <row r="427" hidden="1">
      <c r="B427" s="260"/>
      <c r="C427" s="260"/>
      <c r="D427" s="260"/>
      <c r="E427" s="260"/>
      <c r="F427" s="182">
        <v>231.0</v>
      </c>
      <c r="G427" s="172" t="str">
        <f>IFERROR(__xludf.DUMMYFUNCTION("TRIM(REGEXREPLACE(C427, ""[0-9]+[a-f]?\."", """"))"),"")</f>
        <v/>
      </c>
      <c r="H427" s="172" t="str">
        <f>IFERROR(__xludf.DUMMYFUNCTION("TRIM(REGEXREPLACE(D427, ""[0-9]+[a-f]?\."", """"))"),"")</f>
        <v/>
      </c>
      <c r="I427" s="172" t="str">
        <f>IFERROR(__xludf.DUMMYFUNCTION("TRIM(REGEXREPLACE(E427, ""[0-9]+[a-f]?\."", """"))"),"")</f>
        <v/>
      </c>
      <c r="J427" s="172" t="s">
        <v>2503</v>
      </c>
      <c r="K427" s="172" t="s">
        <v>2504</v>
      </c>
      <c r="L427" s="172" t="s">
        <v>2505</v>
      </c>
      <c r="M427" s="172"/>
    </row>
    <row r="428" hidden="1">
      <c r="B428" s="260"/>
      <c r="C428" s="260"/>
      <c r="D428" s="260"/>
      <c r="E428" s="260"/>
      <c r="F428" s="182">
        <v>232.0</v>
      </c>
      <c r="G428" s="172" t="str">
        <f>IFERROR(__xludf.DUMMYFUNCTION("TRIM(REGEXREPLACE(C428, ""[0-9]+[a-f]?\."", """"))"),"")</f>
        <v/>
      </c>
      <c r="H428" s="172" t="str">
        <f>IFERROR(__xludf.DUMMYFUNCTION("TRIM(REGEXREPLACE(D428, ""[0-9]+[a-f]?\."", """"))"),"")</f>
        <v/>
      </c>
      <c r="I428" s="172" t="str">
        <f>IFERROR(__xludf.DUMMYFUNCTION("TRIM(REGEXREPLACE(E428, ""[0-9]+[a-f]?\."", """"))"),"")</f>
        <v/>
      </c>
      <c r="J428" s="172" t="s">
        <v>2506</v>
      </c>
      <c r="K428" s="172" t="s">
        <v>2508</v>
      </c>
      <c r="L428" s="172" t="s">
        <v>2509</v>
      </c>
    </row>
    <row r="429" hidden="1">
      <c r="A429" s="188" t="s">
        <v>68</v>
      </c>
      <c r="B429" s="266" t="s">
        <v>2510</v>
      </c>
      <c r="C429" s="265"/>
      <c r="D429" s="265"/>
      <c r="E429" s="265"/>
      <c r="F429" s="182">
        <v>216.0</v>
      </c>
      <c r="G429" s="172" t="str">
        <f>IFERROR(__xludf.DUMMYFUNCTION("TRIM(REGEXREPLACE(C429, ""[0-9]+[a-f]?\."", """"))"),"")</f>
        <v/>
      </c>
      <c r="H429" s="172" t="str">
        <f>IFERROR(__xludf.DUMMYFUNCTION("TRIM(REGEXREPLACE(D429, ""[0-9]+[a-f]?\."", """"))"),"")</f>
        <v/>
      </c>
      <c r="I429" s="172" t="str">
        <f>IFERROR(__xludf.DUMMYFUNCTION("TRIM(REGEXREPLACE(E429, ""[0-9]+[a-f]?\."", """"))"),"")</f>
        <v/>
      </c>
      <c r="J429" s="172" t="s">
        <v>2511</v>
      </c>
      <c r="K429" s="172" t="s">
        <v>2512</v>
      </c>
      <c r="L429" s="172" t="s">
        <v>2513</v>
      </c>
    </row>
    <row r="430" hidden="1">
      <c r="A430" s="188" t="s">
        <v>68</v>
      </c>
      <c r="B430" s="266" t="s">
        <v>2514</v>
      </c>
      <c r="C430" s="265"/>
      <c r="D430" s="265"/>
      <c r="E430" s="265"/>
      <c r="F430" s="182">
        <v>217.0</v>
      </c>
      <c r="G430" s="172" t="str">
        <f>IFERROR(__xludf.DUMMYFUNCTION("TRIM(REGEXREPLACE(C430, ""[0-9]+[a-f]?\."", """"))"),"")</f>
        <v/>
      </c>
      <c r="H430" s="172" t="str">
        <f>IFERROR(__xludf.DUMMYFUNCTION("TRIM(REGEXREPLACE(D430, ""[0-9]+[a-f]?\."", """"))"),"")</f>
        <v/>
      </c>
      <c r="I430" s="172" t="str">
        <f>IFERROR(__xludf.DUMMYFUNCTION("TRIM(REGEXREPLACE(E430, ""[0-9]+[a-f]?\."", """"))"),"")</f>
        <v/>
      </c>
      <c r="J430" s="172" t="s">
        <v>2516</v>
      </c>
      <c r="K430" s="172" t="s">
        <v>2517</v>
      </c>
      <c r="L430" s="172" t="s">
        <v>2518</v>
      </c>
      <c r="M430" s="172"/>
    </row>
    <row r="431" hidden="1">
      <c r="A431" s="188" t="s">
        <v>68</v>
      </c>
      <c r="B431" s="266" t="s">
        <v>2519</v>
      </c>
      <c r="C431" s="265"/>
      <c r="D431" s="265"/>
      <c r="E431" s="265"/>
      <c r="F431" s="182">
        <v>218.0</v>
      </c>
      <c r="G431" s="172" t="str">
        <f>IFERROR(__xludf.DUMMYFUNCTION("TRIM(REGEXREPLACE(C431, ""[0-9]+[a-f]?\."", """"))"),"")</f>
        <v/>
      </c>
      <c r="H431" s="172" t="str">
        <f>IFERROR(__xludf.DUMMYFUNCTION("TRIM(REGEXREPLACE(D431, ""[0-9]+[a-f]?\."", """"))"),"")</f>
        <v/>
      </c>
      <c r="I431" s="172" t="str">
        <f>IFERROR(__xludf.DUMMYFUNCTION("TRIM(REGEXREPLACE(E431, ""[0-9]+[a-f]?\."", """"))"),"")</f>
        <v/>
      </c>
      <c r="J431" s="172" t="s">
        <v>2520</v>
      </c>
      <c r="K431" s="172" t="s">
        <v>2521</v>
      </c>
      <c r="L431" s="172" t="s">
        <v>2522</v>
      </c>
      <c r="M431" s="172"/>
    </row>
    <row r="432" hidden="1">
      <c r="C432" s="260"/>
      <c r="D432" s="260"/>
      <c r="E432" s="260"/>
      <c r="F432" s="182">
        <v>242.0</v>
      </c>
      <c r="G432" s="172" t="str">
        <f>IFERROR(__xludf.DUMMYFUNCTION("TRIM(REGEXREPLACE(C432, ""[0-9]+[a-f]?\."", """"))"),"")</f>
        <v/>
      </c>
      <c r="H432" s="172" t="str">
        <f>IFERROR(__xludf.DUMMYFUNCTION("TRIM(REGEXREPLACE(D432, ""[0-9]+[a-f]?\."", """"))"),"")</f>
        <v/>
      </c>
      <c r="I432" s="172" t="str">
        <f>IFERROR(__xludf.DUMMYFUNCTION("TRIM(REGEXREPLACE(E432, ""[0-9]+[a-f]?\."", """"))"),"")</f>
        <v/>
      </c>
      <c r="J432" s="172" t="s">
        <v>2523</v>
      </c>
      <c r="K432" s="172" t="s">
        <v>2524</v>
      </c>
      <c r="L432" s="172" t="s">
        <v>2525</v>
      </c>
      <c r="M432" s="172"/>
    </row>
    <row r="433" hidden="1">
      <c r="B433" s="260"/>
      <c r="C433" s="260"/>
      <c r="D433" s="260"/>
      <c r="E433" s="260"/>
      <c r="F433" s="182">
        <v>235.0</v>
      </c>
      <c r="G433" s="172" t="str">
        <f>IFERROR(__xludf.DUMMYFUNCTION("TRIM(REGEXREPLACE(C433, ""[0-9]+[a-f]?\."", """"))"),"")</f>
        <v/>
      </c>
      <c r="H433" s="172" t="str">
        <f>IFERROR(__xludf.DUMMYFUNCTION("TRIM(REGEXREPLACE(D433, ""[0-9]+[a-f]?\."", """"))"),"")</f>
        <v/>
      </c>
      <c r="I433" s="172" t="str">
        <f>IFERROR(__xludf.DUMMYFUNCTION("TRIM(REGEXREPLACE(E433, ""[0-9]+[a-f]?\."", """"))"),"")</f>
        <v/>
      </c>
      <c r="J433" s="172" t="s">
        <v>2526</v>
      </c>
      <c r="K433" s="172" t="s">
        <v>2527</v>
      </c>
      <c r="L433" s="172" t="s">
        <v>2528</v>
      </c>
    </row>
    <row r="434" hidden="1">
      <c r="B434" s="260"/>
      <c r="C434" s="260"/>
      <c r="D434" s="260"/>
      <c r="E434" s="260"/>
      <c r="F434" s="182">
        <v>236.0</v>
      </c>
      <c r="G434" s="172" t="str">
        <f>IFERROR(__xludf.DUMMYFUNCTION("TRIM(REGEXREPLACE(C434, ""[0-9]+[a-f]?\."", """"))"),"")</f>
        <v/>
      </c>
      <c r="H434" s="172" t="str">
        <f>IFERROR(__xludf.DUMMYFUNCTION("TRIM(REGEXREPLACE(D434, ""[0-9]+[a-f]?\."", """"))"),"")</f>
        <v/>
      </c>
      <c r="I434" s="172" t="str">
        <f>IFERROR(__xludf.DUMMYFUNCTION("TRIM(REGEXREPLACE(E434, ""[0-9]+[a-f]?\."", """"))"),"")</f>
        <v/>
      </c>
      <c r="J434" s="172" t="s">
        <v>2530</v>
      </c>
      <c r="K434" s="172" t="s">
        <v>2531</v>
      </c>
      <c r="L434" s="172" t="s">
        <v>2532</v>
      </c>
      <c r="M434" s="172"/>
    </row>
    <row r="435" hidden="1"/>
    <row r="436" hidden="1">
      <c r="A436" s="188" t="s">
        <v>68</v>
      </c>
      <c r="B436" s="266" t="s">
        <v>2533</v>
      </c>
      <c r="C436" s="265"/>
      <c r="D436" s="265"/>
      <c r="E436" s="265"/>
      <c r="F436" s="182">
        <v>219.0</v>
      </c>
      <c r="G436" s="172" t="str">
        <f>IFERROR(__xludf.DUMMYFUNCTION("TRIM(REGEXREPLACE(C436, ""[0-9]+[a-f]?\."", """"))"),"")</f>
        <v/>
      </c>
      <c r="H436" s="172" t="str">
        <f>IFERROR(__xludf.DUMMYFUNCTION("TRIM(REGEXREPLACE(D436, ""[0-9]+[a-f]?\."", """"))"),"")</f>
        <v/>
      </c>
      <c r="I436" s="172" t="str">
        <f>IFERROR(__xludf.DUMMYFUNCTION("TRIM(REGEXREPLACE(E436, ""[0-9]+[a-f]?\."", """"))"),"")</f>
        <v/>
      </c>
      <c r="J436" s="172" t="s">
        <v>2534</v>
      </c>
      <c r="K436" s="172" t="s">
        <v>2535</v>
      </c>
      <c r="L436" s="172" t="s">
        <v>2536</v>
      </c>
    </row>
    <row r="437" hidden="1">
      <c r="A437" s="188" t="s">
        <v>68</v>
      </c>
      <c r="B437" s="266" t="s">
        <v>2537</v>
      </c>
      <c r="C437" s="265"/>
      <c r="D437" s="265"/>
      <c r="E437" s="265"/>
      <c r="F437" s="182">
        <v>220.0</v>
      </c>
      <c r="G437" s="172" t="str">
        <f>IFERROR(__xludf.DUMMYFUNCTION("TRIM(REGEXREPLACE(C437, ""[0-9]+[a-f]?\."", """"))"),"")</f>
        <v/>
      </c>
      <c r="H437" s="172" t="str">
        <f>IFERROR(__xludf.DUMMYFUNCTION("TRIM(REGEXREPLACE(D437, ""[0-9]+[a-f]?\."", """"))"),"")</f>
        <v/>
      </c>
      <c r="I437" s="172" t="str">
        <f>IFERROR(__xludf.DUMMYFUNCTION("TRIM(REGEXREPLACE(E437, ""[0-9]+[a-f]?\."", """"))"),"")</f>
        <v/>
      </c>
      <c r="J437" s="172" t="s">
        <v>2538</v>
      </c>
      <c r="K437" s="172" t="s">
        <v>2539</v>
      </c>
      <c r="L437" s="172" t="s">
        <v>2540</v>
      </c>
      <c r="M437" s="172"/>
    </row>
    <row r="438" hidden="1">
      <c r="A438" s="188" t="s">
        <v>68</v>
      </c>
      <c r="B438" s="266" t="s">
        <v>2541</v>
      </c>
      <c r="C438" s="265"/>
      <c r="D438" s="265"/>
      <c r="E438" s="265"/>
      <c r="F438" s="182">
        <v>221.0</v>
      </c>
      <c r="G438" s="172" t="str">
        <f>IFERROR(__xludf.DUMMYFUNCTION("TRIM(REGEXREPLACE(C438, ""[0-9]+[a-f]?\."", """"))"),"")</f>
        <v/>
      </c>
      <c r="H438" s="172" t="str">
        <f>IFERROR(__xludf.DUMMYFUNCTION("TRIM(REGEXREPLACE(D438, ""[0-9]+[a-f]?\."", """"))"),"")</f>
        <v/>
      </c>
      <c r="I438" s="172" t="str">
        <f>IFERROR(__xludf.DUMMYFUNCTION("TRIM(REGEXREPLACE(E438, ""[0-9]+[a-f]?\."", """"))"),"")</f>
        <v/>
      </c>
      <c r="J438" s="172" t="s">
        <v>2542</v>
      </c>
      <c r="K438" s="172" t="s">
        <v>2543</v>
      </c>
      <c r="L438" s="172" t="s">
        <v>2544</v>
      </c>
      <c r="M438" s="172"/>
    </row>
    <row r="439" hidden="1">
      <c r="A439" s="188" t="s">
        <v>68</v>
      </c>
      <c r="B439" s="266" t="s">
        <v>2545</v>
      </c>
      <c r="C439" s="265"/>
      <c r="D439" s="265"/>
      <c r="E439" s="265"/>
      <c r="F439" s="182">
        <v>222.0</v>
      </c>
      <c r="G439" s="172" t="str">
        <f>IFERROR(__xludf.DUMMYFUNCTION("TRIM(REGEXREPLACE(C439, ""[0-9]+[a-f]?\."", """"))"),"")</f>
        <v/>
      </c>
      <c r="H439" s="172" t="str">
        <f>IFERROR(__xludf.DUMMYFUNCTION("TRIM(REGEXREPLACE(D439, ""[0-9]+[a-f]?\."", """"))"),"")</f>
        <v/>
      </c>
      <c r="I439" s="172" t="str">
        <f>IFERROR(__xludf.DUMMYFUNCTION("TRIM(REGEXREPLACE(E439, ""[0-9]+[a-f]?\."", """"))"),"")</f>
        <v/>
      </c>
      <c r="J439" s="172" t="s">
        <v>2546</v>
      </c>
      <c r="K439" s="172" t="s">
        <v>2547</v>
      </c>
      <c r="L439" s="172" t="s">
        <v>2548</v>
      </c>
    </row>
    <row r="440" hidden="1">
      <c r="A440" s="188" t="s">
        <v>68</v>
      </c>
      <c r="B440" s="266" t="s">
        <v>2549</v>
      </c>
      <c r="C440" s="265"/>
      <c r="D440" s="265"/>
      <c r="E440" s="265"/>
      <c r="F440" s="182">
        <v>223.0</v>
      </c>
      <c r="G440" s="172" t="str">
        <f>IFERROR(__xludf.DUMMYFUNCTION("TRIM(REGEXREPLACE(C440, ""[0-9]+[a-f]?\."", """"))"),"")</f>
        <v/>
      </c>
      <c r="H440" s="172" t="str">
        <f>IFERROR(__xludf.DUMMYFUNCTION("TRIM(REGEXREPLACE(D440, ""[0-9]+[a-f]?\."", """"))"),"")</f>
        <v/>
      </c>
      <c r="I440" s="172" t="str">
        <f>IFERROR(__xludf.DUMMYFUNCTION("TRIM(REGEXREPLACE(E440, ""[0-9]+[a-f]?\."", """"))"),"")</f>
        <v/>
      </c>
      <c r="J440" s="172" t="s">
        <v>2550</v>
      </c>
      <c r="K440" s="172" t="s">
        <v>2551</v>
      </c>
      <c r="L440" s="172" t="s">
        <v>2552</v>
      </c>
      <c r="M440" s="172"/>
    </row>
    <row r="441" hidden="1">
      <c r="A441" s="188" t="s">
        <v>68</v>
      </c>
      <c r="B441" s="266" t="s">
        <v>2553</v>
      </c>
      <c r="C441" s="265"/>
      <c r="D441" s="265"/>
      <c r="E441" s="265"/>
      <c r="F441" s="182">
        <v>224.0</v>
      </c>
      <c r="G441" s="172" t="str">
        <f>IFERROR(__xludf.DUMMYFUNCTION("TRIM(REGEXREPLACE(C441, ""[0-9]+[a-f]?\."", """"))"),"")</f>
        <v/>
      </c>
      <c r="H441" s="172" t="str">
        <f>IFERROR(__xludf.DUMMYFUNCTION("TRIM(REGEXREPLACE(D441, ""[0-9]+[a-f]?\."", """"))"),"")</f>
        <v/>
      </c>
      <c r="I441" s="172" t="str">
        <f>IFERROR(__xludf.DUMMYFUNCTION("TRIM(REGEXREPLACE(E441, ""[0-9]+[a-f]?\."", """"))"),"")</f>
        <v/>
      </c>
      <c r="J441" s="172" t="s">
        <v>2554</v>
      </c>
      <c r="K441" s="172" t="s">
        <v>2555</v>
      </c>
      <c r="L441" s="172" t="s">
        <v>2556</v>
      </c>
      <c r="M441" s="172"/>
    </row>
    <row r="442" hidden="1">
      <c r="A442" s="188" t="s">
        <v>68</v>
      </c>
      <c r="B442" s="266" t="s">
        <v>2557</v>
      </c>
      <c r="C442" s="265"/>
      <c r="D442" s="265"/>
      <c r="E442" s="265"/>
      <c r="F442" s="182">
        <v>225.0</v>
      </c>
      <c r="G442" s="172" t="str">
        <f>IFERROR(__xludf.DUMMYFUNCTION("TRIM(REGEXREPLACE(C442, ""[0-9]+[a-f]?\."", """"))"),"")</f>
        <v/>
      </c>
      <c r="H442" s="172" t="str">
        <f>IFERROR(__xludf.DUMMYFUNCTION("TRIM(REGEXREPLACE(D442, ""[0-9]+[a-f]?\."", """"))"),"")</f>
        <v/>
      </c>
      <c r="I442" s="172" t="str">
        <f>IFERROR(__xludf.DUMMYFUNCTION("TRIM(REGEXREPLACE(E442, ""[0-9]+[a-f]?\."", """"))"),"")</f>
        <v/>
      </c>
      <c r="J442" s="172" t="s">
        <v>2558</v>
      </c>
      <c r="K442" s="172" t="s">
        <v>2559</v>
      </c>
      <c r="L442" s="172" t="s">
        <v>2560</v>
      </c>
    </row>
    <row r="443" hidden="1">
      <c r="B443" s="260"/>
      <c r="C443" s="260"/>
      <c r="D443" s="260"/>
      <c r="E443" s="260"/>
      <c r="F443" s="182">
        <v>242.0</v>
      </c>
      <c r="G443" s="172" t="str">
        <f>IFERROR(__xludf.DUMMYFUNCTION("TRIM(REGEXREPLACE(C443, ""[0-9]+[a-f]?\."", """"))"),"")</f>
        <v/>
      </c>
      <c r="H443" s="172" t="str">
        <f>IFERROR(__xludf.DUMMYFUNCTION("TRIM(REGEXREPLACE(D443, ""[0-9]+[a-f]?\."", """"))"),"")</f>
        <v/>
      </c>
      <c r="I443" s="172" t="str">
        <f>IFERROR(__xludf.DUMMYFUNCTION("TRIM(REGEXREPLACE(E443, ""[0-9]+[a-f]?\."", """"))"),"")</f>
        <v/>
      </c>
      <c r="J443" s="172" t="s">
        <v>2561</v>
      </c>
      <c r="K443" s="172" t="s">
        <v>2562</v>
      </c>
      <c r="L443" s="172" t="s">
        <v>2563</v>
      </c>
    </row>
    <row r="444" hidden="1">
      <c r="B444" s="260"/>
      <c r="C444" s="260"/>
      <c r="D444" s="260"/>
      <c r="E444" s="260"/>
      <c r="F444" s="182">
        <v>243.0</v>
      </c>
      <c r="G444" s="172" t="str">
        <f>IFERROR(__xludf.DUMMYFUNCTION("TRIM(REGEXREPLACE(C444, ""[0-9]+[a-f]?\."", """"))"),"")</f>
        <v/>
      </c>
      <c r="H444" s="172" t="str">
        <f>IFERROR(__xludf.DUMMYFUNCTION("TRIM(REGEXREPLACE(D444, ""[0-9]+[a-f]?\."", """"))"),"")</f>
        <v/>
      </c>
      <c r="I444" s="172" t="str">
        <f>IFERROR(__xludf.DUMMYFUNCTION("TRIM(REGEXREPLACE(E444, ""[0-9]+[a-f]?\."", """"))"),"")</f>
        <v/>
      </c>
      <c r="J444" s="172" t="s">
        <v>2564</v>
      </c>
      <c r="K444" s="172" t="s">
        <v>2565</v>
      </c>
      <c r="L444" s="172" t="s">
        <v>2566</v>
      </c>
    </row>
    <row r="445" hidden="1">
      <c r="B445" s="260"/>
      <c r="C445" s="260"/>
      <c r="D445" s="260"/>
      <c r="E445" s="260"/>
      <c r="F445" s="182">
        <v>244.0</v>
      </c>
      <c r="G445" s="172" t="str">
        <f>IFERROR(__xludf.DUMMYFUNCTION("TRIM(REGEXREPLACE(C445, ""[0-9]+[a-f]?\."", """"))"),"")</f>
        <v/>
      </c>
      <c r="H445" s="172" t="str">
        <f>IFERROR(__xludf.DUMMYFUNCTION("TRIM(REGEXREPLACE(D445, ""[0-9]+[a-f]?\."", """"))"),"")</f>
        <v/>
      </c>
      <c r="I445" s="172" t="str">
        <f>IFERROR(__xludf.DUMMYFUNCTION("TRIM(REGEXREPLACE(E445, ""[0-9]+[a-f]?\."", """"))"),"")</f>
        <v/>
      </c>
      <c r="J445" s="172" t="s">
        <v>2567</v>
      </c>
      <c r="K445" s="172" t="s">
        <v>2568</v>
      </c>
      <c r="L445" s="172" t="s">
        <v>2569</v>
      </c>
      <c r="M445" s="172"/>
    </row>
    <row r="446" hidden="1">
      <c r="B446" s="260"/>
      <c r="C446" s="260"/>
      <c r="D446" s="260"/>
      <c r="E446" s="260"/>
      <c r="F446" s="182">
        <v>245.0</v>
      </c>
      <c r="G446" s="172" t="str">
        <f>IFERROR(__xludf.DUMMYFUNCTION("TRIM(REGEXREPLACE(C446, ""[0-9]+[a-f]?\."", """"))"),"")</f>
        <v/>
      </c>
      <c r="H446" s="172" t="str">
        <f>IFERROR(__xludf.DUMMYFUNCTION("TRIM(REGEXREPLACE(D446, ""[0-9]+[a-f]?\."", """"))"),"")</f>
        <v/>
      </c>
      <c r="I446" s="172" t="str">
        <f>IFERROR(__xludf.DUMMYFUNCTION("TRIM(REGEXREPLACE(E446, ""[0-9]+[a-f]?\."", """"))"),"")</f>
        <v/>
      </c>
      <c r="J446" s="172" t="s">
        <v>2570</v>
      </c>
      <c r="K446" s="172" t="s">
        <v>2571</v>
      </c>
      <c r="L446" s="172" t="s">
        <v>2572</v>
      </c>
      <c r="M446" s="172"/>
    </row>
    <row r="447" hidden="1">
      <c r="B447" s="260"/>
      <c r="C447" s="260"/>
      <c r="D447" s="260"/>
      <c r="E447" s="260"/>
      <c r="F447" s="182">
        <v>253.0</v>
      </c>
      <c r="G447" s="172" t="str">
        <f>IFERROR(__xludf.DUMMYFUNCTION("TRIM(REGEXREPLACE(C447, ""[0-9]+[a-f]?\."", """"))"),"")</f>
        <v/>
      </c>
      <c r="H447" s="172" t="str">
        <f>IFERROR(__xludf.DUMMYFUNCTION("TRIM(REGEXREPLACE(D447, ""[0-9]+[a-f]?\."", """"))"),"")</f>
        <v/>
      </c>
      <c r="I447" s="172" t="str">
        <f>IFERROR(__xludf.DUMMYFUNCTION("TRIM(REGEXREPLACE(E447, ""[0-9]+[a-f]?\."", """"))"),"")</f>
        <v/>
      </c>
      <c r="J447" s="172" t="s">
        <v>2573</v>
      </c>
      <c r="K447" s="172" t="s">
        <v>2574</v>
      </c>
      <c r="L447" s="172" t="s">
        <v>2575</v>
      </c>
      <c r="M447" s="172"/>
    </row>
    <row r="448" hidden="1">
      <c r="B448" s="260"/>
      <c r="C448" s="260"/>
      <c r="D448" s="260"/>
      <c r="E448" s="260"/>
      <c r="F448" s="182">
        <v>254.0</v>
      </c>
      <c r="G448" s="172" t="str">
        <f>IFERROR(__xludf.DUMMYFUNCTION("TRIM(REGEXREPLACE(C448, ""[0-9]+[a-f]?\."", """"))"),"")</f>
        <v/>
      </c>
      <c r="H448" s="172" t="str">
        <f>IFERROR(__xludf.DUMMYFUNCTION("TRIM(REGEXREPLACE(D448, ""[0-9]+[a-f]?\."", """"))"),"")</f>
        <v/>
      </c>
      <c r="I448" s="172" t="str">
        <f>IFERROR(__xludf.DUMMYFUNCTION("TRIM(REGEXREPLACE(E448, ""[0-9]+[a-f]?\."", """"))"),"")</f>
        <v/>
      </c>
      <c r="J448" s="172" t="s">
        <v>2576</v>
      </c>
      <c r="K448" s="172" t="s">
        <v>2577</v>
      </c>
      <c r="L448" s="172" t="s">
        <v>2578</v>
      </c>
      <c r="M448" s="172"/>
    </row>
    <row r="449" hidden="1">
      <c r="B449" s="260"/>
      <c r="C449" s="260"/>
      <c r="D449" s="260"/>
      <c r="E449" s="260"/>
      <c r="F449" s="182">
        <v>246.0</v>
      </c>
      <c r="G449" s="172" t="str">
        <f>IFERROR(__xludf.DUMMYFUNCTION("TRIM(REGEXREPLACE(C449, ""[0-9]+[a-f]?\."", """"))"),"")</f>
        <v/>
      </c>
      <c r="H449" s="172" t="str">
        <f>IFERROR(__xludf.DUMMYFUNCTION("TRIM(REGEXREPLACE(D449, ""[0-9]+[a-f]?\."", """"))"),"")</f>
        <v/>
      </c>
      <c r="I449" s="172" t="str">
        <f>IFERROR(__xludf.DUMMYFUNCTION("TRIM(REGEXREPLACE(E449, ""[0-9]+[a-f]?\."", """"))"),"")</f>
        <v/>
      </c>
      <c r="J449" s="172" t="s">
        <v>2579</v>
      </c>
      <c r="K449" s="172" t="s">
        <v>2580</v>
      </c>
      <c r="L449" s="172" t="s">
        <v>2581</v>
      </c>
      <c r="M449" s="172"/>
    </row>
    <row r="450" hidden="1">
      <c r="A450" s="188" t="s">
        <v>68</v>
      </c>
      <c r="B450" s="266" t="s">
        <v>2582</v>
      </c>
      <c r="C450" s="265"/>
      <c r="D450" s="265"/>
      <c r="E450" s="265"/>
      <c r="F450" s="182">
        <v>226.0</v>
      </c>
      <c r="G450" s="172" t="str">
        <f>IFERROR(__xludf.DUMMYFUNCTION("TRIM(REGEXREPLACE(C450, ""[0-9]+[a-f]?\."", """"))"),"")</f>
        <v/>
      </c>
      <c r="H450" s="172" t="str">
        <f>IFERROR(__xludf.DUMMYFUNCTION("TRIM(REGEXREPLACE(D450, ""[0-9]+[a-f]?\."", """"))"),"")</f>
        <v/>
      </c>
      <c r="I450" s="172" t="str">
        <f>IFERROR(__xludf.DUMMYFUNCTION("TRIM(REGEXREPLACE(E450, ""[0-9]+[a-f]?\."", """"))"),"")</f>
        <v/>
      </c>
      <c r="J450" s="172" t="s">
        <v>2583</v>
      </c>
      <c r="K450" s="172" t="s">
        <v>2584</v>
      </c>
      <c r="L450" s="172" t="s">
        <v>2585</v>
      </c>
    </row>
    <row r="451" hidden="1">
      <c r="A451" s="188" t="s">
        <v>68</v>
      </c>
      <c r="B451" s="266" t="s">
        <v>2586</v>
      </c>
      <c r="C451" s="265"/>
      <c r="D451" s="265"/>
      <c r="E451" s="265"/>
      <c r="F451" s="182">
        <v>227.0</v>
      </c>
      <c r="G451" s="172" t="str">
        <f>IFERROR(__xludf.DUMMYFUNCTION("TRIM(REGEXREPLACE(C451, ""[0-9]+[a-f]?\."", """"))"),"")</f>
        <v/>
      </c>
      <c r="H451" s="172" t="str">
        <f>IFERROR(__xludf.DUMMYFUNCTION("TRIM(REGEXREPLACE(D451, ""[0-9]+[a-f]?\."", """"))"),"")</f>
        <v/>
      </c>
      <c r="I451" s="172" t="str">
        <f>IFERROR(__xludf.DUMMYFUNCTION("TRIM(REGEXREPLACE(E451, ""[0-9]+[a-f]?\."", """"))"),"")</f>
        <v/>
      </c>
      <c r="J451" s="172" t="s">
        <v>2587</v>
      </c>
      <c r="K451" s="172" t="s">
        <v>2588</v>
      </c>
      <c r="L451" s="172" t="s">
        <v>2589</v>
      </c>
    </row>
    <row r="452" hidden="1">
      <c r="A452" s="188" t="s">
        <v>68</v>
      </c>
      <c r="B452" s="266" t="s">
        <v>2590</v>
      </c>
      <c r="C452" s="265"/>
      <c r="D452" s="265"/>
      <c r="E452" s="265"/>
      <c r="F452" s="182">
        <v>228.0</v>
      </c>
      <c r="G452" s="172" t="str">
        <f>IFERROR(__xludf.DUMMYFUNCTION("TRIM(REGEXREPLACE(C452, ""[0-9]+[a-f]?\."", """"))"),"")</f>
        <v/>
      </c>
      <c r="H452" s="172" t="str">
        <f>IFERROR(__xludf.DUMMYFUNCTION("TRIM(REGEXREPLACE(D452, ""[0-9]+[a-f]?\."", """"))"),"")</f>
        <v/>
      </c>
      <c r="I452" s="172" t="str">
        <f>IFERROR(__xludf.DUMMYFUNCTION("TRIM(REGEXREPLACE(E452, ""[0-9]+[a-f]?\."", """"))"),"")</f>
        <v/>
      </c>
      <c r="J452" s="172" t="s">
        <v>2591</v>
      </c>
      <c r="K452" s="172" t="s">
        <v>2592</v>
      </c>
      <c r="L452" s="172" t="s">
        <v>2593</v>
      </c>
    </row>
    <row r="453" hidden="1">
      <c r="A453" s="188" t="s">
        <v>68</v>
      </c>
      <c r="B453" s="266" t="s">
        <v>2594</v>
      </c>
      <c r="C453" s="265"/>
      <c r="D453" s="265"/>
      <c r="E453" s="265"/>
      <c r="F453" s="182">
        <v>229.0</v>
      </c>
      <c r="G453" s="172" t="str">
        <f>IFERROR(__xludf.DUMMYFUNCTION("TRIM(REGEXREPLACE(C453, ""[0-9]+[a-f]?\."", """"))"),"")</f>
        <v/>
      </c>
      <c r="H453" s="172" t="str">
        <f>IFERROR(__xludf.DUMMYFUNCTION("TRIM(REGEXREPLACE(D453, ""[0-9]+[a-f]?\."", """"))"),"")</f>
        <v/>
      </c>
      <c r="I453" s="172" t="str">
        <f>IFERROR(__xludf.DUMMYFUNCTION("TRIM(REGEXREPLACE(E453, ""[0-9]+[a-f]?\."", """"))"),"")</f>
        <v/>
      </c>
      <c r="J453" s="172" t="s">
        <v>2595</v>
      </c>
      <c r="K453" s="172" t="s">
        <v>2596</v>
      </c>
      <c r="L453" s="172" t="s">
        <v>2597</v>
      </c>
    </row>
    <row r="454" hidden="1">
      <c r="B454" s="260"/>
      <c r="C454" s="260"/>
      <c r="D454" s="260"/>
      <c r="E454" s="260"/>
      <c r="F454" s="182">
        <v>251.0</v>
      </c>
      <c r="G454" s="172" t="str">
        <f>IFERROR(__xludf.DUMMYFUNCTION("TRIM(REGEXREPLACE(C454, ""[0-9]+[a-f]?\."", """"))"),"")</f>
        <v/>
      </c>
      <c r="H454" s="172" t="str">
        <f>IFERROR(__xludf.DUMMYFUNCTION("TRIM(REGEXREPLACE(D454, ""[0-9]+[a-f]?\."", """"))"),"")</f>
        <v/>
      </c>
      <c r="I454" s="172" t="str">
        <f>IFERROR(__xludf.DUMMYFUNCTION("TRIM(REGEXREPLACE(E454, ""[0-9]+[a-f]?\."", """"))"),"")</f>
        <v/>
      </c>
      <c r="J454" s="172" t="s">
        <v>2598</v>
      </c>
      <c r="K454" s="172" t="s">
        <v>2599</v>
      </c>
      <c r="L454" s="172" t="s">
        <v>2600</v>
      </c>
      <c r="M454" s="172"/>
    </row>
    <row r="455" hidden="1">
      <c r="B455" s="260"/>
      <c r="C455" s="260"/>
      <c r="D455" s="260"/>
      <c r="E455" s="260"/>
      <c r="F455" s="182">
        <v>252.0</v>
      </c>
      <c r="G455" s="172" t="str">
        <f>IFERROR(__xludf.DUMMYFUNCTION("TRIM(REGEXREPLACE(C455, ""[0-9]+[a-f]?\."", """"))"),"")</f>
        <v/>
      </c>
      <c r="H455" s="172" t="str">
        <f>IFERROR(__xludf.DUMMYFUNCTION("TRIM(REGEXREPLACE(D455, ""[0-9]+[a-f]?\."", """"))"),"")</f>
        <v/>
      </c>
      <c r="I455" s="172" t="str">
        <f>IFERROR(__xludf.DUMMYFUNCTION("TRIM(REGEXREPLACE(E455, ""[0-9]+[a-f]?\."", """"))"),"")</f>
        <v/>
      </c>
      <c r="J455" s="172" t="s">
        <v>2601</v>
      </c>
      <c r="K455" s="172" t="s">
        <v>2602</v>
      </c>
      <c r="L455" s="172" t="s">
        <v>2603</v>
      </c>
      <c r="M455" s="172"/>
    </row>
    <row r="456" hidden="1">
      <c r="B456" s="260"/>
      <c r="C456" s="260"/>
      <c r="D456" s="260"/>
      <c r="E456" s="260"/>
      <c r="F456" s="182">
        <v>259.0</v>
      </c>
      <c r="G456" s="172" t="str">
        <f>IFERROR(__xludf.DUMMYFUNCTION("TRIM(REGEXREPLACE(C456, ""[0-9]+[a-f]?\."", """"))"),"")</f>
        <v/>
      </c>
      <c r="H456" s="172" t="str">
        <f>IFERROR(__xludf.DUMMYFUNCTION("TRIM(REGEXREPLACE(D456, ""[0-9]+[a-f]?\."", """"))"),"")</f>
        <v/>
      </c>
      <c r="I456" s="172" t="str">
        <f>IFERROR(__xludf.DUMMYFUNCTION("TRIM(REGEXREPLACE(E456, ""[0-9]+[a-f]?\."", """"))"),"")</f>
        <v/>
      </c>
      <c r="J456" s="172" t="s">
        <v>2604</v>
      </c>
      <c r="K456" s="172" t="s">
        <v>2605</v>
      </c>
      <c r="L456" s="172" t="s">
        <v>2606</v>
      </c>
      <c r="M456" s="172"/>
    </row>
    <row r="457" hidden="1">
      <c r="B457" s="260"/>
      <c r="C457" s="260"/>
      <c r="D457" s="260"/>
      <c r="E457" s="260"/>
      <c r="F457" s="182">
        <v>260.0</v>
      </c>
      <c r="G457" s="172" t="str">
        <f>IFERROR(__xludf.DUMMYFUNCTION("TRIM(REGEXREPLACE(C457, ""[0-9]+[a-f]?\."", """"))"),"")</f>
        <v/>
      </c>
      <c r="H457" s="172" t="str">
        <f>IFERROR(__xludf.DUMMYFUNCTION("TRIM(REGEXREPLACE(D457, ""[0-9]+[a-f]?\."", """"))"),"")</f>
        <v/>
      </c>
      <c r="I457" s="172" t="str">
        <f>IFERROR(__xludf.DUMMYFUNCTION("TRIM(REGEXREPLACE(E457, ""[0-9]+[a-f]?\."", """"))"),"")</f>
        <v/>
      </c>
      <c r="J457" s="172" t="s">
        <v>2607</v>
      </c>
      <c r="K457" s="172" t="s">
        <v>2608</v>
      </c>
      <c r="L457" s="172" t="s">
        <v>2609</v>
      </c>
      <c r="M457" s="172"/>
    </row>
    <row r="458" hidden="1">
      <c r="B458" s="260"/>
      <c r="C458" s="260"/>
      <c r="D458" s="260"/>
      <c r="E458" s="260"/>
      <c r="F458" s="182">
        <v>253.0</v>
      </c>
      <c r="G458" s="172" t="str">
        <f>IFERROR(__xludf.DUMMYFUNCTION("TRIM(REGEXREPLACE(C458, ""[0-9]+[a-f]?\."", """"))"),"")</f>
        <v/>
      </c>
      <c r="H458" s="172" t="str">
        <f>IFERROR(__xludf.DUMMYFUNCTION("TRIM(REGEXREPLACE(D458, ""[0-9]+[a-f]?\."", """"))"),"")</f>
        <v/>
      </c>
      <c r="I458" s="172" t="str">
        <f>IFERROR(__xludf.DUMMYFUNCTION("TRIM(REGEXREPLACE(E458, ""[0-9]+[a-f]?\."", """"))"),"")</f>
        <v/>
      </c>
      <c r="J458" s="172" t="s">
        <v>2610</v>
      </c>
      <c r="K458" s="172" t="s">
        <v>2611</v>
      </c>
      <c r="L458" s="172" t="s">
        <v>2612</v>
      </c>
      <c r="M458" s="172"/>
    </row>
    <row r="459" hidden="1">
      <c r="A459" s="188" t="s">
        <v>68</v>
      </c>
      <c r="B459" s="266" t="s">
        <v>2613</v>
      </c>
      <c r="C459" s="265"/>
      <c r="D459" s="265"/>
      <c r="E459" s="265"/>
      <c r="F459" s="182">
        <v>230.0</v>
      </c>
      <c r="G459" s="172" t="str">
        <f>IFERROR(__xludf.DUMMYFUNCTION("TRIM(REGEXREPLACE(C459, ""[0-9]+[a-f]?\."", """"))"),"")</f>
        <v/>
      </c>
      <c r="H459" s="172" t="str">
        <f>IFERROR(__xludf.DUMMYFUNCTION("TRIM(REGEXREPLACE(D459, ""[0-9]+[a-f]?\."", """"))"),"")</f>
        <v/>
      </c>
      <c r="I459" s="172" t="str">
        <f>IFERROR(__xludf.DUMMYFUNCTION("TRIM(REGEXREPLACE(E459, ""[0-9]+[a-f]?\."", """"))"),"")</f>
        <v/>
      </c>
      <c r="J459" s="172" t="s">
        <v>2614</v>
      </c>
      <c r="K459" s="172" t="s">
        <v>2615</v>
      </c>
      <c r="L459" s="172" t="s">
        <v>2616</v>
      </c>
    </row>
    <row r="460" hidden="1">
      <c r="B460" s="260"/>
      <c r="C460" s="260"/>
      <c r="D460" s="260"/>
      <c r="E460" s="260"/>
      <c r="F460" s="182">
        <v>255.0</v>
      </c>
      <c r="G460" s="172" t="str">
        <f>IFERROR(__xludf.DUMMYFUNCTION("TRIM(REGEXREPLACE(C460, ""[0-9]+[a-f]?\."", """"))"),"")</f>
        <v/>
      </c>
      <c r="H460" s="172" t="str">
        <f>IFERROR(__xludf.DUMMYFUNCTION("TRIM(REGEXREPLACE(D460, ""[0-9]+[a-f]?\."", """"))"),"")</f>
        <v/>
      </c>
      <c r="I460" s="172" t="str">
        <f>IFERROR(__xludf.DUMMYFUNCTION("TRIM(REGEXREPLACE(E460, ""[0-9]+[a-f]?\."", """"))"),"")</f>
        <v/>
      </c>
      <c r="J460" s="172" t="s">
        <v>2617</v>
      </c>
      <c r="K460" s="172" t="s">
        <v>2618</v>
      </c>
      <c r="L460" s="172" t="s">
        <v>2619</v>
      </c>
    </row>
    <row r="461" hidden="1">
      <c r="A461" s="188" t="s">
        <v>68</v>
      </c>
      <c r="B461" s="266" t="s">
        <v>2620</v>
      </c>
      <c r="C461" s="265"/>
      <c r="D461" s="265"/>
      <c r="E461" s="265"/>
      <c r="F461" s="182">
        <v>231.0</v>
      </c>
      <c r="G461" s="172" t="str">
        <f>IFERROR(__xludf.DUMMYFUNCTION("TRIM(REGEXREPLACE(C461, ""[0-9]+[a-f]?\."", """"))"),"")</f>
        <v/>
      </c>
      <c r="H461" s="172" t="str">
        <f>IFERROR(__xludf.DUMMYFUNCTION("TRIM(REGEXREPLACE(D461, ""[0-9]+[a-f]?\."", """"))"),"")</f>
        <v/>
      </c>
      <c r="I461" s="172" t="str">
        <f>IFERROR(__xludf.DUMMYFUNCTION("TRIM(REGEXREPLACE(E461, ""[0-9]+[a-f]?\."", """"))"),"")</f>
        <v/>
      </c>
      <c r="J461" s="172" t="s">
        <v>2621</v>
      </c>
      <c r="K461" s="172" t="s">
        <v>2622</v>
      </c>
      <c r="L461" s="172" t="s">
        <v>2622</v>
      </c>
      <c r="M461" s="172"/>
    </row>
    <row r="462" hidden="1">
      <c r="B462" s="260"/>
      <c r="C462" s="260"/>
      <c r="D462" s="260"/>
      <c r="E462" s="260"/>
      <c r="F462" s="182">
        <v>257.0</v>
      </c>
      <c r="G462" s="172" t="str">
        <f>IFERROR(__xludf.DUMMYFUNCTION("TRIM(REGEXREPLACE(C462, ""[0-9]+[a-f]?\."", """"))"),"")</f>
        <v/>
      </c>
      <c r="H462" s="172" t="str">
        <f>IFERROR(__xludf.DUMMYFUNCTION("TRIM(REGEXREPLACE(D462, ""[0-9]+[a-f]?\."", """"))"),"")</f>
        <v/>
      </c>
      <c r="I462" s="172" t="str">
        <f>IFERROR(__xludf.DUMMYFUNCTION("TRIM(REGEXREPLACE(E462, ""[0-9]+[a-f]?\."", """"))"),"")</f>
        <v/>
      </c>
      <c r="J462" s="172" t="s">
        <v>2623</v>
      </c>
      <c r="K462" s="172" t="s">
        <v>2624</v>
      </c>
      <c r="L462" s="172" t="s">
        <v>2625</v>
      </c>
      <c r="M462" s="172"/>
    </row>
    <row r="463" hidden="1">
      <c r="B463" s="260"/>
      <c r="C463" s="260"/>
      <c r="D463" s="260"/>
      <c r="E463" s="260"/>
      <c r="F463" s="182">
        <v>258.0</v>
      </c>
      <c r="G463" s="172" t="str">
        <f>IFERROR(__xludf.DUMMYFUNCTION("TRIM(REGEXREPLACE(C463, ""[0-9]+[a-f]?\."", """"))"),"")</f>
        <v/>
      </c>
      <c r="H463" s="172" t="str">
        <f>IFERROR(__xludf.DUMMYFUNCTION("TRIM(REGEXREPLACE(D463, ""[0-9]+[a-f]?\."", """"))"),"")</f>
        <v/>
      </c>
      <c r="I463" s="172" t="str">
        <f>IFERROR(__xludf.DUMMYFUNCTION("TRIM(REGEXREPLACE(E463, ""[0-9]+[a-f]?\."", """"))"),"")</f>
        <v/>
      </c>
      <c r="J463" s="172" t="s">
        <v>2626</v>
      </c>
      <c r="K463" s="172" t="s">
        <v>2627</v>
      </c>
      <c r="L463" s="172" t="s">
        <v>2628</v>
      </c>
      <c r="M463" s="172"/>
    </row>
    <row r="464" hidden="1">
      <c r="B464" s="260"/>
      <c r="C464" s="260"/>
      <c r="D464" s="260"/>
      <c r="E464" s="260"/>
      <c r="F464" s="182">
        <v>259.0</v>
      </c>
      <c r="G464" s="172" t="str">
        <f>IFERROR(__xludf.DUMMYFUNCTION("TRIM(REGEXREPLACE(C464, ""[0-9]+[a-f]?\."", """"))"),"")</f>
        <v/>
      </c>
      <c r="H464" s="172" t="str">
        <f>IFERROR(__xludf.DUMMYFUNCTION("TRIM(REGEXREPLACE(D464, ""[0-9]+[a-f]?\."", """"))"),"")</f>
        <v/>
      </c>
      <c r="I464" s="172" t="str">
        <f>IFERROR(__xludf.DUMMYFUNCTION("TRIM(REGEXREPLACE(E464, ""[0-9]+[a-f]?\."", """"))"),"")</f>
        <v/>
      </c>
      <c r="J464" s="172" t="s">
        <v>2629</v>
      </c>
      <c r="K464" s="172" t="s">
        <v>2630</v>
      </c>
      <c r="L464" s="172" t="s">
        <v>2631</v>
      </c>
      <c r="M464" s="172"/>
    </row>
    <row r="465" hidden="1">
      <c r="A465" s="188" t="s">
        <v>68</v>
      </c>
      <c r="B465" s="266" t="s">
        <v>2632</v>
      </c>
      <c r="C465" s="265"/>
      <c r="D465" s="265"/>
      <c r="E465" s="265"/>
      <c r="F465" s="182">
        <v>232.0</v>
      </c>
      <c r="G465" s="172" t="str">
        <f>IFERROR(__xludf.DUMMYFUNCTION("TRIM(REGEXREPLACE(C465, ""[0-9]+[a-f]?\."", """"))"),"")</f>
        <v/>
      </c>
      <c r="H465" s="172" t="str">
        <f>IFERROR(__xludf.DUMMYFUNCTION("TRIM(REGEXREPLACE(D465, ""[0-9]+[a-f]?\."", """"))"),"")</f>
        <v/>
      </c>
      <c r="I465" s="172" t="str">
        <f>IFERROR(__xludf.DUMMYFUNCTION("TRIM(REGEXREPLACE(E465, ""[0-9]+[a-f]?\."", """"))"),"")</f>
        <v/>
      </c>
      <c r="J465" s="172" t="s">
        <v>2633</v>
      </c>
      <c r="K465" s="172" t="s">
        <v>2634</v>
      </c>
      <c r="L465" s="172" t="s">
        <v>2635</v>
      </c>
    </row>
    <row r="466" hidden="1">
      <c r="A466" s="188" t="s">
        <v>68</v>
      </c>
      <c r="B466" s="266" t="s">
        <v>2636</v>
      </c>
      <c r="C466" s="265"/>
      <c r="D466" s="265"/>
      <c r="E466" s="265"/>
      <c r="F466" s="182">
        <v>233.0</v>
      </c>
      <c r="G466" s="172" t="str">
        <f>IFERROR(__xludf.DUMMYFUNCTION("TRIM(REGEXREPLACE(C466, ""[0-9]+[a-f]?\."", """"))"),"")</f>
        <v/>
      </c>
      <c r="H466" s="172" t="str">
        <f>IFERROR(__xludf.DUMMYFUNCTION("TRIM(REGEXREPLACE(D466, ""[0-9]+[a-f]?\."", """"))"),"")</f>
        <v/>
      </c>
      <c r="I466" s="172" t="str">
        <f>IFERROR(__xludf.DUMMYFUNCTION("TRIM(REGEXREPLACE(E466, ""[0-9]+[a-f]?\."", """"))"),"")</f>
        <v/>
      </c>
      <c r="J466" s="172" t="s">
        <v>2637</v>
      </c>
      <c r="K466" s="172" t="s">
        <v>2638</v>
      </c>
      <c r="L466" s="172" t="s">
        <v>2639</v>
      </c>
    </row>
    <row r="467" hidden="1">
      <c r="A467" s="188" t="s">
        <v>68</v>
      </c>
      <c r="B467" s="266" t="s">
        <v>2640</v>
      </c>
      <c r="C467" s="265"/>
      <c r="D467" s="265"/>
      <c r="E467" s="265"/>
      <c r="F467" s="182">
        <v>234.0</v>
      </c>
      <c r="G467" s="172" t="str">
        <f>IFERROR(__xludf.DUMMYFUNCTION("TRIM(REGEXREPLACE(C467, ""[0-9]+[a-f]?\."", """"))"),"")</f>
        <v/>
      </c>
      <c r="H467" s="172" t="str">
        <f>IFERROR(__xludf.DUMMYFUNCTION("TRIM(REGEXREPLACE(D467, ""[0-9]+[a-f]?\."", """"))"),"")</f>
        <v/>
      </c>
      <c r="I467" s="172" t="str">
        <f>IFERROR(__xludf.DUMMYFUNCTION("TRIM(REGEXREPLACE(E467, ""[0-9]+[a-f]?\."", """"))"),"")</f>
        <v/>
      </c>
      <c r="J467" s="172" t="s">
        <v>2641</v>
      </c>
      <c r="K467" s="172" t="s">
        <v>2642</v>
      </c>
      <c r="L467" s="172" t="s">
        <v>2643</v>
      </c>
    </row>
    <row r="468" hidden="1">
      <c r="A468" s="188" t="s">
        <v>68</v>
      </c>
      <c r="B468" s="266" t="s">
        <v>2644</v>
      </c>
      <c r="C468" s="265"/>
      <c r="D468" s="265"/>
      <c r="E468" s="265"/>
      <c r="F468" s="182">
        <v>235.0</v>
      </c>
      <c r="G468" s="172" t="str">
        <f>IFERROR(__xludf.DUMMYFUNCTION("TRIM(REGEXREPLACE(C468, ""[0-9]+[a-f]?\."", """"))"),"")</f>
        <v/>
      </c>
      <c r="H468" s="172" t="str">
        <f>IFERROR(__xludf.DUMMYFUNCTION("TRIM(REGEXREPLACE(D468, ""[0-9]+[a-f]?\."", """"))"),"")</f>
        <v/>
      </c>
      <c r="I468" s="172" t="str">
        <f>IFERROR(__xludf.DUMMYFUNCTION("TRIM(REGEXREPLACE(E468, ""[0-9]+[a-f]?\."", """"))"),"")</f>
        <v/>
      </c>
      <c r="J468" s="172" t="s">
        <v>2645</v>
      </c>
      <c r="K468" s="172" t="s">
        <v>2646</v>
      </c>
      <c r="L468" s="172" t="s">
        <v>2647</v>
      </c>
    </row>
    <row r="469" hidden="1">
      <c r="A469" s="188" t="s">
        <v>68</v>
      </c>
      <c r="B469" s="266" t="s">
        <v>2648</v>
      </c>
      <c r="C469" s="265"/>
      <c r="D469" s="265"/>
      <c r="E469" s="265"/>
      <c r="F469" s="182">
        <v>236.0</v>
      </c>
      <c r="G469" s="172" t="str">
        <f>IFERROR(__xludf.DUMMYFUNCTION("TRIM(REGEXREPLACE(C469, ""[0-9]+[a-f]?\."", """"))"),"")</f>
        <v/>
      </c>
      <c r="H469" s="172" t="str">
        <f>IFERROR(__xludf.DUMMYFUNCTION("TRIM(REGEXREPLACE(D469, ""[0-9]+[a-f]?\."", """"))"),"")</f>
        <v/>
      </c>
      <c r="I469" s="172" t="str">
        <f>IFERROR(__xludf.DUMMYFUNCTION("TRIM(REGEXREPLACE(E469, ""[0-9]+[a-f]?\."", """"))"),"")</f>
        <v/>
      </c>
      <c r="J469" s="172" t="s">
        <v>2649</v>
      </c>
      <c r="K469" s="172" t="s">
        <v>2650</v>
      </c>
      <c r="L469" s="172" t="s">
        <v>2651</v>
      </c>
    </row>
    <row r="470" hidden="1">
      <c r="A470" s="188" t="s">
        <v>68</v>
      </c>
      <c r="B470" s="266" t="s">
        <v>2652</v>
      </c>
      <c r="C470" s="265"/>
      <c r="D470" s="265"/>
      <c r="E470" s="265"/>
      <c r="F470" s="182">
        <v>237.0</v>
      </c>
      <c r="G470" s="172" t="str">
        <f>IFERROR(__xludf.DUMMYFUNCTION("TRIM(REGEXREPLACE(C470, ""[0-9]+[a-f]?\."", """"))"),"")</f>
        <v/>
      </c>
      <c r="H470" s="172" t="str">
        <f>IFERROR(__xludf.DUMMYFUNCTION("TRIM(REGEXREPLACE(D470, ""[0-9]+[a-f]?\."", """"))"),"")</f>
        <v/>
      </c>
      <c r="I470" s="172" t="str">
        <f>IFERROR(__xludf.DUMMYFUNCTION("TRIM(REGEXREPLACE(E470, ""[0-9]+[a-f]?\."", """"))"),"")</f>
        <v/>
      </c>
      <c r="J470" s="172" t="s">
        <v>2653</v>
      </c>
      <c r="K470" s="172" t="s">
        <v>2654</v>
      </c>
      <c r="L470" s="172" t="s">
        <v>2655</v>
      </c>
    </row>
    <row r="471" hidden="1">
      <c r="A471" s="188" t="s">
        <v>68</v>
      </c>
      <c r="B471" s="266" t="s">
        <v>2656</v>
      </c>
      <c r="C471" s="265"/>
      <c r="D471" s="265"/>
      <c r="E471" s="265"/>
      <c r="F471" s="182">
        <v>238.0</v>
      </c>
      <c r="G471" s="172" t="str">
        <f>IFERROR(__xludf.DUMMYFUNCTION("TRIM(REGEXREPLACE(C471, ""[0-9]+[a-f]?\."", """"))"),"")</f>
        <v/>
      </c>
      <c r="H471" s="172" t="str">
        <f>IFERROR(__xludf.DUMMYFUNCTION("TRIM(REGEXREPLACE(D471, ""[0-9]+[a-f]?\."", """"))"),"")</f>
        <v/>
      </c>
      <c r="I471" s="172" t="str">
        <f>IFERROR(__xludf.DUMMYFUNCTION("TRIM(REGEXREPLACE(E471, ""[0-9]+[a-f]?\."", """"))"),"")</f>
        <v/>
      </c>
      <c r="J471" s="172" t="s">
        <v>2657</v>
      </c>
      <c r="K471" s="172" t="s">
        <v>2658</v>
      </c>
      <c r="L471" s="172" t="s">
        <v>2659</v>
      </c>
    </row>
    <row r="472" hidden="1">
      <c r="A472" s="188" t="s">
        <v>68</v>
      </c>
      <c r="B472" s="266" t="s">
        <v>2660</v>
      </c>
      <c r="C472" s="265"/>
      <c r="D472" s="265"/>
      <c r="E472" s="265"/>
      <c r="F472" s="182">
        <v>239.0</v>
      </c>
      <c r="G472" s="172" t="str">
        <f>IFERROR(__xludf.DUMMYFUNCTION("TRIM(REGEXREPLACE(C472, ""[0-9]+[a-f]?\."", """"))"),"")</f>
        <v/>
      </c>
      <c r="H472" s="172" t="str">
        <f>IFERROR(__xludf.DUMMYFUNCTION("TRIM(REGEXREPLACE(D472, ""[0-9]+[a-f]?\."", """"))"),"")</f>
        <v/>
      </c>
      <c r="I472" s="172" t="str">
        <f>IFERROR(__xludf.DUMMYFUNCTION("TRIM(REGEXREPLACE(E472, ""[0-9]+[a-f]?\."", """"))"),"")</f>
        <v/>
      </c>
      <c r="J472" s="172" t="s">
        <v>2661</v>
      </c>
      <c r="K472" s="172" t="s">
        <v>2662</v>
      </c>
      <c r="L472" s="172" t="s">
        <v>2663</v>
      </c>
    </row>
    <row r="473" hidden="1">
      <c r="A473" s="188" t="s">
        <v>68</v>
      </c>
      <c r="B473" s="266" t="s">
        <v>2664</v>
      </c>
      <c r="C473" s="265"/>
      <c r="D473" s="265"/>
      <c r="E473" s="265"/>
      <c r="F473" s="182">
        <v>240.0</v>
      </c>
      <c r="G473" s="172" t="str">
        <f>IFERROR(__xludf.DUMMYFUNCTION("TRIM(REGEXREPLACE(C473, ""[0-9]+[a-f]?\."", """"))"),"")</f>
        <v/>
      </c>
      <c r="H473" s="172" t="str">
        <f>IFERROR(__xludf.DUMMYFUNCTION("TRIM(REGEXREPLACE(D473, ""[0-9]+[a-f]?\."", """"))"),"")</f>
        <v/>
      </c>
      <c r="I473" s="172" t="str">
        <f>IFERROR(__xludf.DUMMYFUNCTION("TRIM(REGEXREPLACE(E473, ""[0-9]+[a-f]?\."", """"))"),"")</f>
        <v/>
      </c>
      <c r="J473" s="172" t="s">
        <v>2665</v>
      </c>
      <c r="K473" s="172" t="s">
        <v>2666</v>
      </c>
      <c r="L473" s="172" t="s">
        <v>2667</v>
      </c>
      <c r="M473" s="172"/>
    </row>
    <row r="474" hidden="1">
      <c r="A474" s="188" t="s">
        <v>68</v>
      </c>
      <c r="B474" s="266" t="s">
        <v>2668</v>
      </c>
      <c r="C474" s="265"/>
      <c r="D474" s="265"/>
      <c r="E474" s="265"/>
      <c r="F474" s="182">
        <v>241.0</v>
      </c>
      <c r="G474" s="172" t="str">
        <f>IFERROR(__xludf.DUMMYFUNCTION("TRIM(REGEXREPLACE(C474, ""[0-9]+[a-f]?\."", """"))"),"")</f>
        <v/>
      </c>
      <c r="H474" s="172" t="str">
        <f>IFERROR(__xludf.DUMMYFUNCTION("TRIM(REGEXREPLACE(D474, ""[0-9]+[a-f]?\."", """"))"),"")</f>
        <v/>
      </c>
      <c r="I474" s="172" t="str">
        <f>IFERROR(__xludf.DUMMYFUNCTION("TRIM(REGEXREPLACE(E474, ""[0-9]+[a-f]?\."", """"))"),"")</f>
        <v/>
      </c>
      <c r="J474" s="172" t="s">
        <v>2669</v>
      </c>
      <c r="K474" s="172" t="s">
        <v>2670</v>
      </c>
      <c r="L474" s="172" t="s">
        <v>2671</v>
      </c>
      <c r="M474" s="172"/>
    </row>
    <row r="475" hidden="1">
      <c r="A475" s="188" t="s">
        <v>68</v>
      </c>
      <c r="B475" s="266" t="s">
        <v>2672</v>
      </c>
      <c r="C475" s="265"/>
      <c r="D475" s="265"/>
      <c r="E475" s="265"/>
      <c r="F475" s="182">
        <v>242.0</v>
      </c>
      <c r="G475" s="172" t="str">
        <f>IFERROR(__xludf.DUMMYFUNCTION("TRIM(REGEXREPLACE(C475, ""[0-9]+[a-f]?\."", """"))"),"")</f>
        <v/>
      </c>
      <c r="H475" s="172" t="str">
        <f>IFERROR(__xludf.DUMMYFUNCTION("TRIM(REGEXREPLACE(D475, ""[0-9]+[a-f]?\."", """"))"),"")</f>
        <v/>
      </c>
      <c r="I475" s="172" t="str">
        <f>IFERROR(__xludf.DUMMYFUNCTION("TRIM(REGEXREPLACE(E475, ""[0-9]+[a-f]?\."", """"))"),"")</f>
        <v/>
      </c>
      <c r="J475" s="172" t="s">
        <v>2673</v>
      </c>
      <c r="K475" s="172" t="s">
        <v>2674</v>
      </c>
      <c r="L475" s="172" t="s">
        <v>2675</v>
      </c>
      <c r="M475" s="172"/>
    </row>
    <row r="476" hidden="1">
      <c r="B476" s="260"/>
      <c r="C476" s="260"/>
      <c r="D476" s="260"/>
      <c r="E476" s="260"/>
      <c r="F476" s="182">
        <v>271.0</v>
      </c>
      <c r="G476" s="172" t="str">
        <f>IFERROR(__xludf.DUMMYFUNCTION("TRIM(REGEXREPLACE(C476, ""[0-9]+[a-f]?\."", """"))"),"")</f>
        <v/>
      </c>
      <c r="H476" s="172" t="str">
        <f>IFERROR(__xludf.DUMMYFUNCTION("TRIM(REGEXREPLACE(D476, ""[0-9]+[a-f]?\."", """"))"),"")</f>
        <v/>
      </c>
      <c r="I476" s="172" t="str">
        <f>IFERROR(__xludf.DUMMYFUNCTION("TRIM(REGEXREPLACE(E476, ""[0-9]+[a-f]?\."", """"))"),"")</f>
        <v/>
      </c>
      <c r="J476" s="172" t="s">
        <v>2676</v>
      </c>
      <c r="K476" s="172" t="s">
        <v>2677</v>
      </c>
      <c r="L476" s="172" t="s">
        <v>2678</v>
      </c>
      <c r="M476" s="172"/>
    </row>
    <row r="477" hidden="1">
      <c r="B477" s="260"/>
      <c r="C477" s="260"/>
      <c r="D477" s="260"/>
      <c r="E477" s="260"/>
      <c r="F477" s="182">
        <v>266.0</v>
      </c>
      <c r="G477" s="172" t="str">
        <f>IFERROR(__xludf.DUMMYFUNCTION("TRIM(REGEXREPLACE(C477, ""[0-9]+[a-f]?\."", """"))"),"")</f>
        <v/>
      </c>
      <c r="H477" s="172" t="str">
        <f>IFERROR(__xludf.DUMMYFUNCTION("TRIM(REGEXREPLACE(D477, ""[0-9]+[a-f]?\."", """"))"),"")</f>
        <v/>
      </c>
      <c r="I477" s="172" t="str">
        <f>IFERROR(__xludf.DUMMYFUNCTION("TRIM(REGEXREPLACE(E477, ""[0-9]+[a-f]?\."", """"))"),"")</f>
        <v/>
      </c>
      <c r="J477" s="172" t="s">
        <v>2679</v>
      </c>
      <c r="K477" s="172" t="s">
        <v>2680</v>
      </c>
      <c r="L477" s="172" t="s">
        <v>2681</v>
      </c>
      <c r="M477" s="172"/>
    </row>
    <row r="478" hidden="1">
      <c r="A478" s="188" t="s">
        <v>68</v>
      </c>
      <c r="B478" s="266" t="s">
        <v>2682</v>
      </c>
      <c r="C478" s="265"/>
      <c r="D478" s="265"/>
      <c r="E478" s="265"/>
      <c r="F478" s="182">
        <v>243.0</v>
      </c>
      <c r="G478" s="172" t="str">
        <f>IFERROR(__xludf.DUMMYFUNCTION("TRIM(REGEXREPLACE(C478, ""[0-9]+[a-f]?\."", """"))"),"")</f>
        <v/>
      </c>
      <c r="H478" s="172" t="str">
        <f>IFERROR(__xludf.DUMMYFUNCTION("TRIM(REGEXREPLACE(D478, ""[0-9]+[a-f]?\."", """"))"),"")</f>
        <v/>
      </c>
      <c r="I478" s="172" t="str">
        <f>IFERROR(__xludf.DUMMYFUNCTION("TRIM(REGEXREPLACE(E478, ""[0-9]+[a-f]?\."", """"))"),"")</f>
        <v/>
      </c>
      <c r="J478" s="172" t="s">
        <v>2683</v>
      </c>
      <c r="K478" s="172" t="s">
        <v>2684</v>
      </c>
      <c r="L478" s="172" t="s">
        <v>2685</v>
      </c>
      <c r="M478" s="172"/>
    </row>
    <row r="479" hidden="1">
      <c r="A479" s="188" t="s">
        <v>68</v>
      </c>
      <c r="B479" s="266" t="s">
        <v>2686</v>
      </c>
      <c r="C479" s="265"/>
      <c r="D479" s="265"/>
      <c r="E479" s="265"/>
      <c r="F479" s="182">
        <v>244.0</v>
      </c>
      <c r="G479" s="172" t="str">
        <f>IFERROR(__xludf.DUMMYFUNCTION("TRIM(REGEXREPLACE(C479, ""[0-9]+[a-f]?\."", """"))"),"")</f>
        <v/>
      </c>
      <c r="H479" s="172" t="str">
        <f>IFERROR(__xludf.DUMMYFUNCTION("TRIM(REGEXREPLACE(D479, ""[0-9]+[a-f]?\."", """"))"),"")</f>
        <v/>
      </c>
      <c r="I479" s="172" t="str">
        <f>IFERROR(__xludf.DUMMYFUNCTION("TRIM(REGEXREPLACE(E479, ""[0-9]+[a-f]?\."", """"))"),"")</f>
        <v/>
      </c>
      <c r="J479" s="172" t="s">
        <v>2687</v>
      </c>
      <c r="K479" s="172" t="s">
        <v>2688</v>
      </c>
      <c r="L479" s="172" t="s">
        <v>2689</v>
      </c>
      <c r="M479" s="172"/>
    </row>
    <row r="480" hidden="1">
      <c r="B480" s="260"/>
      <c r="C480" s="260"/>
      <c r="D480" s="260"/>
      <c r="E480" s="260"/>
      <c r="F480" s="182">
        <v>269.0</v>
      </c>
      <c r="G480" s="172" t="str">
        <f>IFERROR(__xludf.DUMMYFUNCTION("TRIM(REGEXREPLACE(C480, ""[0-9]+[a-f]?\."", """"))"),"")</f>
        <v/>
      </c>
      <c r="H480" s="172" t="str">
        <f>IFERROR(__xludf.DUMMYFUNCTION("TRIM(REGEXREPLACE(D480, ""[0-9]+[a-f]?\."", """"))"),"")</f>
        <v/>
      </c>
      <c r="I480" s="172" t="str">
        <f>IFERROR(__xludf.DUMMYFUNCTION("TRIM(REGEXREPLACE(E480, ""[0-9]+[a-f]?\."", """"))"),"")</f>
        <v/>
      </c>
      <c r="J480" s="172" t="s">
        <v>2690</v>
      </c>
      <c r="K480" s="172" t="s">
        <v>2691</v>
      </c>
      <c r="L480" s="172" t="s">
        <v>2692</v>
      </c>
      <c r="M480" s="172"/>
    </row>
    <row r="481" hidden="1">
      <c r="B481" s="260"/>
      <c r="C481" s="260"/>
      <c r="D481" s="260"/>
      <c r="E481" s="260"/>
      <c r="F481" s="182">
        <v>276.0</v>
      </c>
      <c r="G481" s="172" t="str">
        <f>IFERROR(__xludf.DUMMYFUNCTION("TRIM(REGEXREPLACE(C481, ""[0-9]+[a-f]?\."", """"))"),"")</f>
        <v/>
      </c>
      <c r="H481" s="172" t="str">
        <f>IFERROR(__xludf.DUMMYFUNCTION("TRIM(REGEXREPLACE(D481, ""[0-9]+[a-f]?\."", """"))"),"")</f>
        <v/>
      </c>
      <c r="I481" s="172" t="str">
        <f>IFERROR(__xludf.DUMMYFUNCTION("TRIM(REGEXREPLACE(E481, ""[0-9]+[a-f]?\."", """"))"),"")</f>
        <v/>
      </c>
      <c r="J481" s="172" t="s">
        <v>2693</v>
      </c>
      <c r="K481" s="172" t="s">
        <v>2694</v>
      </c>
      <c r="L481" s="172" t="s">
        <v>2695</v>
      </c>
      <c r="M481" s="172"/>
    </row>
    <row r="482" hidden="1">
      <c r="B482" s="260"/>
      <c r="C482" s="260"/>
      <c r="D482" s="260"/>
      <c r="E482" s="260"/>
      <c r="F482" s="182">
        <v>270.0</v>
      </c>
      <c r="G482" s="172" t="str">
        <f>IFERROR(__xludf.DUMMYFUNCTION("TRIM(REGEXREPLACE(C482, ""[0-9]+[a-f]?\."", """"))"),"")</f>
        <v/>
      </c>
      <c r="H482" s="172" t="str">
        <f>IFERROR(__xludf.DUMMYFUNCTION("TRIM(REGEXREPLACE(D482, ""[0-9]+[a-f]?\."", """"))"),"")</f>
        <v/>
      </c>
      <c r="I482" s="172" t="str">
        <f>IFERROR(__xludf.DUMMYFUNCTION("TRIM(REGEXREPLACE(E482, ""[0-9]+[a-f]?\."", """"))"),"")</f>
        <v/>
      </c>
      <c r="J482" s="172" t="s">
        <v>2696</v>
      </c>
      <c r="K482" s="172" t="s">
        <v>2697</v>
      </c>
      <c r="L482" s="172" t="s">
        <v>2698</v>
      </c>
      <c r="M482" s="172"/>
    </row>
    <row r="483" hidden="1">
      <c r="A483" s="188" t="s">
        <v>68</v>
      </c>
      <c r="B483" s="266" t="s">
        <v>2699</v>
      </c>
      <c r="C483" s="265"/>
      <c r="D483" s="265"/>
      <c r="E483" s="265"/>
      <c r="F483" s="182">
        <v>245.0</v>
      </c>
      <c r="G483" s="172" t="str">
        <f>IFERROR(__xludf.DUMMYFUNCTION("TRIM(REGEXREPLACE(C483, ""[0-9]+[a-f]?\."", """"))"),"")</f>
        <v/>
      </c>
      <c r="H483" s="172" t="str">
        <f>IFERROR(__xludf.DUMMYFUNCTION("TRIM(REGEXREPLACE(D483, ""[0-9]+[a-f]?\."", """"))"),"")</f>
        <v/>
      </c>
      <c r="I483" s="172" t="str">
        <f>IFERROR(__xludf.DUMMYFUNCTION("TRIM(REGEXREPLACE(E483, ""[0-9]+[a-f]?\."", """"))"),"")</f>
        <v/>
      </c>
      <c r="J483" s="172" t="s">
        <v>2700</v>
      </c>
      <c r="K483" s="172" t="s">
        <v>2701</v>
      </c>
      <c r="L483" s="172" t="s">
        <v>2702</v>
      </c>
      <c r="M483" s="172"/>
    </row>
    <row r="484" hidden="1">
      <c r="A484" s="188" t="s">
        <v>68</v>
      </c>
      <c r="B484" s="266" t="s">
        <v>2703</v>
      </c>
      <c r="C484" s="265"/>
      <c r="D484" s="265"/>
      <c r="E484" s="265"/>
      <c r="F484" s="182">
        <v>246.0</v>
      </c>
      <c r="G484" s="172" t="str">
        <f>IFERROR(__xludf.DUMMYFUNCTION("TRIM(REGEXREPLACE(C484, ""[0-9]+[a-f]?\."", """"))"),"")</f>
        <v/>
      </c>
      <c r="H484" s="172" t="str">
        <f>IFERROR(__xludf.DUMMYFUNCTION("TRIM(REGEXREPLACE(D484, ""[0-9]+[a-f]?\."", """"))"),"")</f>
        <v/>
      </c>
      <c r="I484" s="172" t="str">
        <f>IFERROR(__xludf.DUMMYFUNCTION("TRIM(REGEXREPLACE(E484, ""[0-9]+[a-f]?\."", """"))"),"")</f>
        <v/>
      </c>
      <c r="J484" s="172" t="s">
        <v>2704</v>
      </c>
      <c r="K484" s="172" t="s">
        <v>2705</v>
      </c>
      <c r="L484" s="172" t="s">
        <v>2706</v>
      </c>
      <c r="M484" s="172"/>
    </row>
    <row r="485" hidden="1">
      <c r="A485" s="188" t="s">
        <v>68</v>
      </c>
      <c r="B485" s="266" t="s">
        <v>2707</v>
      </c>
      <c r="C485" s="265"/>
      <c r="D485" s="265"/>
      <c r="E485" s="265"/>
      <c r="F485" s="182">
        <v>247.0</v>
      </c>
      <c r="G485" s="172" t="str">
        <f>IFERROR(__xludf.DUMMYFUNCTION("TRIM(REGEXREPLACE(C485, ""[0-9]+[a-f]?\."", """"))"),"")</f>
        <v/>
      </c>
      <c r="H485" s="172" t="str">
        <f>IFERROR(__xludf.DUMMYFUNCTION("TRIM(REGEXREPLACE(D485, ""[0-9]+[a-f]?\."", """"))"),"")</f>
        <v/>
      </c>
      <c r="I485" s="172" t="str">
        <f>IFERROR(__xludf.DUMMYFUNCTION("TRIM(REGEXREPLACE(E485, ""[0-9]+[a-f]?\."", """"))"),"")</f>
        <v/>
      </c>
      <c r="J485" s="172" t="s">
        <v>2708</v>
      </c>
      <c r="K485" s="172" t="s">
        <v>2709</v>
      </c>
      <c r="L485" s="172" t="s">
        <v>2710</v>
      </c>
    </row>
    <row r="486" hidden="1">
      <c r="A486" s="188" t="s">
        <v>68</v>
      </c>
      <c r="B486" s="266" t="s">
        <v>2711</v>
      </c>
      <c r="C486" s="265"/>
      <c r="D486" s="265"/>
      <c r="E486" s="265"/>
      <c r="F486" s="182">
        <v>248.0</v>
      </c>
      <c r="G486" s="172" t="str">
        <f>IFERROR(__xludf.DUMMYFUNCTION("TRIM(REGEXREPLACE(C486, ""[0-9]+[a-f]?\."", """"))"),"")</f>
        <v/>
      </c>
      <c r="H486" s="172" t="str">
        <f>IFERROR(__xludf.DUMMYFUNCTION("TRIM(REGEXREPLACE(D486, ""[0-9]+[a-f]?\."", """"))"),"")</f>
        <v/>
      </c>
      <c r="I486" s="172" t="str">
        <f>IFERROR(__xludf.DUMMYFUNCTION("TRIM(REGEXREPLACE(E486, ""[0-9]+[a-f]?\."", """"))"),"")</f>
        <v/>
      </c>
      <c r="J486" s="172" t="s">
        <v>2712</v>
      </c>
      <c r="K486" s="172" t="s">
        <v>2713</v>
      </c>
      <c r="L486" s="172" t="s">
        <v>2714</v>
      </c>
    </row>
    <row r="487" hidden="1">
      <c r="A487" s="188" t="s">
        <v>68</v>
      </c>
      <c r="B487" s="266" t="s">
        <v>2715</v>
      </c>
      <c r="C487" s="265"/>
      <c r="D487" s="265"/>
      <c r="E487" s="265"/>
      <c r="F487" s="182">
        <v>249.0</v>
      </c>
      <c r="G487" s="172" t="str">
        <f>IFERROR(__xludf.DUMMYFUNCTION("TRIM(REGEXREPLACE(C487, ""[0-9]+[a-f]?\."", """"))"),"")</f>
        <v/>
      </c>
      <c r="H487" s="172" t="str">
        <f>IFERROR(__xludf.DUMMYFUNCTION("TRIM(REGEXREPLACE(D487, ""[0-9]+[a-f]?\."", """"))"),"")</f>
        <v/>
      </c>
      <c r="I487" s="172" t="str">
        <f>IFERROR(__xludf.DUMMYFUNCTION("TRIM(REGEXREPLACE(E487, ""[0-9]+[a-f]?\."", """"))"),"")</f>
        <v/>
      </c>
      <c r="J487" s="172" t="s">
        <v>2716</v>
      </c>
      <c r="K487" s="172" t="s">
        <v>2717</v>
      </c>
      <c r="L487" s="172" t="s">
        <v>2718</v>
      </c>
    </row>
    <row r="488" hidden="1">
      <c r="B488" s="260"/>
      <c r="C488" s="260"/>
      <c r="D488" s="260"/>
      <c r="E488" s="260"/>
      <c r="F488" s="182">
        <v>276.0</v>
      </c>
      <c r="G488" s="172" t="str">
        <f>IFERROR(__xludf.DUMMYFUNCTION("TRIM(REGEXREPLACE(C488, ""[0-9]+[a-f]?\."", """"))"),"")</f>
        <v/>
      </c>
      <c r="H488" s="172" t="str">
        <f>IFERROR(__xludf.DUMMYFUNCTION("TRIM(REGEXREPLACE(D488, ""[0-9]+[a-f]?\."", """"))"),"")</f>
        <v/>
      </c>
      <c r="I488" s="172" t="str">
        <f>IFERROR(__xludf.DUMMYFUNCTION("TRIM(REGEXREPLACE(E488, ""[0-9]+[a-f]?\."", """"))"),"")</f>
        <v/>
      </c>
      <c r="J488" s="172" t="s">
        <v>2719</v>
      </c>
      <c r="K488" s="172" t="s">
        <v>2720</v>
      </c>
      <c r="L488" s="172" t="s">
        <v>2721</v>
      </c>
      <c r="M488" s="172"/>
    </row>
    <row r="489" hidden="1">
      <c r="B489" s="260"/>
      <c r="C489" s="260"/>
      <c r="D489" s="260"/>
      <c r="E489" s="260"/>
      <c r="F489" s="182">
        <v>277.0</v>
      </c>
      <c r="G489" s="172" t="str">
        <f>IFERROR(__xludf.DUMMYFUNCTION("TRIM(REGEXREPLACE(C489, ""[0-9]+[a-f]?\."", """"))"),"")</f>
        <v/>
      </c>
      <c r="H489" s="172" t="str">
        <f>IFERROR(__xludf.DUMMYFUNCTION("TRIM(REGEXREPLACE(D489, ""[0-9]+[a-f]?\."", """"))"),"")</f>
        <v/>
      </c>
      <c r="I489" s="172" t="str">
        <f>IFERROR(__xludf.DUMMYFUNCTION("TRIM(REGEXREPLACE(E489, ""[0-9]+[a-f]?\."", """"))"),"")</f>
        <v/>
      </c>
      <c r="J489" s="172" t="s">
        <v>2722</v>
      </c>
      <c r="K489" s="172" t="s">
        <v>2723</v>
      </c>
      <c r="L489" s="172" t="s">
        <v>2724</v>
      </c>
      <c r="M489" s="172"/>
    </row>
    <row r="490" hidden="1">
      <c r="A490" s="188" t="s">
        <v>68</v>
      </c>
      <c r="B490" s="266" t="s">
        <v>2725</v>
      </c>
      <c r="C490" s="265"/>
      <c r="D490" s="265"/>
      <c r="E490" s="265"/>
      <c r="F490" s="182">
        <v>250.0</v>
      </c>
      <c r="G490" s="172" t="str">
        <f>IFERROR(__xludf.DUMMYFUNCTION("TRIM(REGEXREPLACE(C490, ""[0-9]+[a-f]?\."", """"))"),"")</f>
        <v/>
      </c>
      <c r="H490" s="172" t="str">
        <f>IFERROR(__xludf.DUMMYFUNCTION("TRIM(REGEXREPLACE(D490, ""[0-9]+[a-f]?\."", """"))"),"")</f>
        <v/>
      </c>
      <c r="I490" s="172" t="str">
        <f>IFERROR(__xludf.DUMMYFUNCTION("TRIM(REGEXREPLACE(E490, ""[0-9]+[a-f]?\."", """"))"),"")</f>
        <v/>
      </c>
      <c r="J490" s="172" t="s">
        <v>2726</v>
      </c>
      <c r="K490" s="172" t="s">
        <v>2727</v>
      </c>
      <c r="L490" s="172" t="s">
        <v>2728</v>
      </c>
    </row>
    <row r="491" hidden="1">
      <c r="A491" s="188" t="s">
        <v>68</v>
      </c>
      <c r="B491" s="266" t="s">
        <v>2729</v>
      </c>
      <c r="C491" s="265"/>
      <c r="D491" s="265"/>
      <c r="E491" s="265"/>
      <c r="F491" s="182">
        <v>251.0</v>
      </c>
      <c r="G491" s="172" t="str">
        <f>IFERROR(__xludf.DUMMYFUNCTION("TRIM(REGEXREPLACE(C491, ""[0-9]+[a-f]?\."", """"))"),"")</f>
        <v/>
      </c>
      <c r="H491" s="172" t="str">
        <f>IFERROR(__xludf.DUMMYFUNCTION("TRIM(REGEXREPLACE(D491, ""[0-9]+[a-f]?\."", """"))"),"")</f>
        <v/>
      </c>
      <c r="I491" s="172" t="str">
        <f>IFERROR(__xludf.DUMMYFUNCTION("TRIM(REGEXREPLACE(E491, ""[0-9]+[a-f]?\."", """"))"),"")</f>
        <v/>
      </c>
      <c r="J491" s="172" t="s">
        <v>2730</v>
      </c>
      <c r="K491" s="172" t="s">
        <v>2731</v>
      </c>
      <c r="L491" s="172" t="s">
        <v>2732</v>
      </c>
    </row>
    <row r="492" hidden="1">
      <c r="B492" s="260"/>
      <c r="C492" s="260"/>
      <c r="D492" s="260"/>
      <c r="E492" s="260"/>
      <c r="F492" s="182">
        <v>279.0</v>
      </c>
      <c r="G492" s="172" t="str">
        <f>IFERROR(__xludf.DUMMYFUNCTION("TRIM(REGEXREPLACE(C492, ""[0-9]+[a-f]?\."", """"))"),"")</f>
        <v/>
      </c>
      <c r="H492" s="172" t="str">
        <f>IFERROR(__xludf.DUMMYFUNCTION("TRIM(REGEXREPLACE(D492, ""[0-9]+[a-f]?\."", """"))"),"")</f>
        <v/>
      </c>
      <c r="I492" s="172" t="str">
        <f>IFERROR(__xludf.DUMMYFUNCTION("TRIM(REGEXREPLACE(E492, ""[0-9]+[a-f]?\."", """"))"),"")</f>
        <v/>
      </c>
      <c r="J492" s="172" t="s">
        <v>2733</v>
      </c>
      <c r="K492" s="172" t="s">
        <v>2734</v>
      </c>
      <c r="L492" s="172" t="s">
        <v>2735</v>
      </c>
    </row>
    <row r="493" hidden="1">
      <c r="B493" s="260"/>
      <c r="C493" s="260"/>
      <c r="D493" s="260"/>
      <c r="E493" s="260"/>
      <c r="F493" s="182">
        <v>280.0</v>
      </c>
      <c r="G493" s="172" t="str">
        <f>IFERROR(__xludf.DUMMYFUNCTION("TRIM(REGEXREPLACE(C493, ""[0-9]+[a-f]?\."", """"))"),"")</f>
        <v/>
      </c>
      <c r="H493" s="172" t="str">
        <f>IFERROR(__xludf.DUMMYFUNCTION("TRIM(REGEXREPLACE(D493, ""[0-9]+[a-f]?\."", """"))"),"")</f>
        <v/>
      </c>
      <c r="I493" s="172" t="str">
        <f>IFERROR(__xludf.DUMMYFUNCTION("TRIM(REGEXREPLACE(E493, ""[0-9]+[a-f]?\."", """"))"),"")</f>
        <v/>
      </c>
      <c r="J493" s="172" t="s">
        <v>2736</v>
      </c>
      <c r="K493" s="172" t="s">
        <v>2737</v>
      </c>
      <c r="L493" s="172" t="s">
        <v>2738</v>
      </c>
      <c r="M493" s="172"/>
    </row>
    <row r="494" hidden="1">
      <c r="B494" s="260"/>
      <c r="C494" s="260"/>
      <c r="D494" s="260"/>
      <c r="E494" s="260"/>
      <c r="F494" s="182">
        <v>281.0</v>
      </c>
      <c r="G494" s="172" t="str">
        <f>IFERROR(__xludf.DUMMYFUNCTION("TRIM(REGEXREPLACE(C494, ""[0-9]+[a-f]?\."", """"))"),"")</f>
        <v/>
      </c>
      <c r="H494" s="172" t="str">
        <f>IFERROR(__xludf.DUMMYFUNCTION("TRIM(REGEXREPLACE(D494, ""[0-9]+[a-f]?\."", """"))"),"")</f>
        <v/>
      </c>
      <c r="I494" s="172" t="str">
        <f>IFERROR(__xludf.DUMMYFUNCTION("TRIM(REGEXREPLACE(E494, ""[0-9]+[a-f]?\."", """"))"),"")</f>
        <v/>
      </c>
      <c r="J494" s="172" t="s">
        <v>2739</v>
      </c>
      <c r="K494" s="172" t="s">
        <v>2740</v>
      </c>
      <c r="L494" s="172" t="s">
        <v>2741</v>
      </c>
    </row>
    <row r="495" hidden="1">
      <c r="B495" s="260"/>
      <c r="C495" s="260"/>
      <c r="D495" s="260"/>
      <c r="E495" s="260"/>
      <c r="F495" s="182">
        <v>282.0</v>
      </c>
      <c r="G495" s="172" t="str">
        <f>IFERROR(__xludf.DUMMYFUNCTION("TRIM(REGEXREPLACE(C495, ""[0-9]+[a-f]?\."", """"))"),"")</f>
        <v/>
      </c>
      <c r="H495" s="172" t="str">
        <f>IFERROR(__xludf.DUMMYFUNCTION("TRIM(REGEXREPLACE(D495, ""[0-9]+[a-f]?\."", """"))"),"")</f>
        <v/>
      </c>
      <c r="I495" s="172" t="str">
        <f>IFERROR(__xludf.DUMMYFUNCTION("TRIM(REGEXREPLACE(E495, ""[0-9]+[a-f]?\."", """"))"),"")</f>
        <v/>
      </c>
      <c r="J495" s="172" t="s">
        <v>2742</v>
      </c>
      <c r="K495" s="172" t="s">
        <v>2743</v>
      </c>
      <c r="L495" s="172" t="s">
        <v>2744</v>
      </c>
      <c r="M495" s="172"/>
    </row>
    <row r="496" hidden="1">
      <c r="A496" s="188" t="s">
        <v>68</v>
      </c>
      <c r="B496" s="266" t="s">
        <v>2745</v>
      </c>
      <c r="C496" s="265"/>
      <c r="D496" s="265"/>
      <c r="E496" s="265"/>
      <c r="F496" s="182">
        <v>252.0</v>
      </c>
      <c r="G496" s="172" t="str">
        <f>IFERROR(__xludf.DUMMYFUNCTION("TRIM(REGEXREPLACE(C496, ""[0-9]+[a-f]?\."", """"))"),"")</f>
        <v/>
      </c>
      <c r="H496" s="172" t="str">
        <f>IFERROR(__xludf.DUMMYFUNCTION("TRIM(REGEXREPLACE(D496, ""[0-9]+[a-f]?\."", """"))"),"")</f>
        <v/>
      </c>
      <c r="I496" s="172" t="str">
        <f>IFERROR(__xludf.DUMMYFUNCTION("TRIM(REGEXREPLACE(E496, ""[0-9]+[a-f]?\."", """"))"),"")</f>
        <v/>
      </c>
      <c r="J496" s="172" t="s">
        <v>2746</v>
      </c>
      <c r="K496" s="172" t="s">
        <v>2747</v>
      </c>
      <c r="L496" s="172" t="s">
        <v>2748</v>
      </c>
      <c r="M496" s="172"/>
    </row>
    <row r="497" hidden="1">
      <c r="A497" s="188" t="s">
        <v>68</v>
      </c>
      <c r="B497" s="266" t="s">
        <v>2749</v>
      </c>
      <c r="C497" s="265"/>
      <c r="D497" s="265"/>
      <c r="E497" s="265"/>
      <c r="F497" s="182">
        <v>253.0</v>
      </c>
      <c r="G497" s="172" t="str">
        <f>IFERROR(__xludf.DUMMYFUNCTION("TRIM(REGEXREPLACE(C497, ""[0-9]+[a-f]?\."", """"))"),"")</f>
        <v/>
      </c>
      <c r="H497" s="172" t="str">
        <f>IFERROR(__xludf.DUMMYFUNCTION("TRIM(REGEXREPLACE(D497, ""[0-9]+[a-f]?\."", """"))"),"")</f>
        <v/>
      </c>
      <c r="I497" s="172" t="str">
        <f>IFERROR(__xludf.DUMMYFUNCTION("TRIM(REGEXREPLACE(E497, ""[0-9]+[a-f]?\."", """"))"),"")</f>
        <v/>
      </c>
      <c r="J497" s="172" t="s">
        <v>2750</v>
      </c>
      <c r="K497" s="172" t="s">
        <v>2751</v>
      </c>
      <c r="L497" s="172" t="s">
        <v>2752</v>
      </c>
      <c r="M497" s="172"/>
    </row>
    <row r="498" hidden="1">
      <c r="B498" s="260"/>
      <c r="C498" s="260"/>
      <c r="D498" s="260"/>
      <c r="E498" s="260"/>
      <c r="F498" s="182">
        <v>285.0</v>
      </c>
      <c r="G498" s="172" t="str">
        <f>IFERROR(__xludf.DUMMYFUNCTION("TRIM(REGEXREPLACE(C498, ""[0-9]+[a-f]?\."", """"))"),"")</f>
        <v/>
      </c>
      <c r="H498" s="172" t="str">
        <f>IFERROR(__xludf.DUMMYFUNCTION("TRIM(REGEXREPLACE(D498, ""[0-9]+[a-f]?\."", """"))"),"")</f>
        <v/>
      </c>
      <c r="I498" s="172" t="str">
        <f>IFERROR(__xludf.DUMMYFUNCTION("TRIM(REGEXREPLACE(E498, ""[0-9]+[a-f]?\."", """"))"),"")</f>
        <v/>
      </c>
      <c r="J498" s="172" t="s">
        <v>2753</v>
      </c>
      <c r="K498" s="172" t="s">
        <v>2754</v>
      </c>
      <c r="L498" s="172" t="s">
        <v>2755</v>
      </c>
      <c r="M498" s="172"/>
    </row>
    <row r="499" hidden="1">
      <c r="B499" s="260"/>
      <c r="C499" s="260"/>
      <c r="D499" s="260"/>
      <c r="E499" s="260"/>
      <c r="F499" s="182">
        <v>286.0</v>
      </c>
      <c r="G499" s="172" t="str">
        <f>IFERROR(__xludf.DUMMYFUNCTION("TRIM(REGEXREPLACE(C499, ""[0-9]+[a-f]?\."", """"))"),"")</f>
        <v/>
      </c>
      <c r="H499" s="172" t="str">
        <f>IFERROR(__xludf.DUMMYFUNCTION("TRIM(REGEXREPLACE(D499, ""[0-9]+[a-f]?\."", """"))"),"")</f>
        <v/>
      </c>
      <c r="I499" s="172" t="str">
        <f>IFERROR(__xludf.DUMMYFUNCTION("TRIM(REGEXREPLACE(E499, ""[0-9]+[a-f]?\."", """"))"),"")</f>
        <v/>
      </c>
      <c r="J499" s="172" t="s">
        <v>2756</v>
      </c>
      <c r="K499" s="172" t="s">
        <v>2757</v>
      </c>
      <c r="L499" s="172" t="s">
        <v>2758</v>
      </c>
      <c r="M499" s="172"/>
    </row>
    <row r="500" hidden="1">
      <c r="B500" s="260"/>
      <c r="C500" s="260"/>
      <c r="D500" s="260"/>
      <c r="E500" s="260"/>
      <c r="F500" s="182">
        <v>287.0</v>
      </c>
      <c r="G500" s="172" t="str">
        <f>IFERROR(__xludf.DUMMYFUNCTION("TRIM(REGEXREPLACE(C500, ""[0-9]+[a-f]?\."", """"))"),"")</f>
        <v/>
      </c>
      <c r="H500" s="172" t="str">
        <f>IFERROR(__xludf.DUMMYFUNCTION("TRIM(REGEXREPLACE(D500, ""[0-9]+[a-f]?\."", """"))"),"")</f>
        <v/>
      </c>
      <c r="I500" s="172" t="str">
        <f>IFERROR(__xludf.DUMMYFUNCTION("TRIM(REGEXREPLACE(E500, ""[0-9]+[a-f]?\."", """"))"),"")</f>
        <v/>
      </c>
      <c r="J500" s="172" t="s">
        <v>2759</v>
      </c>
      <c r="K500" s="172" t="s">
        <v>2760</v>
      </c>
      <c r="L500" s="172" t="s">
        <v>2761</v>
      </c>
      <c r="M500" s="172"/>
    </row>
    <row r="501" hidden="1">
      <c r="A501" s="188" t="s">
        <v>68</v>
      </c>
      <c r="B501" s="266" t="s">
        <v>2762</v>
      </c>
      <c r="C501" s="265"/>
      <c r="D501" s="265"/>
      <c r="E501" s="265"/>
      <c r="F501" s="182">
        <v>254.0</v>
      </c>
      <c r="G501" s="172" t="str">
        <f>IFERROR(__xludf.DUMMYFUNCTION("TRIM(REGEXREPLACE(C501, ""[0-9]+[a-f]?\."", """"))"),"")</f>
        <v/>
      </c>
      <c r="H501" s="172" t="str">
        <f>IFERROR(__xludf.DUMMYFUNCTION("TRIM(REGEXREPLACE(D501, ""[0-9]+[a-f]?\."", """"))"),"")</f>
        <v/>
      </c>
      <c r="I501" s="172" t="str">
        <f>IFERROR(__xludf.DUMMYFUNCTION("TRIM(REGEXREPLACE(E501, ""[0-9]+[a-f]?\."", """"))"),"")</f>
        <v/>
      </c>
      <c r="J501" s="172" t="s">
        <v>2763</v>
      </c>
      <c r="K501" s="172" t="s">
        <v>2764</v>
      </c>
      <c r="L501" s="172" t="s">
        <v>2765</v>
      </c>
      <c r="M501" s="172"/>
    </row>
    <row r="502" hidden="1">
      <c r="A502" s="188" t="s">
        <v>68</v>
      </c>
      <c r="B502" s="266" t="s">
        <v>2766</v>
      </c>
      <c r="C502" s="265"/>
      <c r="D502" s="265"/>
      <c r="E502" s="265"/>
      <c r="F502" s="182">
        <v>255.0</v>
      </c>
      <c r="G502" s="172" t="str">
        <f>IFERROR(__xludf.DUMMYFUNCTION("TRIM(REGEXREPLACE(C502, ""[0-9]+[a-f]?\."", """"))"),"")</f>
        <v/>
      </c>
      <c r="H502" s="172" t="str">
        <f>IFERROR(__xludf.DUMMYFUNCTION("TRIM(REGEXREPLACE(D502, ""[0-9]+[a-f]?\."", """"))"),"")</f>
        <v/>
      </c>
      <c r="I502" s="172" t="str">
        <f>IFERROR(__xludf.DUMMYFUNCTION("TRIM(REGEXREPLACE(E502, ""[0-9]+[a-f]?\."", """"))"),"")</f>
        <v/>
      </c>
      <c r="J502" s="172" t="s">
        <v>2767</v>
      </c>
      <c r="K502" s="172" t="s">
        <v>2768</v>
      </c>
      <c r="L502" s="172" t="s">
        <v>2769</v>
      </c>
    </row>
    <row r="503" hidden="1">
      <c r="A503" s="188" t="s">
        <v>68</v>
      </c>
      <c r="B503" s="266" t="s">
        <v>2770</v>
      </c>
      <c r="C503" s="265"/>
      <c r="D503" s="265"/>
      <c r="E503" s="265"/>
      <c r="F503" s="182">
        <v>256.0</v>
      </c>
      <c r="G503" s="172" t="str">
        <f>IFERROR(__xludf.DUMMYFUNCTION("TRIM(REGEXREPLACE(C503, ""[0-9]+[a-f]?\."", """"))"),"")</f>
        <v/>
      </c>
      <c r="H503" s="172" t="str">
        <f>IFERROR(__xludf.DUMMYFUNCTION("TRIM(REGEXREPLACE(D503, ""[0-9]+[a-f]?\."", """"))"),"")</f>
        <v/>
      </c>
      <c r="I503" s="172" t="str">
        <f>IFERROR(__xludf.DUMMYFUNCTION("TRIM(REGEXREPLACE(E503, ""[0-9]+[a-f]?\."", """"))"),"")</f>
        <v/>
      </c>
      <c r="J503" s="172" t="s">
        <v>2771</v>
      </c>
      <c r="K503" s="172" t="s">
        <v>2772</v>
      </c>
      <c r="L503" s="172" t="s">
        <v>2773</v>
      </c>
    </row>
    <row r="504" hidden="1">
      <c r="A504" s="188" t="s">
        <v>68</v>
      </c>
      <c r="B504" s="266" t="s">
        <v>2774</v>
      </c>
      <c r="C504" s="265"/>
      <c r="D504" s="265"/>
      <c r="E504" s="265"/>
      <c r="F504" s="182">
        <v>257.0</v>
      </c>
      <c r="G504" s="172" t="str">
        <f>IFERROR(__xludf.DUMMYFUNCTION("TRIM(REGEXREPLACE(C504, ""[0-9]+[a-f]?\."", """"))"),"")</f>
        <v/>
      </c>
      <c r="H504" s="172" t="str">
        <f>IFERROR(__xludf.DUMMYFUNCTION("TRIM(REGEXREPLACE(D504, ""[0-9]+[a-f]?\."", """"))"),"")</f>
        <v/>
      </c>
      <c r="I504" s="172" t="str">
        <f>IFERROR(__xludf.DUMMYFUNCTION("TRIM(REGEXREPLACE(E504, ""[0-9]+[a-f]?\."", """"))"),"")</f>
        <v/>
      </c>
      <c r="J504" s="172" t="s">
        <v>2775</v>
      </c>
      <c r="K504" s="172" t="s">
        <v>2776</v>
      </c>
      <c r="L504" s="172" t="s">
        <v>2777</v>
      </c>
    </row>
    <row r="505" hidden="1">
      <c r="A505" s="188" t="s">
        <v>68</v>
      </c>
      <c r="B505" s="266" t="s">
        <v>2778</v>
      </c>
      <c r="C505" s="265"/>
      <c r="D505" s="265"/>
      <c r="E505" s="265"/>
      <c r="F505" s="182">
        <v>258.0</v>
      </c>
      <c r="G505" s="172" t="str">
        <f>IFERROR(__xludf.DUMMYFUNCTION("TRIM(REGEXREPLACE(C505, ""[0-9]+[a-f]?\."", """"))"),"")</f>
        <v/>
      </c>
      <c r="H505" s="172" t="str">
        <f>IFERROR(__xludf.DUMMYFUNCTION("TRIM(REGEXREPLACE(D505, ""[0-9]+[a-f]?\."", """"))"),"")</f>
        <v/>
      </c>
      <c r="I505" s="172" t="str">
        <f>IFERROR(__xludf.DUMMYFUNCTION("TRIM(REGEXREPLACE(E505, ""[0-9]+[a-f]?\."", """"))"),"")</f>
        <v/>
      </c>
      <c r="J505" s="172" t="s">
        <v>2779</v>
      </c>
      <c r="K505" s="172" t="s">
        <v>2780</v>
      </c>
      <c r="L505" s="172" t="s">
        <v>2781</v>
      </c>
    </row>
    <row r="506" hidden="1">
      <c r="A506" s="188" t="s">
        <v>68</v>
      </c>
      <c r="B506" s="266" t="s">
        <v>2782</v>
      </c>
      <c r="C506" s="265"/>
      <c r="D506" s="265"/>
      <c r="E506" s="265"/>
      <c r="F506" s="182">
        <v>259.0</v>
      </c>
      <c r="G506" s="172" t="str">
        <f>IFERROR(__xludf.DUMMYFUNCTION("TRIM(REGEXREPLACE(C506, ""[0-9]+[a-f]?\."", """"))"),"")</f>
        <v/>
      </c>
      <c r="H506" s="172" t="str">
        <f>IFERROR(__xludf.DUMMYFUNCTION("TRIM(REGEXREPLACE(D506, ""[0-9]+[a-f]?\."", """"))"),"")</f>
        <v/>
      </c>
      <c r="I506" s="172" t="str">
        <f>IFERROR(__xludf.DUMMYFUNCTION("TRIM(REGEXREPLACE(E506, ""[0-9]+[a-f]?\."", """"))"),"")</f>
        <v/>
      </c>
      <c r="J506" s="172" t="s">
        <v>2783</v>
      </c>
      <c r="K506" s="172" t="s">
        <v>2784</v>
      </c>
      <c r="L506" s="172" t="s">
        <v>2785</v>
      </c>
      <c r="M506" s="172"/>
    </row>
    <row r="507" hidden="1">
      <c r="A507" s="188" t="s">
        <v>68</v>
      </c>
      <c r="B507" s="266" t="s">
        <v>2786</v>
      </c>
      <c r="C507" s="265"/>
      <c r="D507" s="265"/>
      <c r="E507" s="265"/>
      <c r="F507" s="182">
        <v>260.0</v>
      </c>
      <c r="G507" s="172" t="str">
        <f>IFERROR(__xludf.DUMMYFUNCTION("TRIM(REGEXREPLACE(C507, ""[0-9]+[a-f]?\."", """"))"),"")</f>
        <v/>
      </c>
      <c r="H507" s="172" t="str">
        <f>IFERROR(__xludf.DUMMYFUNCTION("TRIM(REGEXREPLACE(D507, ""[0-9]+[a-f]?\."", """"))"),"")</f>
        <v/>
      </c>
      <c r="I507" s="172" t="str">
        <f>IFERROR(__xludf.DUMMYFUNCTION("TRIM(REGEXREPLACE(E507, ""[0-9]+[a-f]?\."", """"))"),"")</f>
        <v/>
      </c>
      <c r="J507" s="172" t="s">
        <v>2787</v>
      </c>
      <c r="K507" s="172" t="s">
        <v>2788</v>
      </c>
      <c r="L507" s="172" t="s">
        <v>2789</v>
      </c>
      <c r="M507" s="172"/>
    </row>
    <row r="508" hidden="1">
      <c r="A508" s="188" t="s">
        <v>68</v>
      </c>
      <c r="B508" s="266" t="s">
        <v>2790</v>
      </c>
      <c r="C508" s="265"/>
      <c r="D508" s="265"/>
      <c r="E508" s="265"/>
      <c r="F508" s="182">
        <v>261.0</v>
      </c>
      <c r="G508" s="172" t="str">
        <f>IFERROR(__xludf.DUMMYFUNCTION("TRIM(REGEXREPLACE(C508, ""[0-9]+[a-f]?\."", """"))"),"")</f>
        <v/>
      </c>
      <c r="H508" s="172" t="str">
        <f>IFERROR(__xludf.DUMMYFUNCTION("TRIM(REGEXREPLACE(D508, ""[0-9]+[a-f]?\."", """"))"),"")</f>
        <v/>
      </c>
      <c r="I508" s="172" t="str">
        <f>IFERROR(__xludf.DUMMYFUNCTION("TRIM(REGEXREPLACE(E508, ""[0-9]+[a-f]?\."", """"))"),"")</f>
        <v/>
      </c>
      <c r="J508" s="172" t="s">
        <v>2791</v>
      </c>
      <c r="K508" s="172" t="s">
        <v>2792</v>
      </c>
      <c r="L508" s="172" t="s">
        <v>2793</v>
      </c>
      <c r="M508" s="172"/>
    </row>
    <row r="509" hidden="1">
      <c r="C509" s="260"/>
      <c r="D509" s="260"/>
      <c r="E509" s="260"/>
      <c r="F509" s="182">
        <v>295.0</v>
      </c>
      <c r="G509" s="172" t="str">
        <f>IFERROR(__xludf.DUMMYFUNCTION("TRIM(REGEXREPLACE(C509, ""[0-9]+[a-f]?\."", """"))"),"")</f>
        <v/>
      </c>
      <c r="H509" s="172" t="str">
        <f>IFERROR(__xludf.DUMMYFUNCTION("TRIM(REGEXREPLACE(D509, ""[0-9]+[a-f]?\."", """"))"),"")</f>
        <v/>
      </c>
      <c r="I509" s="172" t="str">
        <f>IFERROR(__xludf.DUMMYFUNCTION("TRIM(REGEXREPLACE(E509, ""[0-9]+[a-f]?\."", """"))"),"")</f>
        <v/>
      </c>
      <c r="J509" s="172" t="s">
        <v>2794</v>
      </c>
      <c r="K509" s="172" t="s">
        <v>2795</v>
      </c>
      <c r="L509" s="172" t="s">
        <v>2796</v>
      </c>
      <c r="M509" s="172"/>
    </row>
    <row r="510" hidden="1">
      <c r="C510" s="260"/>
      <c r="D510" s="260"/>
      <c r="E510" s="260"/>
      <c r="F510" s="182">
        <v>296.0</v>
      </c>
      <c r="G510" s="172" t="str">
        <f>IFERROR(__xludf.DUMMYFUNCTION("TRIM(REGEXREPLACE(C510, ""[0-9]+[a-f]?\."", """"))"),"")</f>
        <v/>
      </c>
      <c r="H510" s="172" t="str">
        <f>IFERROR(__xludf.DUMMYFUNCTION("TRIM(REGEXREPLACE(D510, ""[0-9]+[a-f]?\."", """"))"),"")</f>
        <v/>
      </c>
      <c r="I510" s="172" t="str">
        <f>IFERROR(__xludf.DUMMYFUNCTION("TRIM(REGEXREPLACE(E510, ""[0-9]+[a-f]?\."", """"))"),"")</f>
        <v/>
      </c>
      <c r="J510" s="172" t="s">
        <v>2797</v>
      </c>
      <c r="K510" s="172" t="s">
        <v>2798</v>
      </c>
      <c r="L510" s="172" t="s">
        <v>2799</v>
      </c>
      <c r="M510" s="172"/>
    </row>
    <row r="511" hidden="1">
      <c r="A511" s="188" t="s">
        <v>68</v>
      </c>
      <c r="B511" s="266" t="s">
        <v>2800</v>
      </c>
      <c r="C511" s="265"/>
      <c r="D511" s="265"/>
      <c r="E511" s="265"/>
      <c r="F511" s="182">
        <v>262.0</v>
      </c>
      <c r="G511" s="172" t="str">
        <f>IFERROR(__xludf.DUMMYFUNCTION("TRIM(REGEXREPLACE(C511, ""[0-9]+[a-f]?\."", """"))"),"")</f>
        <v/>
      </c>
      <c r="H511" s="172" t="str">
        <f>IFERROR(__xludf.DUMMYFUNCTION("TRIM(REGEXREPLACE(D511, ""[0-9]+[a-f]?\."", """"))"),"")</f>
        <v/>
      </c>
      <c r="I511" s="172" t="str">
        <f>IFERROR(__xludf.DUMMYFUNCTION("TRIM(REGEXREPLACE(E511, ""[0-9]+[a-f]?\."", """"))"),"")</f>
        <v/>
      </c>
      <c r="J511" s="172" t="s">
        <v>2801</v>
      </c>
      <c r="K511" s="172" t="s">
        <v>2802</v>
      </c>
      <c r="L511" s="172" t="s">
        <v>2803</v>
      </c>
      <c r="M511" s="172"/>
    </row>
    <row r="512" hidden="1">
      <c r="A512" s="188" t="s">
        <v>68</v>
      </c>
      <c r="B512" s="266" t="s">
        <v>2804</v>
      </c>
      <c r="C512" s="265"/>
      <c r="D512" s="265"/>
      <c r="E512" s="265"/>
      <c r="F512" s="182">
        <v>263.0</v>
      </c>
      <c r="G512" s="172" t="str">
        <f>IFERROR(__xludf.DUMMYFUNCTION("TRIM(REGEXREPLACE(C512, ""[0-9]+[a-f]?\."", """"))"),"")</f>
        <v/>
      </c>
      <c r="H512" s="172" t="str">
        <f>IFERROR(__xludf.DUMMYFUNCTION("TRIM(REGEXREPLACE(D512, ""[0-9]+[a-f]?\."", """"))"),"")</f>
        <v/>
      </c>
      <c r="I512" s="172" t="str">
        <f>IFERROR(__xludf.DUMMYFUNCTION("TRIM(REGEXREPLACE(E512, ""[0-9]+[a-f]?\."", """"))"),"")</f>
        <v/>
      </c>
      <c r="J512" s="172" t="s">
        <v>2805</v>
      </c>
      <c r="K512" s="172" t="s">
        <v>2806</v>
      </c>
      <c r="L512" s="172" t="s">
        <v>2807</v>
      </c>
      <c r="M512" s="172"/>
    </row>
    <row r="513" hidden="1">
      <c r="A513" s="188" t="s">
        <v>68</v>
      </c>
      <c r="B513" s="266" t="s">
        <v>2808</v>
      </c>
      <c r="C513" s="265"/>
      <c r="D513" s="265"/>
      <c r="E513" s="265"/>
      <c r="F513" s="182">
        <v>264.0</v>
      </c>
      <c r="G513" s="172" t="str">
        <f>IFERROR(__xludf.DUMMYFUNCTION("TRIM(REGEXREPLACE(C513, ""[0-9]+[a-f]?\."", """"))"),"")</f>
        <v/>
      </c>
      <c r="H513" s="172" t="str">
        <f>IFERROR(__xludf.DUMMYFUNCTION("TRIM(REGEXREPLACE(D513, ""[0-9]+[a-f]?\."", """"))"),"")</f>
        <v/>
      </c>
      <c r="I513" s="172" t="str">
        <f>IFERROR(__xludf.DUMMYFUNCTION("TRIM(REGEXREPLACE(E513, ""[0-9]+[a-f]?\."", """"))"),"")</f>
        <v/>
      </c>
      <c r="J513" s="172" t="s">
        <v>2809</v>
      </c>
      <c r="K513" s="172" t="s">
        <v>2810</v>
      </c>
      <c r="L513" s="172" t="s">
        <v>2811</v>
      </c>
      <c r="M513" s="172"/>
    </row>
    <row r="514" hidden="1">
      <c r="C514" s="260"/>
      <c r="D514" s="260"/>
      <c r="E514" s="260"/>
      <c r="F514" s="182">
        <v>298.0</v>
      </c>
      <c r="G514" s="172" t="str">
        <f>IFERROR(__xludf.DUMMYFUNCTION("TRIM(REGEXREPLACE(C514, ""[0-9]+[a-f]?\."", """"))"),"")</f>
        <v/>
      </c>
      <c r="H514" s="172" t="str">
        <f>IFERROR(__xludf.DUMMYFUNCTION("TRIM(REGEXREPLACE(D514, ""[0-9]+[a-f]?\."", """"))"),"")</f>
        <v/>
      </c>
      <c r="I514" s="172" t="str">
        <f>IFERROR(__xludf.DUMMYFUNCTION("TRIM(REGEXREPLACE(E514, ""[0-9]+[a-f]?\."", """"))"),"")</f>
        <v/>
      </c>
      <c r="J514" s="172" t="s">
        <v>2812</v>
      </c>
      <c r="K514" s="172" t="s">
        <v>2813</v>
      </c>
      <c r="L514" s="172" t="s">
        <v>2814</v>
      </c>
    </row>
    <row r="515" hidden="1">
      <c r="C515" s="260"/>
      <c r="D515" s="260"/>
      <c r="E515" s="260"/>
      <c r="F515" s="182">
        <v>299.0</v>
      </c>
      <c r="G515" s="172" t="str">
        <f>IFERROR(__xludf.DUMMYFUNCTION("TRIM(REGEXREPLACE(C515, ""[0-9]+[a-f]?\."", """"))"),"")</f>
        <v/>
      </c>
      <c r="H515" s="172" t="str">
        <f>IFERROR(__xludf.DUMMYFUNCTION("TRIM(REGEXREPLACE(D515, ""[0-9]+[a-f]?\."", """"))"),"")</f>
        <v/>
      </c>
      <c r="I515" s="172" t="str">
        <f>IFERROR(__xludf.DUMMYFUNCTION("TRIM(REGEXREPLACE(E515, ""[0-9]+[a-f]?\."", """"))"),"")</f>
        <v/>
      </c>
      <c r="J515" s="172" t="s">
        <v>2815</v>
      </c>
      <c r="K515" s="172" t="s">
        <v>2816</v>
      </c>
      <c r="L515" s="172" t="s">
        <v>2817</v>
      </c>
    </row>
    <row r="516" hidden="1">
      <c r="A516" s="188" t="s">
        <v>68</v>
      </c>
      <c r="B516" s="266" t="s">
        <v>2818</v>
      </c>
      <c r="C516" s="265"/>
      <c r="D516" s="265"/>
      <c r="E516" s="265"/>
      <c r="F516" s="182">
        <v>265.0</v>
      </c>
      <c r="G516" s="172" t="str">
        <f>IFERROR(__xludf.DUMMYFUNCTION("TRIM(REGEXREPLACE(C516, ""[0-9]+[a-f]?\."", """"))"),"")</f>
        <v/>
      </c>
      <c r="H516" s="172" t="str">
        <f>IFERROR(__xludf.DUMMYFUNCTION("TRIM(REGEXREPLACE(D516, ""[0-9]+[a-f]?\."", """"))"),"")</f>
        <v/>
      </c>
      <c r="I516" s="172" t="str">
        <f>IFERROR(__xludf.DUMMYFUNCTION("TRIM(REGEXREPLACE(E516, ""[0-9]+[a-f]?\."", """"))"),"")</f>
        <v/>
      </c>
      <c r="J516" s="172" t="s">
        <v>2819</v>
      </c>
      <c r="K516" s="172" t="s">
        <v>2820</v>
      </c>
      <c r="L516" s="172" t="s">
        <v>2821</v>
      </c>
    </row>
    <row r="517" hidden="1">
      <c r="C517" s="260"/>
      <c r="D517" s="260"/>
      <c r="E517" s="260"/>
      <c r="F517" s="182">
        <v>300.0</v>
      </c>
      <c r="G517" s="172" t="str">
        <f>IFERROR(__xludf.DUMMYFUNCTION("TRIM(REGEXREPLACE(C517, ""[0-9]+[a-f]?\."", """"))"),"")</f>
        <v/>
      </c>
      <c r="H517" s="172" t="str">
        <f>IFERROR(__xludf.DUMMYFUNCTION("TRIM(REGEXREPLACE(D517, ""[0-9]+[a-f]?\."", """"))"),"")</f>
        <v/>
      </c>
      <c r="I517" s="172" t="str">
        <f>IFERROR(__xludf.DUMMYFUNCTION("TRIM(REGEXREPLACE(E517, ""[0-9]+[a-f]?\."", """"))"),"")</f>
        <v/>
      </c>
      <c r="J517" s="172" t="s">
        <v>2822</v>
      </c>
      <c r="K517" s="172" t="s">
        <v>2823</v>
      </c>
      <c r="L517" s="172" t="s">
        <v>2824</v>
      </c>
    </row>
    <row r="518" hidden="1">
      <c r="A518" s="188" t="s">
        <v>68</v>
      </c>
      <c r="B518" s="266" t="s">
        <v>2825</v>
      </c>
      <c r="C518" s="265"/>
      <c r="D518" s="265"/>
      <c r="E518" s="265"/>
      <c r="F518" s="182">
        <v>266.0</v>
      </c>
      <c r="G518" s="172" t="str">
        <f>IFERROR(__xludf.DUMMYFUNCTION("TRIM(REGEXREPLACE(C518, ""[0-9]+[a-f]?\."", """"))"),"")</f>
        <v/>
      </c>
      <c r="H518" s="172" t="str">
        <f>IFERROR(__xludf.DUMMYFUNCTION("TRIM(REGEXREPLACE(D518, ""[0-9]+[a-f]?\."", """"))"),"")</f>
        <v/>
      </c>
      <c r="I518" s="172" t="str">
        <f>IFERROR(__xludf.DUMMYFUNCTION("TRIM(REGEXREPLACE(E518, ""[0-9]+[a-f]?\."", """"))"),"")</f>
        <v/>
      </c>
      <c r="J518" s="172" t="s">
        <v>2826</v>
      </c>
      <c r="K518" s="172" t="s">
        <v>2827</v>
      </c>
      <c r="L518" s="172" t="s">
        <v>2828</v>
      </c>
    </row>
    <row r="519" hidden="1">
      <c r="B519" s="260"/>
      <c r="C519" s="260"/>
      <c r="D519" s="260"/>
      <c r="E519" s="260"/>
      <c r="F519" s="182">
        <v>301.0</v>
      </c>
      <c r="G519" s="172" t="str">
        <f>IFERROR(__xludf.DUMMYFUNCTION("TRIM(REGEXREPLACE(C519, ""[0-9]+[a-f]?\."", """"))"),"")</f>
        <v/>
      </c>
      <c r="H519" s="172" t="str">
        <f>IFERROR(__xludf.DUMMYFUNCTION("TRIM(REGEXREPLACE(D519, ""[0-9]+[a-f]?\."", """"))"),"")</f>
        <v/>
      </c>
      <c r="I519" s="172" t="str">
        <f>IFERROR(__xludf.DUMMYFUNCTION("TRIM(REGEXREPLACE(E519, ""[0-9]+[a-f]?\."", """"))"),"")</f>
        <v/>
      </c>
      <c r="J519" s="172" t="s">
        <v>2829</v>
      </c>
      <c r="K519" s="172" t="s">
        <v>2830</v>
      </c>
      <c r="L519" s="172" t="s">
        <v>2831</v>
      </c>
      <c r="M519" s="172"/>
    </row>
    <row r="520" hidden="1">
      <c r="B520" s="260"/>
      <c r="C520" s="260"/>
      <c r="D520" s="260"/>
      <c r="E520" s="260"/>
      <c r="F520" s="182">
        <v>302.0</v>
      </c>
      <c r="G520" s="172" t="str">
        <f>IFERROR(__xludf.DUMMYFUNCTION("TRIM(REGEXREPLACE(C520, ""[0-9]+[a-f]?\."", """"))"),"")</f>
        <v/>
      </c>
      <c r="H520" s="172" t="str">
        <f>IFERROR(__xludf.DUMMYFUNCTION("TRIM(REGEXREPLACE(D520, ""[0-9]+[a-f]?\."", """"))"),"")</f>
        <v/>
      </c>
      <c r="I520" s="172" t="str">
        <f>IFERROR(__xludf.DUMMYFUNCTION("TRIM(REGEXREPLACE(E520, ""[0-9]+[a-f]?\."", """"))"),"")</f>
        <v/>
      </c>
      <c r="J520" s="172" t="s">
        <v>2832</v>
      </c>
      <c r="K520" s="172" t="s">
        <v>2833</v>
      </c>
      <c r="L520" s="172" t="s">
        <v>2834</v>
      </c>
      <c r="M520" s="172"/>
    </row>
    <row r="521" hidden="1">
      <c r="B521" s="260"/>
      <c r="C521" s="260"/>
      <c r="D521" s="260"/>
      <c r="E521" s="260"/>
      <c r="F521" s="182">
        <v>303.0</v>
      </c>
      <c r="G521" s="172" t="str">
        <f>IFERROR(__xludf.DUMMYFUNCTION("TRIM(REGEXREPLACE(C521, ""[0-9]+[a-f]?\."", """"))"),"")</f>
        <v/>
      </c>
      <c r="H521" s="172" t="str">
        <f>IFERROR(__xludf.DUMMYFUNCTION("TRIM(REGEXREPLACE(D521, ""[0-9]+[a-f]?\."", """"))"),"")</f>
        <v/>
      </c>
      <c r="I521" s="172" t="str">
        <f>IFERROR(__xludf.DUMMYFUNCTION("TRIM(REGEXREPLACE(E521, ""[0-9]+[a-f]?\."", """"))"),"")</f>
        <v/>
      </c>
      <c r="J521" s="172" t="s">
        <v>2835</v>
      </c>
      <c r="K521" s="172" t="s">
        <v>2836</v>
      </c>
      <c r="L521" s="172" t="s">
        <v>2837</v>
      </c>
      <c r="M521" s="172"/>
    </row>
    <row r="522" hidden="1">
      <c r="B522" s="260"/>
      <c r="C522" s="260"/>
      <c r="D522" s="260"/>
      <c r="E522" s="260"/>
      <c r="F522" s="182">
        <v>306.0</v>
      </c>
      <c r="G522" s="172" t="str">
        <f>IFERROR(__xludf.DUMMYFUNCTION("TRIM(REGEXREPLACE(C522, ""[0-9]+[a-f]?\."", """"))"),"")</f>
        <v/>
      </c>
      <c r="H522" s="172" t="str">
        <f>IFERROR(__xludf.DUMMYFUNCTION("TRIM(REGEXREPLACE(D522, ""[0-9]+[a-f]?\."", """"))"),"")</f>
        <v/>
      </c>
      <c r="I522" s="172" t="str">
        <f>IFERROR(__xludf.DUMMYFUNCTION("TRIM(REGEXREPLACE(E522, ""[0-9]+[a-f]?\."", """"))"),"")</f>
        <v/>
      </c>
      <c r="J522" s="172" t="s">
        <v>2838</v>
      </c>
      <c r="K522" s="172" t="s">
        <v>2839</v>
      </c>
      <c r="L522" s="172" t="s">
        <v>2840</v>
      </c>
      <c r="M522" s="172"/>
    </row>
    <row r="523" hidden="1">
      <c r="B523" s="260"/>
      <c r="C523" s="260"/>
      <c r="D523" s="260"/>
      <c r="E523" s="260"/>
      <c r="F523" s="182">
        <v>304.0</v>
      </c>
      <c r="G523" s="172" t="str">
        <f>IFERROR(__xludf.DUMMYFUNCTION("TRIM(REGEXREPLACE(C523, ""[0-9]+[a-f]?\."", """"))"),"")</f>
        <v/>
      </c>
      <c r="H523" s="172" t="str">
        <f>IFERROR(__xludf.DUMMYFUNCTION("TRIM(REGEXREPLACE(D523, ""[0-9]+[a-f]?\."", """"))"),"")</f>
        <v/>
      </c>
      <c r="I523" s="172" t="str">
        <f>IFERROR(__xludf.DUMMYFUNCTION("TRIM(REGEXREPLACE(E523, ""[0-9]+[a-f]?\."", """"))"),"")</f>
        <v/>
      </c>
      <c r="J523" s="172" t="s">
        <v>2841</v>
      </c>
      <c r="K523" s="172" t="s">
        <v>2842</v>
      </c>
      <c r="L523" s="172" t="s">
        <v>2843</v>
      </c>
      <c r="M523" s="172"/>
    </row>
    <row r="524" hidden="1">
      <c r="A524" s="188" t="s">
        <v>68</v>
      </c>
      <c r="B524" s="266" t="s">
        <v>2844</v>
      </c>
      <c r="C524" s="265"/>
      <c r="D524" s="265"/>
      <c r="E524" s="265"/>
      <c r="F524" s="182">
        <v>267.0</v>
      </c>
      <c r="G524" s="172" t="str">
        <f>IFERROR(__xludf.DUMMYFUNCTION("TRIM(REGEXREPLACE(C524, ""[0-9]+[a-f]?\."", """"))"),"")</f>
        <v/>
      </c>
      <c r="H524" s="172" t="str">
        <f>IFERROR(__xludf.DUMMYFUNCTION("TRIM(REGEXREPLACE(D524, ""[0-9]+[a-f]?\."", """"))"),"")</f>
        <v/>
      </c>
      <c r="I524" s="172" t="str">
        <f>IFERROR(__xludf.DUMMYFUNCTION("TRIM(REGEXREPLACE(E524, ""[0-9]+[a-f]?\."", """"))"),"")</f>
        <v/>
      </c>
      <c r="J524" s="172" t="s">
        <v>2845</v>
      </c>
      <c r="K524" s="172" t="s">
        <v>2846</v>
      </c>
      <c r="L524" s="172" t="s">
        <v>2847</v>
      </c>
      <c r="M524" s="172"/>
    </row>
    <row r="525" hidden="1">
      <c r="A525" s="188" t="s">
        <v>68</v>
      </c>
      <c r="B525" s="266" t="s">
        <v>2848</v>
      </c>
      <c r="C525" s="265"/>
      <c r="D525" s="265"/>
      <c r="E525" s="265"/>
      <c r="F525" s="182">
        <v>268.0</v>
      </c>
      <c r="G525" s="172" t="str">
        <f>IFERROR(__xludf.DUMMYFUNCTION("TRIM(REGEXREPLACE(C525, ""[0-9]+[a-f]?\."", """"))"),"")</f>
        <v/>
      </c>
      <c r="H525" s="172" t="str">
        <f>IFERROR(__xludf.DUMMYFUNCTION("TRIM(REGEXREPLACE(D525, ""[0-9]+[a-f]?\."", """"))"),"")</f>
        <v/>
      </c>
      <c r="I525" s="172" t="str">
        <f>IFERROR(__xludf.DUMMYFUNCTION("TRIM(REGEXREPLACE(E525, ""[0-9]+[a-f]?\."", """"))"),"")</f>
        <v/>
      </c>
      <c r="J525" s="172" t="s">
        <v>2849</v>
      </c>
      <c r="K525" s="172" t="s">
        <v>2850</v>
      </c>
      <c r="L525" s="172" t="s">
        <v>2851</v>
      </c>
      <c r="M525" s="172"/>
    </row>
    <row r="526" hidden="1">
      <c r="A526" s="188" t="s">
        <v>68</v>
      </c>
      <c r="B526" s="266" t="s">
        <v>2852</v>
      </c>
      <c r="C526" s="265"/>
      <c r="D526" s="265"/>
      <c r="E526" s="265"/>
      <c r="F526" s="182">
        <v>269.0</v>
      </c>
      <c r="G526" s="172" t="str">
        <f>IFERROR(__xludf.DUMMYFUNCTION("TRIM(REGEXREPLACE(C526, ""[0-9]+[a-f]?\."", """"))"),"")</f>
        <v/>
      </c>
      <c r="H526" s="172" t="str">
        <f>IFERROR(__xludf.DUMMYFUNCTION("TRIM(REGEXREPLACE(D526, ""[0-9]+[a-f]?\."", """"))"),"")</f>
        <v/>
      </c>
      <c r="I526" s="172" t="str">
        <f>IFERROR(__xludf.DUMMYFUNCTION("TRIM(REGEXREPLACE(E526, ""[0-9]+[a-f]?\."", """"))"),"")</f>
        <v/>
      </c>
      <c r="J526" s="172" t="s">
        <v>2853</v>
      </c>
      <c r="K526" s="172" t="s">
        <v>2854</v>
      </c>
      <c r="L526" s="172" t="s">
        <v>2855</v>
      </c>
      <c r="M526" s="172"/>
    </row>
    <row r="527" hidden="1">
      <c r="A527" s="188" t="s">
        <v>68</v>
      </c>
      <c r="B527" s="266" t="s">
        <v>2856</v>
      </c>
      <c r="C527" s="265"/>
      <c r="D527" s="265"/>
      <c r="E527" s="265"/>
      <c r="F527" s="182">
        <v>270.0</v>
      </c>
      <c r="G527" s="172" t="str">
        <f>IFERROR(__xludf.DUMMYFUNCTION("TRIM(REGEXREPLACE(C527, ""[0-9]+[a-f]?\."", """"))"),"")</f>
        <v/>
      </c>
      <c r="H527" s="172" t="str">
        <f>IFERROR(__xludf.DUMMYFUNCTION("TRIM(REGEXREPLACE(D527, ""[0-9]+[a-f]?\."", """"))"),"")</f>
        <v/>
      </c>
      <c r="I527" s="172" t="str">
        <f>IFERROR(__xludf.DUMMYFUNCTION("TRIM(REGEXREPLACE(E527, ""[0-9]+[a-f]?\."", """"))"),"")</f>
        <v/>
      </c>
      <c r="J527" s="172" t="s">
        <v>2857</v>
      </c>
      <c r="K527" s="172" t="s">
        <v>2858</v>
      </c>
      <c r="L527" s="172" t="s">
        <v>2859</v>
      </c>
      <c r="M527" s="172"/>
    </row>
    <row r="528" hidden="1">
      <c r="B528" s="260"/>
      <c r="C528" s="260"/>
      <c r="D528" s="260"/>
      <c r="E528" s="260"/>
      <c r="F528" s="182">
        <v>307.0</v>
      </c>
      <c r="G528" s="172" t="str">
        <f>IFERROR(__xludf.DUMMYFUNCTION("TRIM(REGEXREPLACE(C528, ""[0-9]+[a-f]?\."", """"))"),"")</f>
        <v/>
      </c>
      <c r="H528" s="172" t="str">
        <f>IFERROR(__xludf.DUMMYFUNCTION("TRIM(REGEXREPLACE(D528, ""[0-9]+[a-f]?\."", """"))"),"")</f>
        <v/>
      </c>
      <c r="I528" s="172" t="str">
        <f>IFERROR(__xludf.DUMMYFUNCTION("TRIM(REGEXREPLACE(E528, ""[0-9]+[a-f]?\."", """"))"),"")</f>
        <v/>
      </c>
      <c r="J528" s="172" t="s">
        <v>2860</v>
      </c>
      <c r="K528" s="172" t="s">
        <v>2861</v>
      </c>
      <c r="L528" s="172" t="s">
        <v>2862</v>
      </c>
      <c r="M528" s="172"/>
    </row>
    <row r="529" hidden="1">
      <c r="A529" s="188" t="s">
        <v>68</v>
      </c>
      <c r="B529" s="266" t="s">
        <v>2863</v>
      </c>
      <c r="C529" s="265"/>
      <c r="D529" s="265"/>
      <c r="E529" s="265"/>
      <c r="F529" s="182">
        <v>271.0</v>
      </c>
      <c r="G529" s="172" t="str">
        <f>IFERROR(__xludf.DUMMYFUNCTION("TRIM(REGEXREPLACE(C529, ""[0-9]+[a-f]?\."", """"))"),"")</f>
        <v/>
      </c>
      <c r="H529" s="172" t="str">
        <f>IFERROR(__xludf.DUMMYFUNCTION("TRIM(REGEXREPLACE(D529, ""[0-9]+[a-f]?\."", """"))"),"")</f>
        <v/>
      </c>
      <c r="I529" s="172" t="str">
        <f>IFERROR(__xludf.DUMMYFUNCTION("TRIM(REGEXREPLACE(E529, ""[0-9]+[a-f]?\."", """"))"),"")</f>
        <v/>
      </c>
      <c r="J529" s="172" t="s">
        <v>2864</v>
      </c>
      <c r="K529" s="172" t="s">
        <v>2865</v>
      </c>
      <c r="L529" s="172" t="s">
        <v>2866</v>
      </c>
      <c r="M529" s="172"/>
    </row>
    <row r="530" hidden="1">
      <c r="A530" s="188" t="s">
        <v>68</v>
      </c>
      <c r="B530" s="266" t="s">
        <v>2867</v>
      </c>
      <c r="C530" s="265"/>
      <c r="D530" s="265"/>
      <c r="E530" s="265"/>
      <c r="F530" s="182">
        <v>272.0</v>
      </c>
      <c r="G530" s="172" t="str">
        <f>IFERROR(__xludf.DUMMYFUNCTION("TRIM(REGEXREPLACE(C530, ""[0-9]+[a-f]?\."", """"))"),"")</f>
        <v/>
      </c>
      <c r="H530" s="172" t="str">
        <f>IFERROR(__xludf.DUMMYFUNCTION("TRIM(REGEXREPLACE(D530, ""[0-9]+[a-f]?\."", """"))"),"")</f>
        <v/>
      </c>
      <c r="I530" s="172" t="str">
        <f>IFERROR(__xludf.DUMMYFUNCTION("TRIM(REGEXREPLACE(E530, ""[0-9]+[a-f]?\."", """"))"),"")</f>
        <v/>
      </c>
      <c r="J530" s="172" t="s">
        <v>2868</v>
      </c>
      <c r="K530" s="172" t="s">
        <v>2869</v>
      </c>
      <c r="L530" s="172" t="s">
        <v>2870</v>
      </c>
    </row>
    <row r="531" hidden="1">
      <c r="A531" s="188" t="s">
        <v>68</v>
      </c>
      <c r="B531" s="266" t="s">
        <v>2871</v>
      </c>
      <c r="C531" s="265"/>
      <c r="D531" s="265"/>
      <c r="E531" s="265"/>
      <c r="F531" s="182">
        <v>273.0</v>
      </c>
      <c r="G531" s="172" t="str">
        <f>IFERROR(__xludf.DUMMYFUNCTION("TRIM(REGEXREPLACE(C531, ""[0-9]+[a-f]?\."", """"))"),"")</f>
        <v/>
      </c>
      <c r="H531" s="172" t="str">
        <f>IFERROR(__xludf.DUMMYFUNCTION("TRIM(REGEXREPLACE(D531, ""[0-9]+[a-f]?\."", """"))"),"")</f>
        <v/>
      </c>
      <c r="I531" s="172" t="str">
        <f>IFERROR(__xludf.DUMMYFUNCTION("TRIM(REGEXREPLACE(E531, ""[0-9]+[a-f]?\."", """"))"),"")</f>
        <v/>
      </c>
      <c r="J531" s="172" t="s">
        <v>2872</v>
      </c>
      <c r="K531" s="172" t="s">
        <v>2873</v>
      </c>
      <c r="L531" s="172" t="s">
        <v>2874</v>
      </c>
    </row>
    <row r="532" hidden="1">
      <c r="A532" s="255" t="s">
        <v>1042</v>
      </c>
      <c r="B532" s="256" t="s">
        <v>2875</v>
      </c>
      <c r="C532" s="256" t="s">
        <v>2876</v>
      </c>
      <c r="D532" s="257"/>
      <c r="E532" s="257"/>
      <c r="F532" s="182">
        <v>274.0</v>
      </c>
      <c r="G532" s="172" t="str">
        <f>IFERROR(__xludf.DUMMYFUNCTION("TRIM(REGEXREPLACE(C532, ""[0-9]+[a-f]?\."", """"))"),"Create line separate list of hh members")</f>
        <v>Create line separate list of hh members</v>
      </c>
      <c r="H532" s="172" t="str">
        <f>IFERROR(__xludf.DUMMYFUNCTION("TRIM(REGEXREPLACE(D532, ""[0-9]+[a-f]?\."", """"))"),"")</f>
        <v/>
      </c>
      <c r="I532" s="172" t="str">
        <f>IFERROR(__xludf.DUMMYFUNCTION("TRIM(REGEXREPLACE(E532, ""[0-9]+[a-f]?\."", """"))"),"")</f>
        <v/>
      </c>
      <c r="J532" s="172" t="s">
        <v>2879</v>
      </c>
      <c r="K532" s="172" t="s">
        <v>2880</v>
      </c>
      <c r="L532" s="172" t="s">
        <v>2881</v>
      </c>
    </row>
    <row r="533" hidden="1">
      <c r="A533" s="188" t="s">
        <v>68</v>
      </c>
      <c r="B533" s="189" t="s">
        <v>2882</v>
      </c>
      <c r="C533" s="190"/>
      <c r="D533" s="190"/>
      <c r="E533" s="190"/>
      <c r="F533" s="182">
        <v>275.0</v>
      </c>
      <c r="G533" s="172" t="str">
        <f>IFERROR(__xludf.DUMMYFUNCTION("TRIM(REGEXREPLACE(C533, ""[0-9]+[a-f]?\."", """"))"),"")</f>
        <v/>
      </c>
      <c r="H533" s="172" t="str">
        <f>IFERROR(__xludf.DUMMYFUNCTION("TRIM(REGEXREPLACE(D533, ""[0-9]+[a-f]?\."", """"))"),"")</f>
        <v/>
      </c>
      <c r="I533" s="172" t="str">
        <f>IFERROR(__xludf.DUMMYFUNCTION("TRIM(REGEXREPLACE(E533, ""[0-9]+[a-f]?\."", """"))"),"")</f>
        <v/>
      </c>
      <c r="J533" s="172" t="s">
        <v>2884</v>
      </c>
      <c r="K533" s="172" t="s">
        <v>2885</v>
      </c>
      <c r="L533" s="172" t="s">
        <v>2886</v>
      </c>
    </row>
    <row r="534" hidden="1">
      <c r="A534" s="188" t="s">
        <v>68</v>
      </c>
      <c r="B534" s="189" t="s">
        <v>2887</v>
      </c>
      <c r="C534" s="190"/>
      <c r="D534" s="190"/>
      <c r="E534" s="190"/>
      <c r="F534" s="182">
        <v>276.0</v>
      </c>
      <c r="G534" s="172" t="str">
        <f>IFERROR(__xludf.DUMMYFUNCTION("TRIM(REGEXREPLACE(C534, ""[0-9]+[a-f]?\."", """"))"),"")</f>
        <v/>
      </c>
      <c r="H534" s="172" t="str">
        <f>IFERROR(__xludf.DUMMYFUNCTION("TRIM(REGEXREPLACE(D534, ""[0-9]+[a-f]?\."", """"))"),"")</f>
        <v/>
      </c>
      <c r="I534" s="172" t="str">
        <f>IFERROR(__xludf.DUMMYFUNCTION("TRIM(REGEXREPLACE(E534, ""[0-9]+[a-f]?\."", """"))"),"")</f>
        <v/>
      </c>
      <c r="J534" s="172" t="s">
        <v>2888</v>
      </c>
      <c r="K534" s="172" t="s">
        <v>2889</v>
      </c>
      <c r="L534" s="172" t="s">
        <v>2890</v>
      </c>
    </row>
    <row r="535" hidden="1">
      <c r="A535" s="188" t="s">
        <v>68</v>
      </c>
      <c r="B535" s="189" t="s">
        <v>2891</v>
      </c>
      <c r="C535" s="190"/>
      <c r="D535" s="190"/>
      <c r="E535" s="190"/>
      <c r="F535" s="182">
        <v>277.0</v>
      </c>
      <c r="G535" s="172" t="str">
        <f>IFERROR(__xludf.DUMMYFUNCTION("TRIM(REGEXREPLACE(C535, ""[0-9]+[a-f]?\."", """"))"),"")</f>
        <v/>
      </c>
      <c r="H535" s="172" t="str">
        <f>IFERROR(__xludf.DUMMYFUNCTION("TRIM(REGEXREPLACE(D535, ""[0-9]+[a-f]?\."", """"))"),"")</f>
        <v/>
      </c>
      <c r="I535" s="172" t="str">
        <f>IFERROR(__xludf.DUMMYFUNCTION("TRIM(REGEXREPLACE(E535, ""[0-9]+[a-f]?\."", """"))"),"")</f>
        <v/>
      </c>
      <c r="J535" s="172" t="s">
        <v>2892</v>
      </c>
      <c r="K535" s="172" t="s">
        <v>2894</v>
      </c>
      <c r="L535" s="172" t="s">
        <v>2896</v>
      </c>
      <c r="M535" s="172"/>
    </row>
    <row r="536" hidden="1">
      <c r="A536" s="188" t="s">
        <v>68</v>
      </c>
      <c r="B536" s="189" t="s">
        <v>2897</v>
      </c>
      <c r="C536" s="190"/>
      <c r="D536" s="190"/>
      <c r="E536" s="190"/>
      <c r="F536" s="182">
        <v>278.0</v>
      </c>
      <c r="G536" s="172" t="str">
        <f>IFERROR(__xludf.DUMMYFUNCTION("TRIM(REGEXREPLACE(C536, ""[0-9]+[a-f]?\."", """"))"),"")</f>
        <v/>
      </c>
      <c r="H536" s="172" t="str">
        <f>IFERROR(__xludf.DUMMYFUNCTION("TRIM(REGEXREPLACE(D536, ""[0-9]+[a-f]?\."", """"))"),"")</f>
        <v/>
      </c>
      <c r="I536" s="172" t="str">
        <f>IFERROR(__xludf.DUMMYFUNCTION("TRIM(REGEXREPLACE(E536, ""[0-9]+[a-f]?\."", """"))"),"")</f>
        <v/>
      </c>
      <c r="J536" s="172" t="s">
        <v>2898</v>
      </c>
      <c r="K536" s="172" t="s">
        <v>2899</v>
      </c>
      <c r="L536" s="172" t="s">
        <v>2900</v>
      </c>
    </row>
    <row r="537" hidden="1">
      <c r="A537" s="188" t="s">
        <v>68</v>
      </c>
      <c r="B537" s="189" t="s">
        <v>2901</v>
      </c>
      <c r="C537" s="190"/>
      <c r="D537" s="190"/>
      <c r="E537" s="190"/>
      <c r="F537" s="182">
        <v>279.0</v>
      </c>
      <c r="G537" s="172" t="str">
        <f>IFERROR(__xludf.DUMMYFUNCTION("TRIM(REGEXREPLACE(C537, ""[0-9]+[a-f]?\."", """"))"),"")</f>
        <v/>
      </c>
      <c r="H537" s="172" t="str">
        <f>IFERROR(__xludf.DUMMYFUNCTION("TRIM(REGEXREPLACE(D537, ""[0-9]+[a-f]?\."", """"))"),"")</f>
        <v/>
      </c>
      <c r="I537" s="172" t="str">
        <f>IFERROR(__xludf.DUMMYFUNCTION("TRIM(REGEXREPLACE(E537, ""[0-9]+[a-f]?\."", """"))"),"")</f>
        <v/>
      </c>
      <c r="J537" s="172" t="s">
        <v>2905</v>
      </c>
      <c r="K537" s="172" t="s">
        <v>2906</v>
      </c>
      <c r="L537" s="172" t="s">
        <v>2907</v>
      </c>
      <c r="M537" s="172"/>
    </row>
    <row r="538" hidden="1">
      <c r="B538" s="260"/>
      <c r="C538" s="260"/>
      <c r="D538" s="260"/>
      <c r="E538" s="260"/>
      <c r="F538" s="182">
        <v>314.0</v>
      </c>
      <c r="G538" s="172" t="str">
        <f>IFERROR(__xludf.DUMMYFUNCTION("TRIM(REGEXREPLACE(C538, ""[0-9]+[a-f]?\."", """"))"),"")</f>
        <v/>
      </c>
      <c r="H538" s="172" t="str">
        <f>IFERROR(__xludf.DUMMYFUNCTION("TRIM(REGEXREPLACE(D538, ""[0-9]+[a-f]?\."", """"))"),"")</f>
        <v/>
      </c>
      <c r="I538" s="172" t="str">
        <f>IFERROR(__xludf.DUMMYFUNCTION("TRIM(REGEXREPLACE(E538, ""[0-9]+[a-f]?\."", """"))"),"")</f>
        <v/>
      </c>
      <c r="J538" s="172" t="s">
        <v>2908</v>
      </c>
      <c r="K538" s="172" t="s">
        <v>2909</v>
      </c>
      <c r="L538" s="172" t="s">
        <v>2910</v>
      </c>
    </row>
    <row r="539" hidden="1">
      <c r="B539" s="260"/>
      <c r="C539" s="260"/>
      <c r="D539" s="260"/>
      <c r="E539" s="260"/>
      <c r="F539" s="182">
        <v>315.0</v>
      </c>
      <c r="G539" s="172" t="str">
        <f>IFERROR(__xludf.DUMMYFUNCTION("TRIM(REGEXREPLACE(C539, ""[0-9]+[a-f]?\."", """"))"),"")</f>
        <v/>
      </c>
      <c r="H539" s="172" t="str">
        <f>IFERROR(__xludf.DUMMYFUNCTION("TRIM(REGEXREPLACE(D539, ""[0-9]+[a-f]?\."", """"))"),"")</f>
        <v/>
      </c>
      <c r="I539" s="172" t="str">
        <f>IFERROR(__xludf.DUMMYFUNCTION("TRIM(REGEXREPLACE(E539, ""[0-9]+[a-f]?\."", """"))"),"")</f>
        <v/>
      </c>
      <c r="J539" s="172" t="s">
        <v>2913</v>
      </c>
      <c r="K539" s="172" t="s">
        <v>2915</v>
      </c>
      <c r="L539" s="172" t="s">
        <v>2916</v>
      </c>
      <c r="M539" s="172"/>
    </row>
    <row r="540" hidden="1">
      <c r="B540" s="260"/>
      <c r="C540" s="260"/>
      <c r="D540" s="260"/>
      <c r="E540" s="260"/>
      <c r="F540" s="182">
        <v>316.0</v>
      </c>
      <c r="G540" s="172" t="str">
        <f>IFERROR(__xludf.DUMMYFUNCTION("TRIM(REGEXREPLACE(C540, ""[0-9]+[a-f]?\."", """"))"),"")</f>
        <v/>
      </c>
      <c r="H540" s="172" t="str">
        <f>IFERROR(__xludf.DUMMYFUNCTION("TRIM(REGEXREPLACE(D540, ""[0-9]+[a-f]?\."", """"))"),"")</f>
        <v/>
      </c>
      <c r="I540" s="172" t="str">
        <f>IFERROR(__xludf.DUMMYFUNCTION("TRIM(REGEXREPLACE(E540, ""[0-9]+[a-f]?\."", """"))"),"")</f>
        <v/>
      </c>
      <c r="J540" s="172" t="s">
        <v>2917</v>
      </c>
      <c r="K540" s="172" t="s">
        <v>2918</v>
      </c>
      <c r="L540" s="172" t="s">
        <v>2919</v>
      </c>
      <c r="M540" s="172"/>
    </row>
    <row r="541" hidden="1">
      <c r="B541" s="260"/>
      <c r="C541" s="260"/>
      <c r="D541" s="260"/>
      <c r="E541" s="260"/>
      <c r="F541" s="182">
        <v>317.0</v>
      </c>
      <c r="G541" s="172" t="str">
        <f>IFERROR(__xludf.DUMMYFUNCTION("TRIM(REGEXREPLACE(C541, ""[0-9]+[a-f]?\."", """"))"),"")</f>
        <v/>
      </c>
      <c r="H541" s="172" t="str">
        <f>IFERROR(__xludf.DUMMYFUNCTION("TRIM(REGEXREPLACE(D541, ""[0-9]+[a-f]?\."", """"))"),"")</f>
        <v/>
      </c>
      <c r="I541" s="172" t="str">
        <f>IFERROR(__xludf.DUMMYFUNCTION("TRIM(REGEXREPLACE(E541, ""[0-9]+[a-f]?\."", """"))"),"")</f>
        <v/>
      </c>
      <c r="J541" s="172" t="s">
        <v>2920</v>
      </c>
      <c r="K541" s="172" t="s">
        <v>2921</v>
      </c>
      <c r="L541" s="172" t="s">
        <v>2922</v>
      </c>
      <c r="M541" s="172"/>
    </row>
    <row r="542" hidden="1">
      <c r="A542" s="255" t="s">
        <v>1064</v>
      </c>
      <c r="B542" s="261" t="s">
        <v>2875</v>
      </c>
      <c r="C542" s="262"/>
      <c r="D542" s="262"/>
      <c r="E542" s="262"/>
      <c r="F542" s="182">
        <v>280.0</v>
      </c>
      <c r="G542" s="172" t="str">
        <f>IFERROR(__xludf.DUMMYFUNCTION("TRIM(REGEXREPLACE(C542, ""[0-9]+[a-f]?\."", """"))"),"")</f>
        <v/>
      </c>
      <c r="H542" s="172" t="str">
        <f>IFERROR(__xludf.DUMMYFUNCTION("TRIM(REGEXREPLACE(D542, ""[0-9]+[a-f]?\."", """"))"),"")</f>
        <v/>
      </c>
      <c r="I542" s="172" t="str">
        <f>IFERROR(__xludf.DUMMYFUNCTION("TRIM(REGEXREPLACE(E542, ""[0-9]+[a-f]?\."", """"))"),"")</f>
        <v/>
      </c>
      <c r="J542" s="172" t="s">
        <v>2923</v>
      </c>
      <c r="K542" s="172" t="s">
        <v>2924</v>
      </c>
      <c r="L542" s="172" t="s">
        <v>2925</v>
      </c>
      <c r="M542" s="172"/>
    </row>
    <row r="543" hidden="1">
      <c r="A543" s="188" t="s">
        <v>68</v>
      </c>
      <c r="B543" s="189" t="s">
        <v>2926</v>
      </c>
      <c r="C543" s="190"/>
      <c r="D543" s="190"/>
      <c r="E543" s="190"/>
      <c r="F543" s="182">
        <v>281.0</v>
      </c>
      <c r="G543" s="172" t="str">
        <f>IFERROR(__xludf.DUMMYFUNCTION("TRIM(REGEXREPLACE(C543, ""[0-9]+[a-f]?\."", """"))"),"")</f>
        <v/>
      </c>
      <c r="H543" s="172" t="str">
        <f>IFERROR(__xludf.DUMMYFUNCTION("TRIM(REGEXREPLACE(D543, ""[0-9]+[a-f]?\."", """"))"),"")</f>
        <v/>
      </c>
      <c r="I543" s="172" t="str">
        <f>IFERROR(__xludf.DUMMYFUNCTION("TRIM(REGEXREPLACE(E543, ""[0-9]+[a-f]?\."", """"))"),"")</f>
        <v/>
      </c>
      <c r="J543" s="172" t="s">
        <v>2927</v>
      </c>
      <c r="K543" s="172" t="s">
        <v>2928</v>
      </c>
      <c r="L543" s="172" t="s">
        <v>2929</v>
      </c>
    </row>
    <row r="544" hidden="1">
      <c r="A544" s="188" t="s">
        <v>68</v>
      </c>
      <c r="B544" s="189" t="s">
        <v>2930</v>
      </c>
      <c r="C544" s="190"/>
      <c r="D544" s="190"/>
      <c r="E544" s="190"/>
      <c r="F544" s="182">
        <v>282.0</v>
      </c>
      <c r="G544" s="172" t="str">
        <f>IFERROR(__xludf.DUMMYFUNCTION("TRIM(REGEXREPLACE(C544, ""[0-9]+[a-f]?\."", """"))"),"")</f>
        <v/>
      </c>
      <c r="H544" s="172" t="str">
        <f>IFERROR(__xludf.DUMMYFUNCTION("TRIM(REGEXREPLACE(D544, ""[0-9]+[a-f]?\."", """"))"),"")</f>
        <v/>
      </c>
      <c r="I544" s="172" t="str">
        <f>IFERROR(__xludf.DUMMYFUNCTION("TRIM(REGEXREPLACE(E544, ""[0-9]+[a-f]?\."", """"))"),"")</f>
        <v/>
      </c>
      <c r="J544" s="172" t="s">
        <v>2931</v>
      </c>
      <c r="K544" s="172" t="s">
        <v>2932</v>
      </c>
      <c r="L544" s="172" t="s">
        <v>2933</v>
      </c>
    </row>
    <row r="545" hidden="1">
      <c r="A545" s="269"/>
      <c r="B545" s="270"/>
      <c r="C545" s="267"/>
      <c r="D545" s="267"/>
      <c r="E545" s="267"/>
      <c r="F545" s="182">
        <v>283.0</v>
      </c>
      <c r="G545" s="172" t="str">
        <f>IFERROR(__xludf.DUMMYFUNCTION("TRIM(REGEXREPLACE(C545, ""[0-9]+[a-f]?\."", """"))"),"")</f>
        <v/>
      </c>
      <c r="H545" s="172" t="str">
        <f>IFERROR(__xludf.DUMMYFUNCTION("TRIM(REGEXREPLACE(D545, ""[0-9]+[a-f]?\."", """"))"),"")</f>
        <v/>
      </c>
      <c r="I545" s="172" t="str">
        <f>IFERROR(__xludf.DUMMYFUNCTION("TRIM(REGEXREPLACE(E545, ""[0-9]+[a-f]?\."", """"))"),"")</f>
        <v/>
      </c>
      <c r="J545" s="172" t="s">
        <v>2934</v>
      </c>
      <c r="K545" s="172" t="s">
        <v>2935</v>
      </c>
      <c r="L545" s="172" t="s">
        <v>2936</v>
      </c>
      <c r="M545" s="172"/>
    </row>
    <row r="546" hidden="1">
      <c r="A546" s="188" t="s">
        <v>68</v>
      </c>
      <c r="B546" s="189" t="s">
        <v>2937</v>
      </c>
      <c r="C546" s="265"/>
      <c r="D546" s="265"/>
      <c r="E546" s="265"/>
      <c r="F546" s="182">
        <v>284.0</v>
      </c>
      <c r="G546" s="172" t="str">
        <f>IFERROR(__xludf.DUMMYFUNCTION("TRIM(REGEXREPLACE(C546, ""[0-9]+[a-f]?\."", """"))"),"")</f>
        <v/>
      </c>
      <c r="H546" s="172" t="str">
        <f>IFERROR(__xludf.DUMMYFUNCTION("TRIM(REGEXREPLACE(D546, ""[0-9]+[a-f]?\."", """"))"),"")</f>
        <v/>
      </c>
      <c r="I546" s="172" t="str">
        <f>IFERROR(__xludf.DUMMYFUNCTION("TRIM(REGEXREPLACE(E546, ""[0-9]+[a-f]?\."", """"))"),"")</f>
        <v/>
      </c>
      <c r="J546" s="172" t="s">
        <v>2941</v>
      </c>
      <c r="K546" s="172" t="s">
        <v>2942</v>
      </c>
      <c r="L546" s="172" t="s">
        <v>2944</v>
      </c>
    </row>
    <row r="547" hidden="1">
      <c r="A547" s="188" t="s">
        <v>68</v>
      </c>
      <c r="B547" s="189" t="s">
        <v>2945</v>
      </c>
      <c r="C547" s="265"/>
      <c r="D547" s="265"/>
      <c r="E547" s="265"/>
      <c r="F547" s="182">
        <v>285.0</v>
      </c>
      <c r="G547" s="172" t="str">
        <f>IFERROR(__xludf.DUMMYFUNCTION("TRIM(REGEXREPLACE(C547, ""[0-9]+[a-f]?\."", """"))"),"")</f>
        <v/>
      </c>
      <c r="H547" s="172" t="str">
        <f>IFERROR(__xludf.DUMMYFUNCTION("TRIM(REGEXREPLACE(D547, ""[0-9]+[a-f]?\."", """"))"),"")</f>
        <v/>
      </c>
      <c r="I547" s="172" t="str">
        <f>IFERROR(__xludf.DUMMYFUNCTION("TRIM(REGEXREPLACE(E547, ""[0-9]+[a-f]?\."", """"))"),"")</f>
        <v/>
      </c>
      <c r="J547" s="172" t="s">
        <v>2946</v>
      </c>
      <c r="K547" s="172" t="s">
        <v>2947</v>
      </c>
      <c r="L547" s="172" t="s">
        <v>2948</v>
      </c>
    </row>
    <row r="548" hidden="1">
      <c r="A548" s="188" t="s">
        <v>68</v>
      </c>
      <c r="B548" s="189" t="s">
        <v>2949</v>
      </c>
      <c r="C548" s="265"/>
      <c r="D548" s="265"/>
      <c r="E548" s="265"/>
      <c r="F548" s="182">
        <v>286.0</v>
      </c>
      <c r="G548" s="172" t="str">
        <f>IFERROR(__xludf.DUMMYFUNCTION("TRIM(REGEXREPLACE(C548, ""[0-9]+[a-f]?\."", """"))"),"")</f>
        <v/>
      </c>
      <c r="H548" s="172" t="str">
        <f>IFERROR(__xludf.DUMMYFUNCTION("TRIM(REGEXREPLACE(D548, ""[0-9]+[a-f]?\."", """"))"),"")</f>
        <v/>
      </c>
      <c r="I548" s="172" t="str">
        <f>IFERROR(__xludf.DUMMYFUNCTION("TRIM(REGEXREPLACE(E548, ""[0-9]+[a-f]?\."", """"))"),"")</f>
        <v/>
      </c>
      <c r="J548" s="172" t="s">
        <v>2950</v>
      </c>
      <c r="K548" s="172" t="s">
        <v>2951</v>
      </c>
      <c r="L548" s="172" t="s">
        <v>2952</v>
      </c>
    </row>
    <row r="549" hidden="1">
      <c r="A549" s="188" t="s">
        <v>68</v>
      </c>
      <c r="B549" s="189" t="s">
        <v>2953</v>
      </c>
      <c r="C549" s="265"/>
      <c r="D549" s="265"/>
      <c r="E549" s="265"/>
      <c r="F549" s="182">
        <v>287.0</v>
      </c>
      <c r="G549" s="172" t="str">
        <f>IFERROR(__xludf.DUMMYFUNCTION("TRIM(REGEXREPLACE(C549, ""[0-9]+[a-f]?\."", """"))"),"")</f>
        <v/>
      </c>
      <c r="H549" s="172" t="str">
        <f>IFERROR(__xludf.DUMMYFUNCTION("TRIM(REGEXREPLACE(D549, ""[0-9]+[a-f]?\."", """"))"),"")</f>
        <v/>
      </c>
      <c r="I549" s="172" t="str">
        <f>IFERROR(__xludf.DUMMYFUNCTION("TRIM(REGEXREPLACE(E549, ""[0-9]+[a-f]?\."", """"))"),"")</f>
        <v/>
      </c>
      <c r="J549" s="172" t="s">
        <v>2957</v>
      </c>
      <c r="K549" s="172" t="s">
        <v>2958</v>
      </c>
      <c r="L549" s="172" t="s">
        <v>2959</v>
      </c>
    </row>
    <row r="550" hidden="1">
      <c r="A550" s="188" t="s">
        <v>68</v>
      </c>
      <c r="B550" s="189" t="s">
        <v>2960</v>
      </c>
      <c r="C550" s="265"/>
      <c r="D550" s="265"/>
      <c r="E550" s="265"/>
      <c r="F550" s="182">
        <v>288.0</v>
      </c>
      <c r="G550" s="172" t="str">
        <f>IFERROR(__xludf.DUMMYFUNCTION("TRIM(REGEXREPLACE(C550, ""[0-9]+[a-f]?\."", """"))"),"")</f>
        <v/>
      </c>
      <c r="H550" s="172" t="str">
        <f>IFERROR(__xludf.DUMMYFUNCTION("TRIM(REGEXREPLACE(D550, ""[0-9]+[a-f]?\."", """"))"),"")</f>
        <v/>
      </c>
      <c r="I550" s="172" t="str">
        <f>IFERROR(__xludf.DUMMYFUNCTION("TRIM(REGEXREPLACE(E550, ""[0-9]+[a-f]?\."", """"))"),"")</f>
        <v/>
      </c>
      <c r="J550" s="172" t="s">
        <v>2961</v>
      </c>
      <c r="K550" s="172" t="s">
        <v>2962</v>
      </c>
      <c r="L550" s="172" t="s">
        <v>2963</v>
      </c>
    </row>
    <row r="551" hidden="1">
      <c r="A551" s="188" t="s">
        <v>68</v>
      </c>
      <c r="B551" s="189" t="s">
        <v>2964</v>
      </c>
      <c r="C551" s="265"/>
      <c r="D551" s="265"/>
      <c r="E551" s="265"/>
      <c r="F551" s="182">
        <v>289.0</v>
      </c>
      <c r="G551" s="172" t="str">
        <f>IFERROR(__xludf.DUMMYFUNCTION("TRIM(REGEXREPLACE(C551, ""[0-9]+[a-f]?\."", """"))"),"")</f>
        <v/>
      </c>
      <c r="H551" s="172" t="str">
        <f>IFERROR(__xludf.DUMMYFUNCTION("TRIM(REGEXREPLACE(D551, ""[0-9]+[a-f]?\."", """"))"),"")</f>
        <v/>
      </c>
      <c r="I551" s="172" t="str">
        <f>IFERROR(__xludf.DUMMYFUNCTION("TRIM(REGEXREPLACE(E551, ""[0-9]+[a-f]?\."", """"))"),"")</f>
        <v/>
      </c>
      <c r="J551" s="172" t="s">
        <v>2968</v>
      </c>
      <c r="K551" s="172" t="s">
        <v>2969</v>
      </c>
      <c r="L551" s="172" t="s">
        <v>2970</v>
      </c>
    </row>
    <row r="552" hidden="1">
      <c r="B552" s="260"/>
      <c r="C552" s="260"/>
      <c r="D552" s="260"/>
      <c r="E552" s="260"/>
      <c r="F552" s="182">
        <v>327.0</v>
      </c>
      <c r="G552" s="172" t="str">
        <f>IFERROR(__xludf.DUMMYFUNCTION("TRIM(REGEXREPLACE(C552, ""[0-9]+[a-f]?\."", """"))"),"")</f>
        <v/>
      </c>
      <c r="H552" s="172" t="str">
        <f>IFERROR(__xludf.DUMMYFUNCTION("TRIM(REGEXREPLACE(D552, ""[0-9]+[a-f]?\."", """"))"),"")</f>
        <v/>
      </c>
      <c r="I552" s="172" t="str">
        <f>IFERROR(__xludf.DUMMYFUNCTION("TRIM(REGEXREPLACE(E552, ""[0-9]+[a-f]?\."", """"))"),"")</f>
        <v/>
      </c>
      <c r="J552" s="172" t="s">
        <v>2971</v>
      </c>
      <c r="K552" s="172" t="s">
        <v>2972</v>
      </c>
      <c r="L552" s="172" t="s">
        <v>2973</v>
      </c>
      <c r="M552" s="172"/>
    </row>
    <row r="553" hidden="1">
      <c r="A553" s="188" t="s">
        <v>68</v>
      </c>
      <c r="B553" s="189" t="s">
        <v>2974</v>
      </c>
      <c r="C553" s="265"/>
      <c r="D553" s="265"/>
      <c r="E553" s="265"/>
      <c r="F553" s="182">
        <v>290.0</v>
      </c>
      <c r="G553" s="172" t="str">
        <f>IFERROR(__xludf.DUMMYFUNCTION("TRIM(REGEXREPLACE(C553, ""[0-9]+[a-f]?\."", """"))"),"")</f>
        <v/>
      </c>
      <c r="H553" s="172" t="str">
        <f>IFERROR(__xludf.DUMMYFUNCTION("TRIM(REGEXREPLACE(D553, ""[0-9]+[a-f]?\."", """"))"),"")</f>
        <v/>
      </c>
      <c r="I553" s="172" t="str">
        <f>IFERROR(__xludf.DUMMYFUNCTION("TRIM(REGEXREPLACE(E553, ""[0-9]+[a-f]?\."", """"))"),"")</f>
        <v/>
      </c>
      <c r="J553" s="172" t="s">
        <v>2978</v>
      </c>
      <c r="K553" s="172" t="s">
        <v>2979</v>
      </c>
      <c r="L553" s="172" t="s">
        <v>2980</v>
      </c>
      <c r="M553" s="172"/>
    </row>
    <row r="554" hidden="1">
      <c r="A554" s="188" t="s">
        <v>68</v>
      </c>
      <c r="B554" s="189" t="s">
        <v>2981</v>
      </c>
      <c r="C554" s="265"/>
      <c r="D554" s="265"/>
      <c r="E554" s="265"/>
      <c r="F554" s="182">
        <v>291.0</v>
      </c>
      <c r="G554" s="172" t="str">
        <f>IFERROR(__xludf.DUMMYFUNCTION("TRIM(REGEXREPLACE(C554, ""[0-9]+[a-f]?\."", """"))"),"")</f>
        <v/>
      </c>
      <c r="H554" s="172" t="str">
        <f>IFERROR(__xludf.DUMMYFUNCTION("TRIM(REGEXREPLACE(D554, ""[0-9]+[a-f]?\."", """"))"),"")</f>
        <v/>
      </c>
      <c r="I554" s="172" t="str">
        <f>IFERROR(__xludf.DUMMYFUNCTION("TRIM(REGEXREPLACE(E554, ""[0-9]+[a-f]?\."", """"))"),"")</f>
        <v/>
      </c>
      <c r="J554" s="172" t="s">
        <v>2982</v>
      </c>
      <c r="K554" s="172" t="s">
        <v>2983</v>
      </c>
      <c r="L554" s="172" t="s">
        <v>2984</v>
      </c>
      <c r="M554" s="172"/>
    </row>
    <row r="555" hidden="1">
      <c r="A555" s="188" t="s">
        <v>68</v>
      </c>
      <c r="B555" s="189" t="s">
        <v>2985</v>
      </c>
      <c r="C555" s="265"/>
      <c r="D555" s="265"/>
      <c r="E555" s="265"/>
      <c r="F555" s="182">
        <v>292.0</v>
      </c>
      <c r="G555" s="172" t="str">
        <f>IFERROR(__xludf.DUMMYFUNCTION("TRIM(REGEXREPLACE(C555, ""[0-9]+[a-f]?\."", """"))"),"")</f>
        <v/>
      </c>
      <c r="H555" s="172" t="str">
        <f>IFERROR(__xludf.DUMMYFUNCTION("TRIM(REGEXREPLACE(D555, ""[0-9]+[a-f]?\."", """"))"),"")</f>
        <v/>
      </c>
      <c r="I555" s="172" t="str">
        <f>IFERROR(__xludf.DUMMYFUNCTION("TRIM(REGEXREPLACE(E555, ""[0-9]+[a-f]?\."", """"))"),"")</f>
        <v/>
      </c>
      <c r="J555" s="172" t="s">
        <v>2986</v>
      </c>
      <c r="K555" s="172" t="s">
        <v>2987</v>
      </c>
      <c r="L555" s="172" t="s">
        <v>2988</v>
      </c>
      <c r="M555" s="172"/>
    </row>
    <row r="556" hidden="1">
      <c r="A556" s="188" t="s">
        <v>68</v>
      </c>
      <c r="B556" s="189" t="s">
        <v>2989</v>
      </c>
      <c r="C556" s="265"/>
      <c r="D556" s="265"/>
      <c r="E556" s="265"/>
      <c r="F556" s="182">
        <v>293.0</v>
      </c>
      <c r="G556" s="172" t="str">
        <f>IFERROR(__xludf.DUMMYFUNCTION("TRIM(REGEXREPLACE(C556, ""[0-9]+[a-f]?\."", """"))"),"")</f>
        <v/>
      </c>
      <c r="H556" s="172" t="str">
        <f>IFERROR(__xludf.DUMMYFUNCTION("TRIM(REGEXREPLACE(D556, ""[0-9]+[a-f]?\."", """"))"),"")</f>
        <v/>
      </c>
      <c r="I556" s="172" t="str">
        <f>IFERROR(__xludf.DUMMYFUNCTION("TRIM(REGEXREPLACE(E556, ""[0-9]+[a-f]?\."", """"))"),"")</f>
        <v/>
      </c>
      <c r="J556" s="172" t="s">
        <v>2990</v>
      </c>
      <c r="K556" s="172" t="s">
        <v>2990</v>
      </c>
      <c r="L556" s="172" t="s">
        <v>2991</v>
      </c>
      <c r="M556" s="172"/>
    </row>
    <row r="557" hidden="1">
      <c r="A557" s="188" t="s">
        <v>68</v>
      </c>
      <c r="B557" s="189" t="s">
        <v>2992</v>
      </c>
      <c r="C557" s="265"/>
      <c r="D557" s="265"/>
      <c r="E557" s="265"/>
      <c r="F557" s="182">
        <v>294.0</v>
      </c>
      <c r="G557" s="172" t="str">
        <f>IFERROR(__xludf.DUMMYFUNCTION("TRIM(REGEXREPLACE(C557, ""[0-9]+[a-f]?\."", """"))"),"")</f>
        <v/>
      </c>
      <c r="H557" s="172" t="str">
        <f>IFERROR(__xludf.DUMMYFUNCTION("TRIM(REGEXREPLACE(D557, ""[0-9]+[a-f]?\."", """"))"),"")</f>
        <v/>
      </c>
      <c r="I557" s="172" t="str">
        <f>IFERROR(__xludf.DUMMYFUNCTION("TRIM(REGEXREPLACE(E557, ""[0-9]+[a-f]?\."", """"))"),"")</f>
        <v/>
      </c>
      <c r="J557" s="172" t="s">
        <v>2993</v>
      </c>
      <c r="K557" s="172" t="s">
        <v>2994</v>
      </c>
      <c r="L557" s="172" t="s">
        <v>2995</v>
      </c>
      <c r="M557" s="172"/>
    </row>
    <row r="558" hidden="1">
      <c r="A558" s="188" t="s">
        <v>68</v>
      </c>
      <c r="B558" s="189" t="s">
        <v>2996</v>
      </c>
      <c r="C558" s="265"/>
      <c r="D558" s="265"/>
      <c r="E558" s="265"/>
      <c r="F558" s="182">
        <v>295.0</v>
      </c>
      <c r="G558" s="172" t="str">
        <f>IFERROR(__xludf.DUMMYFUNCTION("TRIM(REGEXREPLACE(C558, ""[0-9]+[a-f]?\."", """"))"),"")</f>
        <v/>
      </c>
      <c r="H558" s="172" t="str">
        <f>IFERROR(__xludf.DUMMYFUNCTION("TRIM(REGEXREPLACE(D558, ""[0-9]+[a-f]?\."", """"))"),"")</f>
        <v/>
      </c>
      <c r="I558" s="172" t="str">
        <f>IFERROR(__xludf.DUMMYFUNCTION("TRIM(REGEXREPLACE(E558, ""[0-9]+[a-f]?\."", """"))"),"")</f>
        <v/>
      </c>
      <c r="J558" s="172" t="s">
        <v>2997</v>
      </c>
      <c r="K558" s="172" t="s">
        <v>2998</v>
      </c>
      <c r="L558" s="172" t="s">
        <v>2999</v>
      </c>
      <c r="M558" s="172"/>
    </row>
    <row r="559" hidden="1">
      <c r="A559" s="188" t="s">
        <v>68</v>
      </c>
      <c r="B559" s="189" t="s">
        <v>3000</v>
      </c>
      <c r="C559" s="265"/>
      <c r="D559" s="265"/>
      <c r="E559" s="265"/>
      <c r="F559" s="182">
        <v>296.0</v>
      </c>
      <c r="G559" s="172" t="str">
        <f>IFERROR(__xludf.DUMMYFUNCTION("TRIM(REGEXREPLACE(C559, ""[0-9]+[a-f]?\."", """"))"),"")</f>
        <v/>
      </c>
      <c r="H559" s="172" t="str">
        <f>IFERROR(__xludf.DUMMYFUNCTION("TRIM(REGEXREPLACE(D559, ""[0-9]+[a-f]?\."", """"))"),"")</f>
        <v/>
      </c>
      <c r="I559" s="172" t="str">
        <f>IFERROR(__xludf.DUMMYFUNCTION("TRIM(REGEXREPLACE(E559, ""[0-9]+[a-f]?\."", """"))"),"")</f>
        <v/>
      </c>
      <c r="J559" s="172" t="s">
        <v>3002</v>
      </c>
      <c r="K559" s="172" t="s">
        <v>3003</v>
      </c>
      <c r="L559" s="172" t="s">
        <v>3004</v>
      </c>
    </row>
    <row r="560" hidden="1">
      <c r="A560" s="188" t="s">
        <v>68</v>
      </c>
      <c r="B560" s="189" t="s">
        <v>3005</v>
      </c>
      <c r="C560" s="265"/>
      <c r="D560" s="265"/>
      <c r="E560" s="265"/>
      <c r="F560" s="182">
        <v>297.0</v>
      </c>
      <c r="G560" s="172" t="str">
        <f>IFERROR(__xludf.DUMMYFUNCTION("TRIM(REGEXREPLACE(C560, ""[0-9]+[a-f]?\."", """"))"),"")</f>
        <v/>
      </c>
      <c r="H560" s="172" t="str">
        <f>IFERROR(__xludf.DUMMYFUNCTION("TRIM(REGEXREPLACE(D560, ""[0-9]+[a-f]?\."", """"))"),"")</f>
        <v/>
      </c>
      <c r="I560" s="172" t="str">
        <f>IFERROR(__xludf.DUMMYFUNCTION("TRIM(REGEXREPLACE(E560, ""[0-9]+[a-f]?\."", """"))"),"")</f>
        <v/>
      </c>
      <c r="J560" s="172" t="s">
        <v>3006</v>
      </c>
      <c r="K560" s="172" t="s">
        <v>3007</v>
      </c>
      <c r="L560" s="172" t="s">
        <v>3008</v>
      </c>
    </row>
    <row r="561" hidden="1">
      <c r="B561" s="260"/>
      <c r="C561" s="260"/>
      <c r="D561" s="260"/>
      <c r="E561" s="260"/>
      <c r="F561" s="182">
        <v>329.0</v>
      </c>
      <c r="G561" s="172" t="str">
        <f>IFERROR(__xludf.DUMMYFUNCTION("TRIM(REGEXREPLACE(C561, ""[0-9]+[a-f]?\."", """"))"),"")</f>
        <v/>
      </c>
      <c r="H561" s="172" t="str">
        <f>IFERROR(__xludf.DUMMYFUNCTION("TRIM(REGEXREPLACE(D561, ""[0-9]+[a-f]?\."", """"))"),"")</f>
        <v/>
      </c>
      <c r="I561" s="172" t="str">
        <f>IFERROR(__xludf.DUMMYFUNCTION("TRIM(REGEXREPLACE(E561, ""[0-9]+[a-f]?\."", """"))"),"")</f>
        <v/>
      </c>
      <c r="J561" s="172" t="s">
        <v>3012</v>
      </c>
      <c r="K561" s="172" t="s">
        <v>3013</v>
      </c>
      <c r="L561" s="172" t="s">
        <v>3014</v>
      </c>
    </row>
    <row r="562" hidden="1">
      <c r="B562" s="260"/>
      <c r="C562" s="260"/>
      <c r="D562" s="260"/>
      <c r="E562" s="260"/>
      <c r="F562" s="182">
        <v>330.0</v>
      </c>
      <c r="G562" s="172" t="str">
        <f>IFERROR(__xludf.DUMMYFUNCTION("TRIM(REGEXREPLACE(C562, ""[0-9]+[a-f]?\."", """"))"),"")</f>
        <v/>
      </c>
      <c r="H562" s="172" t="str">
        <f>IFERROR(__xludf.DUMMYFUNCTION("TRIM(REGEXREPLACE(D562, ""[0-9]+[a-f]?\."", """"))"),"")</f>
        <v/>
      </c>
      <c r="I562" s="172" t="str">
        <f>IFERROR(__xludf.DUMMYFUNCTION("TRIM(REGEXREPLACE(E562, ""[0-9]+[a-f]?\."", """"))"),"")</f>
        <v/>
      </c>
      <c r="J562" s="172" t="s">
        <v>3015</v>
      </c>
      <c r="K562" s="172" t="s">
        <v>3016</v>
      </c>
      <c r="L562" s="172" t="s">
        <v>3017</v>
      </c>
      <c r="M562" s="172"/>
    </row>
    <row r="563" hidden="1">
      <c r="A563" s="188" t="s">
        <v>68</v>
      </c>
      <c r="B563" s="189" t="s">
        <v>3020</v>
      </c>
      <c r="C563" s="265"/>
      <c r="D563" s="265"/>
      <c r="E563" s="265"/>
      <c r="F563" s="182">
        <v>298.0</v>
      </c>
      <c r="G563" s="172" t="str">
        <f>IFERROR(__xludf.DUMMYFUNCTION("TRIM(REGEXREPLACE(C563, ""[0-9]+[a-f]?\."", """"))"),"")</f>
        <v/>
      </c>
      <c r="H563" s="172" t="str">
        <f>IFERROR(__xludf.DUMMYFUNCTION("TRIM(REGEXREPLACE(D563, ""[0-9]+[a-f]?\."", """"))"),"")</f>
        <v/>
      </c>
      <c r="I563" s="172" t="str">
        <f>IFERROR(__xludf.DUMMYFUNCTION("TRIM(REGEXREPLACE(E563, ""[0-9]+[a-f]?\."", """"))"),"")</f>
        <v/>
      </c>
      <c r="J563" s="172" t="s">
        <v>3022</v>
      </c>
      <c r="K563" s="172" t="s">
        <v>3023</v>
      </c>
      <c r="L563" s="172" t="s">
        <v>3024</v>
      </c>
      <c r="M563" s="172"/>
    </row>
    <row r="564" hidden="1">
      <c r="A564" s="188" t="s">
        <v>68</v>
      </c>
      <c r="B564" s="189" t="s">
        <v>3025</v>
      </c>
      <c r="C564" s="265"/>
      <c r="D564" s="265"/>
      <c r="E564" s="265"/>
      <c r="F564" s="182">
        <v>299.0</v>
      </c>
      <c r="G564" s="172" t="str">
        <f>IFERROR(__xludf.DUMMYFUNCTION("TRIM(REGEXREPLACE(C564, ""[0-9]+[a-f]?\."", """"))"),"")</f>
        <v/>
      </c>
      <c r="H564" s="172" t="str">
        <f>IFERROR(__xludf.DUMMYFUNCTION("TRIM(REGEXREPLACE(D564, ""[0-9]+[a-f]?\."", """"))"),"")</f>
        <v/>
      </c>
      <c r="I564" s="172" t="str">
        <f>IFERROR(__xludf.DUMMYFUNCTION("TRIM(REGEXREPLACE(E564, ""[0-9]+[a-f]?\."", """"))"),"")</f>
        <v/>
      </c>
      <c r="J564" s="172" t="s">
        <v>3026</v>
      </c>
      <c r="K564" s="172" t="s">
        <v>3028</v>
      </c>
      <c r="L564" s="172" t="s">
        <v>3030</v>
      </c>
      <c r="M564" s="172"/>
    </row>
    <row r="565" hidden="1">
      <c r="A565" s="188" t="s">
        <v>68</v>
      </c>
      <c r="B565" s="189" t="s">
        <v>3032</v>
      </c>
      <c r="C565" s="265"/>
      <c r="D565" s="265"/>
      <c r="E565" s="265"/>
      <c r="F565" s="182">
        <v>300.0</v>
      </c>
      <c r="G565" s="172" t="str">
        <f>IFERROR(__xludf.DUMMYFUNCTION("TRIM(REGEXREPLACE(C565, ""[0-9]+[a-f]?\."", """"))"),"")</f>
        <v/>
      </c>
      <c r="H565" s="172" t="str">
        <f>IFERROR(__xludf.DUMMYFUNCTION("TRIM(REGEXREPLACE(D565, ""[0-9]+[a-f]?\."", """"))"),"")</f>
        <v/>
      </c>
      <c r="I565" s="172" t="str">
        <f>IFERROR(__xludf.DUMMYFUNCTION("TRIM(REGEXREPLACE(E565, ""[0-9]+[a-f]?\."", """"))"),"")</f>
        <v/>
      </c>
      <c r="J565" s="172" t="s">
        <v>3033</v>
      </c>
      <c r="K565" s="172" t="s">
        <v>3034</v>
      </c>
      <c r="L565" s="172" t="s">
        <v>3035</v>
      </c>
    </row>
    <row r="566" hidden="1">
      <c r="B566" s="260"/>
      <c r="C566" s="260"/>
      <c r="D566" s="260"/>
      <c r="E566" s="260"/>
      <c r="F566" s="182">
        <v>334.0</v>
      </c>
      <c r="G566" s="172" t="str">
        <f>IFERROR(__xludf.DUMMYFUNCTION("TRIM(REGEXREPLACE(C566, ""[0-9]+[a-f]?\."", """"))"),"")</f>
        <v/>
      </c>
      <c r="H566" s="172" t="str">
        <f>IFERROR(__xludf.DUMMYFUNCTION("TRIM(REGEXREPLACE(D566, ""[0-9]+[a-f]?\."", """"))"),"")</f>
        <v/>
      </c>
      <c r="I566" s="172" t="str">
        <f>IFERROR(__xludf.DUMMYFUNCTION("TRIM(REGEXREPLACE(E566, ""[0-9]+[a-f]?\."", """"))"),"")</f>
        <v/>
      </c>
      <c r="J566" s="172" t="s">
        <v>3036</v>
      </c>
      <c r="K566" s="172" t="s">
        <v>3037</v>
      </c>
      <c r="L566" s="172" t="s">
        <v>3038</v>
      </c>
    </row>
    <row r="567" hidden="1">
      <c r="A567" s="188" t="s">
        <v>68</v>
      </c>
      <c r="B567" s="189" t="s">
        <v>3040</v>
      </c>
      <c r="C567" s="265"/>
      <c r="D567" s="265"/>
      <c r="E567" s="265"/>
      <c r="F567" s="182">
        <v>301.0</v>
      </c>
      <c r="G567" s="172" t="str">
        <f>IFERROR(__xludf.DUMMYFUNCTION("TRIM(REGEXREPLACE(C567, ""[0-9]+[a-f]?\."", """"))"),"")</f>
        <v/>
      </c>
      <c r="H567" s="172" t="str">
        <f>IFERROR(__xludf.DUMMYFUNCTION("TRIM(REGEXREPLACE(D567, ""[0-9]+[a-f]?\."", """"))"),"")</f>
        <v/>
      </c>
      <c r="I567" s="172" t="str">
        <f>IFERROR(__xludf.DUMMYFUNCTION("TRIM(REGEXREPLACE(E567, ""[0-9]+[a-f]?\."", """"))"),"")</f>
        <v/>
      </c>
      <c r="J567" s="172" t="s">
        <v>3043</v>
      </c>
      <c r="K567" s="172" t="s">
        <v>3044</v>
      </c>
      <c r="L567" s="172" t="s">
        <v>3045</v>
      </c>
    </row>
    <row r="568" hidden="1">
      <c r="B568" s="260"/>
      <c r="C568" s="260"/>
      <c r="D568" s="260"/>
      <c r="E568" s="260"/>
      <c r="F568" s="182">
        <v>336.0</v>
      </c>
      <c r="G568" s="172" t="str">
        <f>IFERROR(__xludf.DUMMYFUNCTION("TRIM(REGEXREPLACE(C568, ""[0-9]+[a-f]?\."", """"))"),"")</f>
        <v/>
      </c>
      <c r="H568" s="172" t="str">
        <f>IFERROR(__xludf.DUMMYFUNCTION("TRIM(REGEXREPLACE(D568, ""[0-9]+[a-f]?\."", """"))"),"")</f>
        <v/>
      </c>
      <c r="I568" s="172" t="str">
        <f>IFERROR(__xludf.DUMMYFUNCTION("TRIM(REGEXREPLACE(E568, ""[0-9]+[a-f]?\."", """"))"),"")</f>
        <v/>
      </c>
      <c r="J568" s="172" t="s">
        <v>3046</v>
      </c>
      <c r="K568" s="172" t="s">
        <v>3047</v>
      </c>
      <c r="L568" s="172" t="s">
        <v>3048</v>
      </c>
    </row>
    <row r="569" hidden="1">
      <c r="B569" s="260"/>
      <c r="C569" s="260"/>
      <c r="D569" s="260"/>
      <c r="E569" s="260"/>
      <c r="F569" s="182">
        <v>337.0</v>
      </c>
      <c r="G569" s="172" t="str">
        <f>IFERROR(__xludf.DUMMYFUNCTION("TRIM(REGEXREPLACE(C569, ""[0-9]+[a-f]?\."", """"))"),"")</f>
        <v/>
      </c>
      <c r="H569" s="172" t="str">
        <f>IFERROR(__xludf.DUMMYFUNCTION("TRIM(REGEXREPLACE(D569, ""[0-9]+[a-f]?\."", """"))"),"")</f>
        <v/>
      </c>
      <c r="I569" s="172" t="str">
        <f>IFERROR(__xludf.DUMMYFUNCTION("TRIM(REGEXREPLACE(E569, ""[0-9]+[a-f]?\."", """"))"),"")</f>
        <v/>
      </c>
      <c r="J569" s="172" t="s">
        <v>3052</v>
      </c>
      <c r="K569" s="172" t="s">
        <v>3053</v>
      </c>
      <c r="L569" s="172" t="s">
        <v>3054</v>
      </c>
    </row>
    <row r="570" hidden="1">
      <c r="B570" s="260"/>
      <c r="C570" s="260"/>
      <c r="D570" s="260"/>
      <c r="E570" s="260"/>
      <c r="F570" s="182">
        <v>338.0</v>
      </c>
      <c r="G570" s="172" t="str">
        <f>IFERROR(__xludf.DUMMYFUNCTION("TRIM(REGEXREPLACE(C570, ""[0-9]+[a-f]?\."", """"))"),"")</f>
        <v/>
      </c>
      <c r="H570" s="172" t="str">
        <f>IFERROR(__xludf.DUMMYFUNCTION("TRIM(REGEXREPLACE(D570, ""[0-9]+[a-f]?\."", """"))"),"")</f>
        <v/>
      </c>
      <c r="I570" s="172" t="str">
        <f>IFERROR(__xludf.DUMMYFUNCTION("TRIM(REGEXREPLACE(E570, ""[0-9]+[a-f]?\."", """"))"),"")</f>
        <v/>
      </c>
      <c r="J570" s="172" t="s">
        <v>3055</v>
      </c>
      <c r="K570" s="172" t="s">
        <v>3056</v>
      </c>
      <c r="L570" s="172" t="s">
        <v>3057</v>
      </c>
    </row>
    <row r="571" hidden="1">
      <c r="B571" s="260"/>
      <c r="C571" s="260"/>
      <c r="D571" s="260"/>
      <c r="E571" s="260"/>
      <c r="F571" s="182">
        <v>339.0</v>
      </c>
      <c r="G571" s="172" t="str">
        <f>IFERROR(__xludf.DUMMYFUNCTION("TRIM(REGEXREPLACE(C571, ""[0-9]+[a-f]?\."", """"))"),"")</f>
        <v/>
      </c>
      <c r="H571" s="172" t="str">
        <f>IFERROR(__xludf.DUMMYFUNCTION("TRIM(REGEXREPLACE(D571, ""[0-9]+[a-f]?\."", """"))"),"")</f>
        <v/>
      </c>
      <c r="I571" s="172" t="str">
        <f>IFERROR(__xludf.DUMMYFUNCTION("TRIM(REGEXREPLACE(E571, ""[0-9]+[a-f]?\."", """"))"),"")</f>
        <v/>
      </c>
      <c r="J571" s="172" t="s">
        <v>3058</v>
      </c>
      <c r="K571" s="172" t="s">
        <v>3059</v>
      </c>
      <c r="L571" s="172" t="s">
        <v>3060</v>
      </c>
    </row>
    <row r="572" hidden="1">
      <c r="A572" s="188" t="s">
        <v>68</v>
      </c>
      <c r="B572" s="189" t="s">
        <v>3061</v>
      </c>
      <c r="C572" s="265"/>
      <c r="D572" s="265"/>
      <c r="E572" s="265"/>
      <c r="F572" s="182">
        <v>302.0</v>
      </c>
      <c r="G572" s="172" t="str">
        <f>IFERROR(__xludf.DUMMYFUNCTION("TRIM(REGEXREPLACE(C572, ""[0-9]+[a-f]?\."", """"))"),"")</f>
        <v/>
      </c>
      <c r="H572" s="172" t="str">
        <f>IFERROR(__xludf.DUMMYFUNCTION("TRIM(REGEXREPLACE(D572, ""[0-9]+[a-f]?\."", """"))"),"")</f>
        <v/>
      </c>
      <c r="I572" s="172" t="str">
        <f>IFERROR(__xludf.DUMMYFUNCTION("TRIM(REGEXREPLACE(E572, ""[0-9]+[a-f]?\."", """"))"),"")</f>
        <v/>
      </c>
      <c r="J572" s="172" t="s">
        <v>3065</v>
      </c>
      <c r="K572" s="172" t="s">
        <v>3066</v>
      </c>
      <c r="L572" s="172" t="s">
        <v>3067</v>
      </c>
    </row>
    <row r="573" hidden="1">
      <c r="A573" s="188" t="s">
        <v>68</v>
      </c>
      <c r="B573" s="189" t="s">
        <v>3068</v>
      </c>
      <c r="C573" s="265"/>
      <c r="D573" s="265"/>
      <c r="E573" s="265"/>
      <c r="F573" s="182">
        <v>303.0</v>
      </c>
      <c r="G573" s="172" t="str">
        <f>IFERROR(__xludf.DUMMYFUNCTION("TRIM(REGEXREPLACE(C573, ""[0-9]+[a-f]?\."", """"))"),"")</f>
        <v/>
      </c>
      <c r="H573" s="172" t="str">
        <f>IFERROR(__xludf.DUMMYFUNCTION("TRIM(REGEXREPLACE(D573, ""[0-9]+[a-f]?\."", """"))"),"")</f>
        <v/>
      </c>
      <c r="I573" s="172" t="str">
        <f>IFERROR(__xludf.DUMMYFUNCTION("TRIM(REGEXREPLACE(E573, ""[0-9]+[a-f]?\."", """"))"),"")</f>
        <v/>
      </c>
      <c r="J573" s="172" t="s">
        <v>3069</v>
      </c>
      <c r="K573" s="172" t="s">
        <v>3070</v>
      </c>
      <c r="L573" s="172" t="s">
        <v>3071</v>
      </c>
    </row>
    <row r="574" hidden="1">
      <c r="A574" s="188" t="s">
        <v>68</v>
      </c>
      <c r="B574" s="189" t="s">
        <v>3072</v>
      </c>
      <c r="C574" s="265"/>
      <c r="D574" s="265"/>
      <c r="E574" s="265"/>
      <c r="F574" s="182">
        <v>304.0</v>
      </c>
      <c r="G574" s="172" t="str">
        <f>IFERROR(__xludf.DUMMYFUNCTION("TRIM(REGEXREPLACE(C574, ""[0-9]+[a-f]?\."", """"))"),"")</f>
        <v/>
      </c>
      <c r="H574" s="172" t="str">
        <f>IFERROR(__xludf.DUMMYFUNCTION("TRIM(REGEXREPLACE(D574, ""[0-9]+[a-f]?\."", """"))"),"")</f>
        <v/>
      </c>
      <c r="I574" s="172" t="str">
        <f>IFERROR(__xludf.DUMMYFUNCTION("TRIM(REGEXREPLACE(E574, ""[0-9]+[a-f]?\."", """"))"),"")</f>
        <v/>
      </c>
      <c r="J574" s="172" t="s">
        <v>3073</v>
      </c>
      <c r="K574" s="172" t="s">
        <v>3074</v>
      </c>
      <c r="L574" s="172" t="s">
        <v>3075</v>
      </c>
    </row>
    <row r="575" hidden="1"/>
    <row r="576" hidden="1">
      <c r="A576" s="188" t="s">
        <v>68</v>
      </c>
      <c r="B576" s="189" t="s">
        <v>3076</v>
      </c>
      <c r="C576" s="265"/>
      <c r="D576" s="265"/>
      <c r="E576" s="265"/>
      <c r="F576" s="182">
        <v>305.0</v>
      </c>
      <c r="G576" s="172" t="str">
        <f>IFERROR(__xludf.DUMMYFUNCTION("TRIM(REGEXREPLACE(C576, ""[0-9]+[a-f]?\."", """"))"),"")</f>
        <v/>
      </c>
      <c r="H576" s="172" t="str">
        <f>IFERROR(__xludf.DUMMYFUNCTION("TRIM(REGEXREPLACE(D576, ""[0-9]+[a-f]?\."", """"))"),"")</f>
        <v/>
      </c>
      <c r="I576" s="172" t="str">
        <f>IFERROR(__xludf.DUMMYFUNCTION("TRIM(REGEXREPLACE(E576, ""[0-9]+[a-f]?\."", """"))"),"")</f>
        <v/>
      </c>
      <c r="J576" s="172" t="s">
        <v>3077</v>
      </c>
      <c r="K576" s="172" t="s">
        <v>3078</v>
      </c>
      <c r="L576" s="172" t="s">
        <v>3079</v>
      </c>
    </row>
    <row r="577" hidden="1">
      <c r="A577" s="188" t="s">
        <v>68</v>
      </c>
      <c r="B577" s="189" t="s">
        <v>3080</v>
      </c>
      <c r="C577" s="265"/>
      <c r="D577" s="265"/>
      <c r="E577" s="265"/>
      <c r="F577" s="182">
        <v>306.0</v>
      </c>
      <c r="G577" s="172" t="str">
        <f>IFERROR(__xludf.DUMMYFUNCTION("TRIM(REGEXREPLACE(C577, ""[0-9]+[a-f]?\."", """"))"),"")</f>
        <v/>
      </c>
      <c r="H577" s="172" t="str">
        <f>IFERROR(__xludf.DUMMYFUNCTION("TRIM(REGEXREPLACE(D577, ""[0-9]+[a-f]?\."", """"))"),"")</f>
        <v/>
      </c>
      <c r="I577" s="172" t="str">
        <f>IFERROR(__xludf.DUMMYFUNCTION("TRIM(REGEXREPLACE(E577, ""[0-9]+[a-f]?\."", """"))"),"")</f>
        <v/>
      </c>
      <c r="J577" s="172" t="s">
        <v>3081</v>
      </c>
      <c r="K577" s="172" t="s">
        <v>3082</v>
      </c>
      <c r="L577" s="172" t="s">
        <v>3083</v>
      </c>
    </row>
    <row r="578" hidden="1">
      <c r="A578" s="188" t="s">
        <v>68</v>
      </c>
      <c r="B578" s="189" t="s">
        <v>3084</v>
      </c>
      <c r="C578" s="265"/>
      <c r="D578" s="265"/>
      <c r="E578" s="265"/>
      <c r="F578" s="182">
        <v>307.0</v>
      </c>
      <c r="G578" s="172" t="str">
        <f>IFERROR(__xludf.DUMMYFUNCTION("TRIM(REGEXREPLACE(C578, ""[0-9]+[a-f]?\."", """"))"),"")</f>
        <v/>
      </c>
      <c r="H578" s="172" t="str">
        <f>IFERROR(__xludf.DUMMYFUNCTION("TRIM(REGEXREPLACE(D578, ""[0-9]+[a-f]?\."", """"))"),"")</f>
        <v/>
      </c>
      <c r="I578" s="172" t="str">
        <f>IFERROR(__xludf.DUMMYFUNCTION("TRIM(REGEXREPLACE(E578, ""[0-9]+[a-f]?\."", """"))"),"")</f>
        <v/>
      </c>
      <c r="J578" s="172" t="s">
        <v>3085</v>
      </c>
      <c r="K578" s="172" t="s">
        <v>3086</v>
      </c>
      <c r="L578" s="172" t="s">
        <v>3087</v>
      </c>
    </row>
    <row r="579" hidden="1"/>
    <row r="580" hidden="1"/>
    <row r="581" hidden="1">
      <c r="A581" s="188" t="s">
        <v>68</v>
      </c>
      <c r="B581" s="189" t="s">
        <v>3088</v>
      </c>
      <c r="C581" s="265"/>
      <c r="D581" s="265"/>
      <c r="E581" s="265"/>
      <c r="F581" s="182">
        <v>308.0</v>
      </c>
      <c r="G581" s="172" t="str">
        <f>IFERROR(__xludf.DUMMYFUNCTION("TRIM(REGEXREPLACE(C581, ""[0-9]+[a-f]?\."", """"))"),"")</f>
        <v/>
      </c>
      <c r="H581" s="172" t="str">
        <f>IFERROR(__xludf.DUMMYFUNCTION("TRIM(REGEXREPLACE(D581, ""[0-9]+[a-f]?\."", """"))"),"")</f>
        <v/>
      </c>
      <c r="I581" s="172" t="str">
        <f>IFERROR(__xludf.DUMMYFUNCTION("TRIM(REGEXREPLACE(E581, ""[0-9]+[a-f]?\."", """"))"),"")</f>
        <v/>
      </c>
      <c r="J581" s="172" t="s">
        <v>3089</v>
      </c>
      <c r="K581" s="172" t="s">
        <v>3090</v>
      </c>
      <c r="L581" s="172" t="s">
        <v>3091</v>
      </c>
    </row>
    <row r="582" hidden="1">
      <c r="A582" s="188" t="s">
        <v>68</v>
      </c>
      <c r="B582" s="189" t="s">
        <v>3092</v>
      </c>
      <c r="C582" s="265"/>
      <c r="D582" s="265"/>
      <c r="E582" s="265"/>
      <c r="F582" s="182">
        <v>309.0</v>
      </c>
      <c r="G582" s="172" t="str">
        <f>IFERROR(__xludf.DUMMYFUNCTION("TRIM(REGEXREPLACE(C582, ""[0-9]+[a-f]?\."", """"))"),"")</f>
        <v/>
      </c>
      <c r="H582" s="172" t="str">
        <f>IFERROR(__xludf.DUMMYFUNCTION("TRIM(REGEXREPLACE(D582, ""[0-9]+[a-f]?\."", """"))"),"")</f>
        <v/>
      </c>
      <c r="I582" s="172" t="str">
        <f>IFERROR(__xludf.DUMMYFUNCTION("TRIM(REGEXREPLACE(E582, ""[0-9]+[a-f]?\."", """"))"),"")</f>
        <v/>
      </c>
      <c r="J582" s="172" t="s">
        <v>3093</v>
      </c>
      <c r="K582" s="172" t="s">
        <v>3094</v>
      </c>
      <c r="L582" s="172" t="s">
        <v>3095</v>
      </c>
      <c r="M582" s="172"/>
    </row>
    <row r="583" hidden="1">
      <c r="A583" s="188" t="s">
        <v>68</v>
      </c>
      <c r="B583" s="189" t="s">
        <v>3096</v>
      </c>
      <c r="C583" s="265"/>
      <c r="D583" s="265"/>
      <c r="E583" s="265"/>
      <c r="F583" s="182">
        <v>310.0</v>
      </c>
      <c r="G583" s="172" t="str">
        <f>IFERROR(__xludf.DUMMYFUNCTION("TRIM(REGEXREPLACE(C583, ""[0-9]+[a-f]?\."", """"))"),"")</f>
        <v/>
      </c>
      <c r="H583" s="172" t="str">
        <f>IFERROR(__xludf.DUMMYFUNCTION("TRIM(REGEXREPLACE(D583, ""[0-9]+[a-f]?\."", """"))"),"")</f>
        <v/>
      </c>
      <c r="I583" s="172" t="str">
        <f>IFERROR(__xludf.DUMMYFUNCTION("TRIM(REGEXREPLACE(E583, ""[0-9]+[a-f]?\."", """"))"),"")</f>
        <v/>
      </c>
      <c r="J583" s="172" t="s">
        <v>3097</v>
      </c>
      <c r="K583" s="172" t="s">
        <v>3098</v>
      </c>
      <c r="L583" s="172" t="s">
        <v>3099</v>
      </c>
      <c r="M583" s="172"/>
    </row>
    <row r="584" hidden="1">
      <c r="A584" s="188" t="s">
        <v>68</v>
      </c>
      <c r="B584" s="189" t="s">
        <v>3100</v>
      </c>
      <c r="C584" s="265"/>
      <c r="D584" s="265"/>
      <c r="E584" s="265"/>
      <c r="F584" s="182">
        <v>311.0</v>
      </c>
      <c r="G584" s="172" t="str">
        <f>IFERROR(__xludf.DUMMYFUNCTION("TRIM(REGEXREPLACE(C584, ""[0-9]+[a-f]?\."", """"))"),"")</f>
        <v/>
      </c>
      <c r="H584" s="172" t="str">
        <f>IFERROR(__xludf.DUMMYFUNCTION("TRIM(REGEXREPLACE(D584, ""[0-9]+[a-f]?\."", """"))"),"")</f>
        <v/>
      </c>
      <c r="I584" s="172" t="str">
        <f>IFERROR(__xludf.DUMMYFUNCTION("TRIM(REGEXREPLACE(E584, ""[0-9]+[a-f]?\."", """"))"),"")</f>
        <v/>
      </c>
      <c r="J584" s="172" t="s">
        <v>3101</v>
      </c>
      <c r="K584" s="172" t="s">
        <v>3102</v>
      </c>
      <c r="L584" s="172" t="s">
        <v>3103</v>
      </c>
    </row>
    <row r="585" hidden="1">
      <c r="A585" s="188" t="s">
        <v>68</v>
      </c>
      <c r="B585" s="189" t="s">
        <v>3104</v>
      </c>
      <c r="C585" s="265"/>
      <c r="D585" s="265"/>
      <c r="E585" s="265"/>
      <c r="F585" s="182">
        <v>312.0</v>
      </c>
      <c r="G585" s="172" t="str">
        <f>IFERROR(__xludf.DUMMYFUNCTION("TRIM(REGEXREPLACE(C585, ""[0-9]+[a-f]?\."", """"))"),"")</f>
        <v/>
      </c>
      <c r="H585" s="172" t="str">
        <f>IFERROR(__xludf.DUMMYFUNCTION("TRIM(REGEXREPLACE(D585, ""[0-9]+[a-f]?\."", """"))"),"")</f>
        <v/>
      </c>
      <c r="I585" s="172" t="str">
        <f>IFERROR(__xludf.DUMMYFUNCTION("TRIM(REGEXREPLACE(E585, ""[0-9]+[a-f]?\."", """"))"),"")</f>
        <v/>
      </c>
      <c r="J585" s="172" t="s">
        <v>3105</v>
      </c>
      <c r="K585" s="172" t="s">
        <v>3106</v>
      </c>
      <c r="L585" s="172" t="s">
        <v>3107</v>
      </c>
    </row>
    <row r="586" hidden="1">
      <c r="A586" s="269"/>
      <c r="B586" s="270"/>
      <c r="C586" s="267"/>
      <c r="D586" s="267"/>
      <c r="E586" s="267"/>
      <c r="F586" s="182">
        <v>313.0</v>
      </c>
      <c r="G586" s="172" t="str">
        <f>IFERROR(__xludf.DUMMYFUNCTION("TRIM(REGEXREPLACE(C586, ""[0-9]+[a-f]?\."", """"))"),"")</f>
        <v/>
      </c>
      <c r="H586" s="172" t="str">
        <f>IFERROR(__xludf.DUMMYFUNCTION("TRIM(REGEXREPLACE(D586, ""[0-9]+[a-f]?\."", """"))"),"")</f>
        <v/>
      </c>
      <c r="I586" s="172" t="str">
        <f>IFERROR(__xludf.DUMMYFUNCTION("TRIM(REGEXREPLACE(E586, ""[0-9]+[a-f]?\."", """"))"),"")</f>
        <v/>
      </c>
      <c r="J586" s="172" t="s">
        <v>3108</v>
      </c>
      <c r="K586" s="172" t="s">
        <v>3109</v>
      </c>
      <c r="L586" s="172" t="s">
        <v>3110</v>
      </c>
    </row>
    <row r="587" hidden="1">
      <c r="C587" s="260"/>
      <c r="D587" s="260"/>
      <c r="E587" s="260"/>
      <c r="F587" s="182">
        <v>350.0</v>
      </c>
      <c r="G587" s="172" t="str">
        <f>IFERROR(__xludf.DUMMYFUNCTION("TRIM(REGEXREPLACE(C587, ""[0-9]+[a-f]?\."", """"))"),"")</f>
        <v/>
      </c>
      <c r="H587" s="172" t="str">
        <f>IFERROR(__xludf.DUMMYFUNCTION("TRIM(REGEXREPLACE(D587, ""[0-9]+[a-f]?\."", """"))"),"")</f>
        <v/>
      </c>
      <c r="I587" s="172" t="str">
        <f>IFERROR(__xludf.DUMMYFUNCTION("TRIM(REGEXREPLACE(E587, ""[0-9]+[a-f]?\."", """"))"),"")</f>
        <v/>
      </c>
      <c r="J587" s="172" t="s">
        <v>3111</v>
      </c>
      <c r="K587" s="172" t="s">
        <v>3112</v>
      </c>
      <c r="L587" s="172" t="s">
        <v>3113</v>
      </c>
    </row>
    <row r="588" hidden="1">
      <c r="C588" s="260"/>
      <c r="D588" s="260"/>
      <c r="E588" s="260"/>
      <c r="F588" s="182">
        <v>351.0</v>
      </c>
      <c r="G588" s="172" t="str">
        <f>IFERROR(__xludf.DUMMYFUNCTION("TRIM(REGEXREPLACE(C588, ""[0-9]+[a-f]?\."", """"))"),"")</f>
        <v/>
      </c>
      <c r="H588" s="172" t="str">
        <f>IFERROR(__xludf.DUMMYFUNCTION("TRIM(REGEXREPLACE(D588, ""[0-9]+[a-f]?\."", """"))"),"")</f>
        <v/>
      </c>
      <c r="I588" s="172" t="str">
        <f>IFERROR(__xludf.DUMMYFUNCTION("TRIM(REGEXREPLACE(E588, ""[0-9]+[a-f]?\."", """"))"),"")</f>
        <v/>
      </c>
      <c r="J588" s="172" t="s">
        <v>3114</v>
      </c>
      <c r="K588" s="172" t="s">
        <v>3115</v>
      </c>
      <c r="L588" s="172" t="s">
        <v>3116</v>
      </c>
    </row>
    <row r="589" hidden="1">
      <c r="C589" s="260"/>
      <c r="D589" s="260"/>
      <c r="E589" s="260"/>
      <c r="F589" s="182">
        <v>352.0</v>
      </c>
      <c r="G589" s="172" t="str">
        <f>IFERROR(__xludf.DUMMYFUNCTION("TRIM(REGEXREPLACE(C589, ""[0-9]+[a-f]?\."", """"))"),"")</f>
        <v/>
      </c>
      <c r="H589" s="172" t="str">
        <f>IFERROR(__xludf.DUMMYFUNCTION("TRIM(REGEXREPLACE(D589, ""[0-9]+[a-f]?\."", """"))"),"")</f>
        <v/>
      </c>
      <c r="I589" s="172" t="str">
        <f>IFERROR(__xludf.DUMMYFUNCTION("TRIM(REGEXREPLACE(E589, ""[0-9]+[a-f]?\."", """"))"),"")</f>
        <v/>
      </c>
      <c r="J589" s="172" t="s">
        <v>3117</v>
      </c>
      <c r="K589" s="172" t="s">
        <v>3118</v>
      </c>
      <c r="L589" s="172" t="s">
        <v>3119</v>
      </c>
    </row>
    <row r="590" hidden="1">
      <c r="A590" s="211" t="s">
        <v>107</v>
      </c>
      <c r="B590" s="212" t="s">
        <v>3120</v>
      </c>
      <c r="C590" s="272"/>
      <c r="D590" s="272"/>
      <c r="E590" s="272"/>
      <c r="F590" s="182">
        <v>314.0</v>
      </c>
      <c r="G590" s="172" t="str">
        <f>IFERROR(__xludf.DUMMYFUNCTION("TRIM(REGEXREPLACE(C590, ""[0-9]+[a-f]?\."", """"))"),"")</f>
        <v/>
      </c>
      <c r="H590" s="172" t="str">
        <f>IFERROR(__xludf.DUMMYFUNCTION("TRIM(REGEXREPLACE(D590, ""[0-9]+[a-f]?\."", """"))"),"")</f>
        <v/>
      </c>
      <c r="I590" s="172" t="str">
        <f>IFERROR(__xludf.DUMMYFUNCTION("TRIM(REGEXREPLACE(E590, ""[0-9]+[a-f]?\."", """"))"),"")</f>
        <v/>
      </c>
      <c r="J590" s="172" t="s">
        <v>3121</v>
      </c>
      <c r="K590" s="172" t="s">
        <v>3122</v>
      </c>
      <c r="L590" s="172" t="s">
        <v>3123</v>
      </c>
      <c r="M590" s="172"/>
    </row>
    <row r="591">
      <c r="A591" s="207" t="s">
        <v>41</v>
      </c>
      <c r="B591" s="208" t="s">
        <v>3124</v>
      </c>
      <c r="C591" s="208" t="s">
        <v>3125</v>
      </c>
      <c r="D591" s="208" t="s">
        <v>3126</v>
      </c>
      <c r="E591" s="208" t="s">
        <v>3127</v>
      </c>
      <c r="F591" s="182">
        <v>55.0</v>
      </c>
      <c r="G591" s="172" t="str">
        <f>IFERROR(__xludf.DUMMYFUNCTION("TRIM(REGEXREPLACE(C591, ""[0-9]+[a-f]?\."", """"))"),"Before we begin, we'd like to ask you a few questions about your immediate family.")</f>
        <v>Before we begin, we'd like to ask you a few questions about your immediate family.</v>
      </c>
      <c r="H591" s="172" t="str">
        <f>IFERROR(__xludf.DUMMYFUNCTION("TRIM(REGEXREPLACE(D591, ""[0-9]+[a-f]?\."", """"))"),"Avant de commencer, nous aimerions vous poser quelques questions sur votre famille immédiate.")</f>
        <v>Avant de commencer, nous aimerions vous poser quelques questions sur votre famille immédiate.</v>
      </c>
      <c r="I591" s="172" t="str">
        <f>IFERROR(__xludf.DUMMYFUNCTION("TRIM(REGEXREPLACE(E591, ""[0-9]+[a-f]?\."", """"))"),"Kafin mu fara, muna so mu yi muku ƴan tambayoyi game da ƴan gidan ku ma kusata.")</f>
        <v>Kafin mu fara, muna so mu yi muku ƴan tambayoyi game da ƴan gidan ku ma kusata.</v>
      </c>
      <c r="J591" s="172" t="str">
        <f t="shared" ref="J591:L591" si="55">$F591 &amp; ". " &amp;G591</f>
        <v>55. Before we begin, we'd like to ask you a few questions about your immediate family.</v>
      </c>
      <c r="K591" s="172" t="str">
        <f t="shared" si="55"/>
        <v>55. Avant de commencer, nous aimerions vous poser quelques questions sur votre famille immédiate.</v>
      </c>
      <c r="L591" s="172" t="str">
        <f t="shared" si="55"/>
        <v>55. Kafin mu fara, muna so mu yi muku ƴan tambayoyi game da ƴan gidan ku ma kusata.</v>
      </c>
      <c r="M591" s="172"/>
    </row>
    <row r="592">
      <c r="A592" s="215" t="s">
        <v>353</v>
      </c>
      <c r="B592" s="273" t="s">
        <v>3128</v>
      </c>
      <c r="C592" s="216" t="s">
        <v>3129</v>
      </c>
      <c r="D592" s="216" t="s">
        <v>3130</v>
      </c>
      <c r="E592" s="216" t="s">
        <v>3131</v>
      </c>
      <c r="F592" s="182">
        <v>56.0</v>
      </c>
      <c r="G592" s="172" t="str">
        <f>IFERROR(__xludf.DUMMYFUNCTION("TRIM(REGEXREPLACE(C592, ""[0-9]+[a-f]?\."", """"))"),"Do you have children?")</f>
        <v>Do you have children?</v>
      </c>
      <c r="H592" s="172" t="str">
        <f>IFERROR(__xludf.DUMMYFUNCTION("TRIM(REGEXREPLACE(D592, ""[0-9]+[a-f]?\."", """"))"),"Avez-vous des enfants?")</f>
        <v>Avez-vous des enfants?</v>
      </c>
      <c r="I592" s="172" t="str">
        <f>IFERROR(__xludf.DUMMYFUNCTION("TRIM(REGEXREPLACE(E592, ""[0-9]+[a-f]?\."", """"))"),"Ko kuna da yara?")</f>
        <v>Ko kuna da yara?</v>
      </c>
      <c r="J592" s="172" t="str">
        <f t="shared" ref="J592:L592" si="56">$F592 &amp; ". " &amp;G592</f>
        <v>56. Do you have children?</v>
      </c>
      <c r="K592" s="172" t="str">
        <f t="shared" si="56"/>
        <v>56. Avez-vous des enfants?</v>
      </c>
      <c r="L592" s="172" t="str">
        <f t="shared" si="56"/>
        <v>56. Ko kuna da yara?</v>
      </c>
    </row>
    <row r="593">
      <c r="A593" s="215" t="s">
        <v>3136</v>
      </c>
      <c r="B593" s="216" t="s">
        <v>3137</v>
      </c>
      <c r="C593" s="216" t="s">
        <v>3138</v>
      </c>
      <c r="D593" s="216" t="s">
        <v>3139</v>
      </c>
      <c r="E593" s="216" t="s">
        <v>3140</v>
      </c>
      <c r="F593" s="182">
        <v>57.0</v>
      </c>
      <c r="G593" s="172" t="str">
        <f>IFERROR(__xludf.DUMMYFUNCTION("TRIM(REGEXREPLACE(C593, ""[0-9]+[a-f]?\."", """"))"),"Please identify your children from the following list of household members:")</f>
        <v>Please identify your children from the following list of household members:</v>
      </c>
      <c r="H593" s="172" t="str">
        <f>IFERROR(__xludf.DUMMYFUNCTION("TRIM(REGEXREPLACE(D593, ""[0-9]+[a-f]?\."", """"))"),"Veuillez identifier vos enfants à partir de la liste suivante des membres du ménage :")</f>
        <v>Veuillez identifier vos enfants à partir de la liste suivante des membres du ménage :</v>
      </c>
      <c r="I593" s="172" t="str">
        <f>IFERROR(__xludf.DUMMYFUNCTION("TRIM(REGEXREPLACE(E593, ""[0-9]+[a-f]?\."", """"))"),"Da fatan za ku gano yaranku daga jerin sunayen ƴan gida masu zuwa:")</f>
        <v>Da fatan za ku gano yaranku daga jerin sunayen ƴan gida masu zuwa:</v>
      </c>
      <c r="J593" s="172" t="str">
        <f t="shared" ref="J593:L593" si="57">$F593 &amp; ". " &amp;G593</f>
        <v>57. Please identify your children from the following list of household members:</v>
      </c>
      <c r="K593" s="172" t="str">
        <f t="shared" si="57"/>
        <v>57. Veuillez identifier vos enfants à partir de la liste suivante des membres du ménage :</v>
      </c>
      <c r="L593" s="172" t="str">
        <f t="shared" si="57"/>
        <v>57. Da fatan za ku gano yaranku daga jerin sunayen ƴan gida masu zuwa:</v>
      </c>
    </row>
    <row r="594">
      <c r="A594" s="253" t="s">
        <v>246</v>
      </c>
      <c r="B594" s="274" t="s">
        <v>3141</v>
      </c>
      <c r="C594" s="254" t="s">
        <v>3142</v>
      </c>
      <c r="D594" s="254" t="s">
        <v>3143</v>
      </c>
      <c r="E594" s="254" t="s">
        <v>3144</v>
      </c>
      <c r="F594" s="182">
        <v>58.0</v>
      </c>
      <c r="G594" s="172" t="str">
        <f>IFERROR(__xludf.DUMMYFUNCTION("TRIM(REGEXREPLACE(C594, ""[0-9]+[a-f]?\."", """"))"),"How many children were not in the list?")</f>
        <v>How many children were not in the list?</v>
      </c>
      <c r="H594" s="172" t="str">
        <f>IFERROR(__xludf.DUMMYFUNCTION("TRIM(REGEXREPLACE(D594, ""[0-9]+[a-f]?\."", """"))"),"Combien d’enfants ne figuraient pas sur la liste ?")</f>
        <v>Combien d’enfants ne figuraient pas sur la liste ?</v>
      </c>
      <c r="I594" s="172" t="str">
        <f>IFERROR(__xludf.DUMMYFUNCTION("TRIM(REGEXREPLACE(E594, ""[0-9]+[a-f]?\."", """"))"),"Yara nawa ne ba su cikin jerin sunayen?")</f>
        <v>Yara nawa ne ba su cikin jerin sunayen?</v>
      </c>
      <c r="J594" s="172" t="str">
        <f t="shared" ref="J594:L594" si="58">$F594 &amp; ". " &amp;G594</f>
        <v>58. How many children were not in the list?</v>
      </c>
      <c r="K594" s="172" t="str">
        <f t="shared" si="58"/>
        <v>58. Combien d’enfants ne figuraient pas sur la liste ?</v>
      </c>
      <c r="L594" s="172" t="str">
        <f t="shared" si="58"/>
        <v>58. Yara nawa ne ba su cikin jerin sunayen?</v>
      </c>
      <c r="M594" s="172"/>
    </row>
    <row r="595" hidden="1">
      <c r="A595" s="255" t="s">
        <v>1042</v>
      </c>
      <c r="B595" s="256" t="s">
        <v>3148</v>
      </c>
      <c r="C595" s="275" t="s">
        <v>3149</v>
      </c>
      <c r="D595" s="276"/>
      <c r="E595" s="276"/>
      <c r="F595" s="182">
        <v>319.0</v>
      </c>
      <c r="G595" s="172" t="str">
        <f>IFERROR(__xludf.DUMMYFUNCTION("TRIM(REGEXREPLACE(C595, ""[0-9]+[a-f]?\."", """"))"),"Children not in list")</f>
        <v>Children not in list</v>
      </c>
      <c r="H595" s="172" t="str">
        <f>IFERROR(__xludf.DUMMYFUNCTION("TRIM(REGEXREPLACE(D595, ""[0-9]+[a-f]?\."", """"))"),"")</f>
        <v/>
      </c>
      <c r="I595" s="172" t="str">
        <f>IFERROR(__xludf.DUMMYFUNCTION("TRIM(REGEXREPLACE(E595, ""[0-9]+[a-f]?\."", """"))"),"")</f>
        <v/>
      </c>
      <c r="J595" s="172" t="s">
        <v>3150</v>
      </c>
      <c r="K595" s="172" t="s">
        <v>3151</v>
      </c>
      <c r="L595" s="172" t="s">
        <v>3152</v>
      </c>
      <c r="M595" s="172"/>
    </row>
    <row r="596" hidden="1">
      <c r="A596" s="188" t="s">
        <v>68</v>
      </c>
      <c r="B596" s="189" t="s">
        <v>3153</v>
      </c>
      <c r="C596" s="265"/>
      <c r="D596" s="265"/>
      <c r="E596" s="265"/>
      <c r="F596" s="182">
        <v>320.0</v>
      </c>
      <c r="G596" s="172" t="str">
        <f>IFERROR(__xludf.DUMMYFUNCTION("TRIM(REGEXREPLACE(C596, ""[0-9]+[a-f]?\."", """"))"),"")</f>
        <v/>
      </c>
      <c r="H596" s="172" t="str">
        <f>IFERROR(__xludf.DUMMYFUNCTION("TRIM(REGEXREPLACE(D596, ""[0-9]+[a-f]?\."", """"))"),"")</f>
        <v/>
      </c>
      <c r="I596" s="172" t="str">
        <f>IFERROR(__xludf.DUMMYFUNCTION("TRIM(REGEXREPLACE(E596, ""[0-9]+[a-f]?\."", """"))"),"")</f>
        <v/>
      </c>
      <c r="J596" s="172" t="s">
        <v>3154</v>
      </c>
      <c r="K596" s="172" t="s">
        <v>3155</v>
      </c>
      <c r="L596" s="172" t="s">
        <v>3156</v>
      </c>
      <c r="M596" s="172"/>
    </row>
    <row r="597">
      <c r="A597" s="246" t="s">
        <v>231</v>
      </c>
      <c r="B597" s="277" t="s">
        <v>3157</v>
      </c>
      <c r="C597" s="247" t="s">
        <v>3158</v>
      </c>
      <c r="D597" s="247" t="s">
        <v>3159</v>
      </c>
      <c r="E597" s="247" t="s">
        <v>3161</v>
      </c>
      <c r="F597" s="182">
        <v>59.0</v>
      </c>
      <c r="G597" s="172" t="str">
        <f>IFERROR(__xludf.DUMMYFUNCTION("TRIM(REGEXREPLACE(C597, ""[0-9]+[a-f]?\."", """"))"),"What is the name of child #${pm_child_not_in_list_index}?")</f>
        <v>What is the name of child #${pm_child_not_in_list_index}?</v>
      </c>
      <c r="H597" s="172" t="str">
        <f>IFERROR(__xludf.DUMMYFUNCTION("TRIM(REGEXREPLACE(D597, ""[0-9]+[a-f]?\."", """"))"),"Quel est le nom de l'enfant #${pm_child_not_in_list_index} ?")</f>
        <v>Quel est le nom de l'enfant #${pm_child_not_in_list_index} ?</v>
      </c>
      <c r="I597" s="172" t="str">
        <f>IFERROR(__xludf.DUMMYFUNCTION("TRIM(REGEXREPLACE(E597, ""[0-9]+[a-f]?\."", """"))"),"Menene sunan yaro #${pm_child_not_in_list_index}?")</f>
        <v>Menene sunan yaro #${pm_child_not_in_list_index}?</v>
      </c>
      <c r="J597" s="172" t="str">
        <f t="shared" ref="J597:L597" si="59">$F597 &amp; ". " &amp;G597</f>
        <v>59. What is the name of child #${pm_child_not_in_list_index}?</v>
      </c>
      <c r="K597" s="172" t="str">
        <f t="shared" si="59"/>
        <v>59. Quel est le nom de l'enfant #${pm_child_not_in_list_index} ?</v>
      </c>
      <c r="L597" s="172" t="str">
        <f t="shared" si="59"/>
        <v>59. Menene sunan yaro #${pm_child_not_in_list_index}?</v>
      </c>
    </row>
    <row r="598">
      <c r="A598" s="253" t="s">
        <v>246</v>
      </c>
      <c r="B598" s="274" t="s">
        <v>3164</v>
      </c>
      <c r="C598" s="254" t="s">
        <v>3165</v>
      </c>
      <c r="D598" s="254" t="s">
        <v>3166</v>
      </c>
      <c r="E598" s="254" t="s">
        <v>3167</v>
      </c>
      <c r="F598" s="182">
        <v>60.0</v>
      </c>
      <c r="G598" s="172" t="str">
        <f>IFERROR(__xludf.DUMMYFUNCTION("TRIM(REGEXREPLACE(C598, ""[0-9]+[a-f]?\."", """"))"),"How old is ${pm_child_o_name}?")</f>
        <v>How old is ${pm_child_o_name}?</v>
      </c>
      <c r="H598" s="172" t="str">
        <f>IFERROR(__xludf.DUMMYFUNCTION("TRIM(REGEXREPLACE(D598, ""[0-9]+[a-f]?\."", """"))"),"Quel âge a ${pm_child_o_name} ?")</f>
        <v>Quel âge a ${pm_child_o_name} ?</v>
      </c>
      <c r="I598" s="172" t="str">
        <f>IFERROR(__xludf.DUMMYFUNCTION("TRIM(REGEXREPLACE(E598, ""[0-9]+[a-f]?\."", """"))"),"Shekarun ${pm_child_o_name} nawa?")</f>
        <v>Shekarun ${pm_child_o_name} nawa?</v>
      </c>
      <c r="J598" s="172" t="str">
        <f t="shared" ref="J598:L598" si="60">$F598 &amp; ". " &amp;G598</f>
        <v>60. How old is ${pm_child_o_name}?</v>
      </c>
      <c r="K598" s="172" t="str">
        <f t="shared" si="60"/>
        <v>60. Quel âge a ${pm_child_o_name} ?</v>
      </c>
      <c r="L598" s="172" t="str">
        <f t="shared" si="60"/>
        <v>60. Shekarun ${pm_child_o_name} nawa?</v>
      </c>
    </row>
    <row r="599" hidden="1">
      <c r="A599" s="255" t="s">
        <v>1064</v>
      </c>
      <c r="B599" s="261" t="s">
        <v>3148</v>
      </c>
      <c r="C599" s="264"/>
      <c r="D599" s="264"/>
      <c r="E599" s="264"/>
      <c r="F599" s="182">
        <v>323.0</v>
      </c>
      <c r="G599" s="172" t="str">
        <f>IFERROR(__xludf.DUMMYFUNCTION("TRIM(REGEXREPLACE(C599, ""[0-9]+[a-f]?\."", """"))"),"")</f>
        <v/>
      </c>
      <c r="H599" s="172" t="str">
        <f>IFERROR(__xludf.DUMMYFUNCTION("TRIM(REGEXREPLACE(D599, ""[0-9]+[a-f]?\."", """"))"),"")</f>
        <v/>
      </c>
      <c r="I599" s="172" t="str">
        <f>IFERROR(__xludf.DUMMYFUNCTION("TRIM(REGEXREPLACE(E599, ""[0-9]+[a-f]?\."", """"))"),"")</f>
        <v/>
      </c>
      <c r="J599" s="172" t="s">
        <v>3171</v>
      </c>
      <c r="K599" s="172" t="s">
        <v>3172</v>
      </c>
      <c r="L599" s="172" t="s">
        <v>3173</v>
      </c>
    </row>
    <row r="600">
      <c r="A600" s="215" t="s">
        <v>353</v>
      </c>
      <c r="B600" s="216" t="s">
        <v>3174</v>
      </c>
      <c r="C600" s="216" t="s">
        <v>1090</v>
      </c>
      <c r="D600" s="216" t="s">
        <v>3175</v>
      </c>
      <c r="E600" s="216" t="s">
        <v>3176</v>
      </c>
      <c r="F600" s="182">
        <v>61.0</v>
      </c>
      <c r="G600" s="172" t="str">
        <f>IFERROR(__xludf.DUMMYFUNCTION("TRIM(REGEXREPLACE(C600, ""[0-9]+[a-f]?\."", """"))"),"Are you married?")</f>
        <v>Are you married?</v>
      </c>
      <c r="H600" s="172" t="str">
        <f>IFERROR(__xludf.DUMMYFUNCTION("TRIM(REGEXREPLACE(D600, ""[0-9]+[a-f]?\."", """"))"),"Êtes-vous marié?")</f>
        <v>Êtes-vous marié?</v>
      </c>
      <c r="I600" s="172" t="str">
        <f>IFERROR(__xludf.DUMMYFUNCTION("TRIM(REGEXREPLACE(E600, ""[0-9]+[a-f]?\."", """"))"),"Ko kana da aure?")</f>
        <v>Ko kana da aure?</v>
      </c>
      <c r="J600" s="172" t="str">
        <f t="shared" ref="J600:L600" si="61">$F600 &amp; ". " &amp;G600</f>
        <v>61. Are you married?</v>
      </c>
      <c r="K600" s="172" t="str">
        <f t="shared" si="61"/>
        <v>61. Êtes-vous marié?</v>
      </c>
      <c r="L600" s="172" t="str">
        <f t="shared" si="61"/>
        <v>61. Ko kana da aure?</v>
      </c>
    </row>
    <row r="601" hidden="1">
      <c r="C601" s="260"/>
      <c r="D601" s="260"/>
      <c r="E601" s="260"/>
      <c r="F601" s="182">
        <v>361.0</v>
      </c>
      <c r="G601" s="172" t="str">
        <f>IFERROR(__xludf.DUMMYFUNCTION("TRIM(REGEXREPLACE(C601, ""[0-9]+[a-f]?\."", """"))"),"")</f>
        <v/>
      </c>
      <c r="H601" s="172" t="str">
        <f>IFERROR(__xludf.DUMMYFUNCTION("TRIM(REGEXREPLACE(D601, ""[0-9]+[a-f]?\."", """"))"),"")</f>
        <v/>
      </c>
      <c r="I601" s="172" t="str">
        <f>IFERROR(__xludf.DUMMYFUNCTION("TRIM(REGEXREPLACE(E601, ""[0-9]+[a-f]?\."", """"))"),"")</f>
        <v/>
      </c>
      <c r="J601" s="172" t="s">
        <v>3180</v>
      </c>
      <c r="K601" s="172" t="s">
        <v>3181</v>
      </c>
      <c r="L601" s="172" t="s">
        <v>3182</v>
      </c>
    </row>
    <row r="602">
      <c r="A602" s="215" t="s">
        <v>3183</v>
      </c>
      <c r="B602" s="216" t="s">
        <v>3184</v>
      </c>
      <c r="C602" s="216" t="s">
        <v>3185</v>
      </c>
      <c r="D602" s="216" t="s">
        <v>3186</v>
      </c>
      <c r="E602" s="216" t="s">
        <v>3187</v>
      </c>
      <c r="F602" s="182">
        <v>62.0</v>
      </c>
      <c r="G602" s="172" t="str">
        <f>IFERROR(__xludf.DUMMYFUNCTION("TRIM(REGEXREPLACE(C602, ""[0-9]+[a-f]?\."", """"))"),"Please identify your spouse from the following list of female household members:")</f>
        <v>Please identify your spouse from the following list of female household members:</v>
      </c>
      <c r="H602" s="172" t="str">
        <f>IFERROR(__xludf.DUMMYFUNCTION("TRIM(REGEXREPLACE(D602, ""[0-9]+[a-f]?\."", """"))"),"Veuillez identifier votre conjoint à partir de la liste des membres féminins suivants du ménage :")</f>
        <v>Veuillez identifier votre conjoint à partir de la liste des membres féminins suivants du ménage :</v>
      </c>
      <c r="I602" s="172" t="str">
        <f>IFERROR(__xludf.DUMMYFUNCTION("TRIM(REGEXREPLACE(E602, ""[0-9]+[a-f]?\."", """"))"),"Da fatan za ka bayyana sunan matar ka daga cikin jerin sunayen ƴan gidan ku mata masu zuwa:")</f>
        <v>Da fatan za ka bayyana sunan matar ka daga cikin jerin sunayen ƴan gidan ku mata masu zuwa:</v>
      </c>
      <c r="J602" s="172" t="str">
        <f t="shared" ref="J602:L602" si="62">$F602 &amp; ". " &amp;G602</f>
        <v>62. Please identify your spouse from the following list of female household members:</v>
      </c>
      <c r="K602" s="172" t="str">
        <f t="shared" si="62"/>
        <v>62. Veuillez identifier votre conjoint à partir de la liste des membres féminins suivants du ménage :</v>
      </c>
      <c r="L602" s="172" t="str">
        <f t="shared" si="62"/>
        <v>62. Da fatan za ka bayyana sunan matar ka daga cikin jerin sunayen ƴan gidan ku mata masu zuwa:</v>
      </c>
    </row>
    <row r="603">
      <c r="A603" s="253" t="s">
        <v>246</v>
      </c>
      <c r="B603" s="274" t="s">
        <v>3188</v>
      </c>
      <c r="C603" s="254" t="s">
        <v>3189</v>
      </c>
      <c r="D603" s="254" t="s">
        <v>3190</v>
      </c>
      <c r="E603" s="254" t="s">
        <v>3191</v>
      </c>
      <c r="F603" s="182">
        <v>63.0</v>
      </c>
      <c r="G603" s="172" t="str">
        <f>IFERROR(__xludf.DUMMYFUNCTION("TRIM(REGEXREPLACE(C603, ""[0-9]+[a-f]?\."", """"))"),"How many spouse were not in the list?")</f>
        <v>How many spouse were not in the list?</v>
      </c>
      <c r="H603" s="172" t="str">
        <f>IFERROR(__xludf.DUMMYFUNCTION("TRIM(REGEXREPLACE(D603, ""[0-9]+[a-f]?\."", """"))"),"Combien de conjoints ne figuraient pas sur la liste ?")</f>
        <v>Combien de conjoints ne figuraient pas sur la liste ?</v>
      </c>
      <c r="I603" s="172" t="str">
        <f>IFERROR(__xludf.DUMMYFUNCTION("TRIM(REGEXREPLACE(E603, ""[0-9]+[a-f]?\."", """"))"),"Ma'aurata nawa ne babu su cikin jerin sunayen?")</f>
        <v>Ma'aurata nawa ne babu su cikin jerin sunayen?</v>
      </c>
      <c r="J603" s="172" t="str">
        <f t="shared" ref="J603:L603" si="63">$F603 &amp; ". " &amp;G603</f>
        <v>63. How many spouse were not in the list?</v>
      </c>
      <c r="K603" s="172" t="str">
        <f t="shared" si="63"/>
        <v>63. Combien de conjoints ne figuraient pas sur la liste ?</v>
      </c>
      <c r="L603" s="172" t="str">
        <f t="shared" si="63"/>
        <v>63. Ma'aurata nawa ne babu su cikin jerin sunayen?</v>
      </c>
    </row>
    <row r="604" hidden="1">
      <c r="A604" s="255" t="s">
        <v>1042</v>
      </c>
      <c r="B604" s="256" t="s">
        <v>3192</v>
      </c>
      <c r="C604" s="275" t="s">
        <v>3193</v>
      </c>
      <c r="D604" s="276"/>
      <c r="E604" s="276"/>
      <c r="F604" s="182">
        <v>327.0</v>
      </c>
      <c r="G604" s="172" t="str">
        <f>IFERROR(__xludf.DUMMYFUNCTION("TRIM(REGEXREPLACE(C604, ""[0-9]+[a-f]?\."", """"))"),"Spouse not in list")</f>
        <v>Spouse not in list</v>
      </c>
      <c r="H604" s="172" t="str">
        <f>IFERROR(__xludf.DUMMYFUNCTION("TRIM(REGEXREPLACE(D604, ""[0-9]+[a-f]?\."", """"))"),"")</f>
        <v/>
      </c>
      <c r="I604" s="172" t="str">
        <f>IFERROR(__xludf.DUMMYFUNCTION("TRIM(REGEXREPLACE(E604, ""[0-9]+[a-f]?\."", """"))"),"")</f>
        <v/>
      </c>
      <c r="J604" s="172" t="s">
        <v>3194</v>
      </c>
      <c r="K604" s="172" t="s">
        <v>3195</v>
      </c>
      <c r="L604" s="172" t="s">
        <v>3196</v>
      </c>
    </row>
    <row r="605" hidden="1">
      <c r="A605" s="188" t="s">
        <v>68</v>
      </c>
      <c r="B605" s="189" t="s">
        <v>3197</v>
      </c>
      <c r="C605" s="265"/>
      <c r="D605" s="265"/>
      <c r="E605" s="265"/>
      <c r="F605" s="182">
        <v>328.0</v>
      </c>
      <c r="G605" s="172" t="str">
        <f>IFERROR(__xludf.DUMMYFUNCTION("TRIM(REGEXREPLACE(C605, ""[0-9]+[a-f]?\."", """"))"),"")</f>
        <v/>
      </c>
      <c r="H605" s="172" t="str">
        <f>IFERROR(__xludf.DUMMYFUNCTION("TRIM(REGEXREPLACE(D605, ""[0-9]+[a-f]?\."", """"))"),"")</f>
        <v/>
      </c>
      <c r="I605" s="172" t="str">
        <f>IFERROR(__xludf.DUMMYFUNCTION("TRIM(REGEXREPLACE(E605, ""[0-9]+[a-f]?\."", """"))"),"")</f>
        <v/>
      </c>
      <c r="J605" s="172" t="s">
        <v>3198</v>
      </c>
      <c r="K605" s="172" t="s">
        <v>3199</v>
      </c>
      <c r="L605" s="172" t="s">
        <v>3200</v>
      </c>
    </row>
    <row r="606">
      <c r="A606" s="246" t="s">
        <v>231</v>
      </c>
      <c r="B606" s="277" t="s">
        <v>3201</v>
      </c>
      <c r="C606" s="247" t="s">
        <v>3202</v>
      </c>
      <c r="D606" s="247" t="s">
        <v>3203</v>
      </c>
      <c r="E606" s="247" t="s">
        <v>3204</v>
      </c>
      <c r="F606" s="182">
        <v>64.0</v>
      </c>
      <c r="G606" s="172" t="str">
        <f>IFERROR(__xludf.DUMMYFUNCTION("TRIM(REGEXREPLACE(C606, ""[0-9]+[a-f]?\."", """"))"),"What is the name of spouse #${pm_spouse_not_in_list_index}?")</f>
        <v>What is the name of spouse #${pm_spouse_not_in_list_index}?</v>
      </c>
      <c r="H606" s="172" t="str">
        <f>IFERROR(__xludf.DUMMYFUNCTION("TRIM(REGEXREPLACE(D606, ""[0-9]+[a-f]?\."", """"))"),"Quel est le nom du conjoint #${pm_spouse_not_in_list_index} ?")</f>
        <v>Quel est le nom du conjoint #${pm_spouse_not_in_list_index} ?</v>
      </c>
      <c r="I606" s="172" t="str">
        <f>IFERROR(__xludf.DUMMYFUNCTION("TRIM(REGEXREPLACE(E606, ""[0-9]+[a-f]?\."", """"))"),"Menene sunan matar #${pm_spouse_not_in_list_index}?")</f>
        <v>Menene sunan matar #${pm_spouse_not_in_list_index}?</v>
      </c>
      <c r="J606" s="172" t="str">
        <f t="shared" ref="J606:L606" si="64">$F606 &amp; ". " &amp;G606</f>
        <v>64. What is the name of spouse #${pm_spouse_not_in_list_index}?</v>
      </c>
      <c r="K606" s="172" t="str">
        <f t="shared" si="64"/>
        <v>64. Quel est le nom du conjoint #${pm_spouse_not_in_list_index} ?</v>
      </c>
      <c r="L606" s="172" t="str">
        <f t="shared" si="64"/>
        <v>64. Menene sunan matar #${pm_spouse_not_in_list_index}?</v>
      </c>
    </row>
    <row r="607" hidden="1">
      <c r="B607" s="260"/>
      <c r="C607" s="260"/>
      <c r="D607" s="260"/>
      <c r="E607" s="260"/>
      <c r="F607" s="182">
        <v>364.0</v>
      </c>
      <c r="G607" s="172" t="str">
        <f>IFERROR(__xludf.DUMMYFUNCTION("TRIM(REGEXREPLACE(C607, ""[0-9]+[a-f]?\."", """"))"),"")</f>
        <v/>
      </c>
      <c r="H607" s="172" t="str">
        <f>IFERROR(__xludf.DUMMYFUNCTION("TRIM(REGEXREPLACE(D607, ""[0-9]+[a-f]?\."", """"))"),"")</f>
        <v/>
      </c>
      <c r="I607" s="172" t="str">
        <f>IFERROR(__xludf.DUMMYFUNCTION("TRIM(REGEXREPLACE(E607, ""[0-9]+[a-f]?\."", """"))"),"")</f>
        <v/>
      </c>
      <c r="J607" s="172" t="s">
        <v>3205</v>
      </c>
      <c r="K607" s="172" t="s">
        <v>3206</v>
      </c>
      <c r="L607" s="172" t="s">
        <v>3207</v>
      </c>
    </row>
    <row r="608" hidden="1">
      <c r="B608" s="260"/>
      <c r="C608" s="260"/>
      <c r="D608" s="260"/>
      <c r="E608" s="260"/>
      <c r="F608" s="182">
        <v>365.0</v>
      </c>
      <c r="G608" s="172" t="str">
        <f>IFERROR(__xludf.DUMMYFUNCTION("TRIM(REGEXREPLACE(C608, ""[0-9]+[a-f]?\."", """"))"),"")</f>
        <v/>
      </c>
      <c r="H608" s="172" t="str">
        <f>IFERROR(__xludf.DUMMYFUNCTION("TRIM(REGEXREPLACE(D608, ""[0-9]+[a-f]?\."", """"))"),"")</f>
        <v/>
      </c>
      <c r="I608" s="172" t="str">
        <f>IFERROR(__xludf.DUMMYFUNCTION("TRIM(REGEXREPLACE(E608, ""[0-9]+[a-f]?\."", """"))"),"")</f>
        <v/>
      </c>
      <c r="J608" s="172" t="s">
        <v>3208</v>
      </c>
      <c r="K608" s="172" t="s">
        <v>3209</v>
      </c>
      <c r="L608" s="172" t="s">
        <v>3210</v>
      </c>
    </row>
    <row r="609" hidden="1">
      <c r="B609" s="260"/>
      <c r="C609" s="260"/>
      <c r="D609" s="260"/>
      <c r="E609" s="260"/>
      <c r="F609" s="182">
        <v>366.0</v>
      </c>
      <c r="G609" s="172" t="str">
        <f>IFERROR(__xludf.DUMMYFUNCTION("TRIM(REGEXREPLACE(C609, ""[0-9]+[a-f]?\."", """"))"),"")</f>
        <v/>
      </c>
      <c r="H609" s="172" t="str">
        <f>IFERROR(__xludf.DUMMYFUNCTION("TRIM(REGEXREPLACE(D609, ""[0-9]+[a-f]?\."", """"))"),"")</f>
        <v/>
      </c>
      <c r="I609" s="172" t="str">
        <f>IFERROR(__xludf.DUMMYFUNCTION("TRIM(REGEXREPLACE(E609, ""[0-9]+[a-f]?\."", """"))"),"")</f>
        <v/>
      </c>
      <c r="J609" s="172" t="s">
        <v>3215</v>
      </c>
      <c r="K609" s="172" t="s">
        <v>3216</v>
      </c>
      <c r="L609" s="172" t="s">
        <v>3217</v>
      </c>
    </row>
    <row r="610" hidden="1">
      <c r="B610" s="260"/>
      <c r="C610" s="260"/>
      <c r="D610" s="260"/>
      <c r="E610" s="260"/>
      <c r="F610" s="182">
        <v>367.0</v>
      </c>
      <c r="G610" s="172" t="str">
        <f>IFERROR(__xludf.DUMMYFUNCTION("TRIM(REGEXREPLACE(C610, ""[0-9]+[a-f]?\."", """"))"),"")</f>
        <v/>
      </c>
      <c r="H610" s="172" t="str">
        <f>IFERROR(__xludf.DUMMYFUNCTION("TRIM(REGEXREPLACE(D610, ""[0-9]+[a-f]?\."", """"))"),"")</f>
        <v/>
      </c>
      <c r="I610" s="172" t="str">
        <f>IFERROR(__xludf.DUMMYFUNCTION("TRIM(REGEXREPLACE(E610, ""[0-9]+[a-f]?\."", """"))"),"")</f>
        <v/>
      </c>
      <c r="J610" s="172" t="s">
        <v>3218</v>
      </c>
      <c r="K610" s="172" t="s">
        <v>3219</v>
      </c>
      <c r="L610" s="172" t="s">
        <v>3220</v>
      </c>
    </row>
    <row r="611" hidden="1">
      <c r="B611" s="260"/>
      <c r="C611" s="260"/>
      <c r="D611" s="260"/>
      <c r="E611" s="260"/>
      <c r="F611" s="182">
        <v>368.0</v>
      </c>
      <c r="G611" s="172" t="str">
        <f>IFERROR(__xludf.DUMMYFUNCTION("TRIM(REGEXREPLACE(C611, ""[0-9]+[a-f]?\."", """"))"),"")</f>
        <v/>
      </c>
      <c r="H611" s="172" t="str">
        <f>IFERROR(__xludf.DUMMYFUNCTION("TRIM(REGEXREPLACE(D611, ""[0-9]+[a-f]?\."", """"))"),"")</f>
        <v/>
      </c>
      <c r="I611" s="172" t="str">
        <f>IFERROR(__xludf.DUMMYFUNCTION("TRIM(REGEXREPLACE(E611, ""[0-9]+[a-f]?\."", """"))"),"")</f>
        <v/>
      </c>
      <c r="J611" s="172" t="s">
        <v>3222</v>
      </c>
      <c r="K611" s="172" t="s">
        <v>3223</v>
      </c>
      <c r="L611" s="172" t="s">
        <v>3225</v>
      </c>
    </row>
    <row r="612" hidden="1">
      <c r="B612" s="260"/>
      <c r="C612" s="260"/>
      <c r="D612" s="260"/>
      <c r="E612" s="260"/>
      <c r="F612" s="182">
        <v>369.0</v>
      </c>
      <c r="G612" s="172" t="str">
        <f>IFERROR(__xludf.DUMMYFUNCTION("TRIM(REGEXREPLACE(C612, ""[0-9]+[a-f]?\."", """"))"),"")</f>
        <v/>
      </c>
      <c r="H612" s="172" t="str">
        <f>IFERROR(__xludf.DUMMYFUNCTION("TRIM(REGEXREPLACE(D612, ""[0-9]+[a-f]?\."", """"))"),"")</f>
        <v/>
      </c>
      <c r="I612" s="172" t="str">
        <f>IFERROR(__xludf.DUMMYFUNCTION("TRIM(REGEXREPLACE(E612, ""[0-9]+[a-f]?\."", """"))"),"")</f>
        <v/>
      </c>
      <c r="J612" s="172" t="s">
        <v>3227</v>
      </c>
      <c r="K612" s="172" t="s">
        <v>3228</v>
      </c>
      <c r="L612" s="172" t="s">
        <v>3229</v>
      </c>
    </row>
    <row r="613" hidden="1">
      <c r="B613" s="260"/>
      <c r="C613" s="260"/>
      <c r="D613" s="260"/>
      <c r="E613" s="260"/>
      <c r="F613" s="182">
        <v>370.0</v>
      </c>
      <c r="G613" s="172" t="str">
        <f>IFERROR(__xludf.DUMMYFUNCTION("TRIM(REGEXREPLACE(C613, ""[0-9]+[a-f]?\."", """"))"),"")</f>
        <v/>
      </c>
      <c r="H613" s="172" t="str">
        <f>IFERROR(__xludf.DUMMYFUNCTION("TRIM(REGEXREPLACE(D613, ""[0-9]+[a-f]?\."", """"))"),"")</f>
        <v/>
      </c>
      <c r="I613" s="172" t="str">
        <f>IFERROR(__xludf.DUMMYFUNCTION("TRIM(REGEXREPLACE(E613, ""[0-9]+[a-f]?\."", """"))"),"")</f>
        <v/>
      </c>
      <c r="J613" s="172" t="s">
        <v>3230</v>
      </c>
      <c r="K613" s="172" t="s">
        <v>3231</v>
      </c>
      <c r="L613" s="172" t="s">
        <v>3232</v>
      </c>
    </row>
    <row r="614" hidden="1">
      <c r="B614" s="260"/>
      <c r="C614" s="260"/>
      <c r="D614" s="260"/>
      <c r="E614" s="260"/>
      <c r="F614" s="182">
        <v>371.0</v>
      </c>
      <c r="G614" s="172" t="str">
        <f>IFERROR(__xludf.DUMMYFUNCTION("TRIM(REGEXREPLACE(C614, ""[0-9]+[a-f]?\."", """"))"),"")</f>
        <v/>
      </c>
      <c r="H614" s="172" t="str">
        <f>IFERROR(__xludf.DUMMYFUNCTION("TRIM(REGEXREPLACE(D614, ""[0-9]+[a-f]?\."", """"))"),"")</f>
        <v/>
      </c>
      <c r="I614" s="172" t="str">
        <f>IFERROR(__xludf.DUMMYFUNCTION("TRIM(REGEXREPLACE(E614, ""[0-9]+[a-f]?\."", """"))"),"")</f>
        <v/>
      </c>
      <c r="J614" s="172" t="s">
        <v>3233</v>
      </c>
      <c r="K614" s="172" t="s">
        <v>3234</v>
      </c>
      <c r="L614" s="172" t="s">
        <v>3235</v>
      </c>
      <c r="M614" s="172"/>
    </row>
    <row r="615" hidden="1">
      <c r="B615" s="260"/>
      <c r="C615" s="260"/>
      <c r="D615" s="260"/>
      <c r="E615" s="260"/>
      <c r="F615" s="182">
        <v>372.0</v>
      </c>
      <c r="G615" s="172" t="str">
        <f>IFERROR(__xludf.DUMMYFUNCTION("TRIM(REGEXREPLACE(C615, ""[0-9]+[a-f]?\."", """"))"),"")</f>
        <v/>
      </c>
      <c r="H615" s="172" t="str">
        <f>IFERROR(__xludf.DUMMYFUNCTION("TRIM(REGEXREPLACE(D615, ""[0-9]+[a-f]?\."", """"))"),"")</f>
        <v/>
      </c>
      <c r="I615" s="172" t="str">
        <f>IFERROR(__xludf.DUMMYFUNCTION("TRIM(REGEXREPLACE(E615, ""[0-9]+[a-f]?\."", """"))"),"")</f>
        <v/>
      </c>
      <c r="J615" s="172" t="s">
        <v>3239</v>
      </c>
      <c r="K615" s="172" t="s">
        <v>3240</v>
      </c>
      <c r="L615" s="172" t="s">
        <v>3241</v>
      </c>
      <c r="M615" s="172"/>
    </row>
    <row r="616" hidden="1">
      <c r="B616" s="260"/>
      <c r="C616" s="260"/>
      <c r="D616" s="260"/>
      <c r="E616" s="260"/>
      <c r="F616" s="182">
        <v>373.0</v>
      </c>
      <c r="G616" s="172" t="str">
        <f>IFERROR(__xludf.DUMMYFUNCTION("TRIM(REGEXREPLACE(C616, ""[0-9]+[a-f]?\."", """"))"),"")</f>
        <v/>
      </c>
      <c r="H616" s="172" t="str">
        <f>IFERROR(__xludf.DUMMYFUNCTION("TRIM(REGEXREPLACE(D616, ""[0-9]+[a-f]?\."", """"))"),"")</f>
        <v/>
      </c>
      <c r="I616" s="172" t="str">
        <f>IFERROR(__xludf.DUMMYFUNCTION("TRIM(REGEXREPLACE(E616, ""[0-9]+[a-f]?\."", """"))"),"")</f>
        <v/>
      </c>
      <c r="J616" s="172" t="s">
        <v>3242</v>
      </c>
      <c r="K616" s="172" t="s">
        <v>3243</v>
      </c>
      <c r="L616" s="172" t="s">
        <v>3244</v>
      </c>
      <c r="M616" s="172"/>
    </row>
    <row r="617" hidden="1">
      <c r="B617" s="260"/>
      <c r="C617" s="260"/>
      <c r="D617" s="260"/>
      <c r="E617" s="260"/>
      <c r="F617" s="182">
        <v>374.0</v>
      </c>
      <c r="G617" s="172" t="str">
        <f>IFERROR(__xludf.DUMMYFUNCTION("TRIM(REGEXREPLACE(C617, ""[0-9]+[a-f]?\."", """"))"),"")</f>
        <v/>
      </c>
      <c r="H617" s="172" t="str">
        <f>IFERROR(__xludf.DUMMYFUNCTION("TRIM(REGEXREPLACE(D617, ""[0-9]+[a-f]?\."", """"))"),"")</f>
        <v/>
      </c>
      <c r="I617" s="172" t="str">
        <f>IFERROR(__xludf.DUMMYFUNCTION("TRIM(REGEXREPLACE(E617, ""[0-9]+[a-f]?\."", """"))"),"")</f>
        <v/>
      </c>
      <c r="J617" s="172" t="s">
        <v>3247</v>
      </c>
      <c r="K617" s="172" t="s">
        <v>3249</v>
      </c>
      <c r="L617" s="172" t="s">
        <v>3250</v>
      </c>
      <c r="M617" s="172"/>
    </row>
    <row r="618" hidden="1">
      <c r="B618" s="260"/>
      <c r="C618" s="260"/>
      <c r="D618" s="260"/>
      <c r="E618" s="260"/>
      <c r="F618" s="182">
        <v>375.0</v>
      </c>
      <c r="G618" s="172" t="str">
        <f>IFERROR(__xludf.DUMMYFUNCTION("TRIM(REGEXREPLACE(C618, ""[0-9]+[a-f]?\."", """"))"),"")</f>
        <v/>
      </c>
      <c r="H618" s="172" t="str">
        <f>IFERROR(__xludf.DUMMYFUNCTION("TRIM(REGEXREPLACE(D618, ""[0-9]+[a-f]?\."", """"))"),"")</f>
        <v/>
      </c>
      <c r="I618" s="172" t="str">
        <f>IFERROR(__xludf.DUMMYFUNCTION("TRIM(REGEXREPLACE(E618, ""[0-9]+[a-f]?\."", """"))"),"")</f>
        <v/>
      </c>
      <c r="J618" s="172" t="s">
        <v>3251</v>
      </c>
      <c r="K618" s="172" t="s">
        <v>3252</v>
      </c>
      <c r="L618" s="172" t="s">
        <v>3253</v>
      </c>
      <c r="M618" s="172"/>
    </row>
    <row r="619">
      <c r="A619" s="253" t="s">
        <v>246</v>
      </c>
      <c r="B619" s="274" t="s">
        <v>3254</v>
      </c>
      <c r="C619" s="254" t="s">
        <v>3255</v>
      </c>
      <c r="D619" s="254" t="s">
        <v>3256</v>
      </c>
      <c r="E619" s="254" t="s">
        <v>3257</v>
      </c>
      <c r="F619" s="182">
        <v>65.0</v>
      </c>
      <c r="G619" s="172" t="str">
        <f>IFERROR(__xludf.DUMMYFUNCTION("TRIM(REGEXREPLACE(C619, ""[0-9]+[a-f]?\."", """"))"),"How old is ${pm_spouse_o_name}?")</f>
        <v>How old is ${pm_spouse_o_name}?</v>
      </c>
      <c r="H619" s="172" t="str">
        <f>IFERROR(__xludf.DUMMYFUNCTION("TRIM(REGEXREPLACE(D619, ""[0-9]+[a-f]?\."", """"))"),"Quel âge a ${pm_spouse_o_name} ?")</f>
        <v>Quel âge a ${pm_spouse_o_name} ?</v>
      </c>
      <c r="I619" s="172" t="str">
        <f>IFERROR(__xludf.DUMMYFUNCTION("TRIM(REGEXREPLACE(E619, ""[0-9]+[a-f]?\."", """"))"),"Shekarun ${pm_spouse_o_name} nawa2?")</f>
        <v>Shekarun ${pm_spouse_o_name} nawa2?</v>
      </c>
      <c r="J619" s="172" t="str">
        <f t="shared" ref="J619:L619" si="65">$F619 &amp; ". " &amp;G619</f>
        <v>65. How old is ${pm_spouse_o_name}?</v>
      </c>
      <c r="K619" s="172" t="str">
        <f t="shared" si="65"/>
        <v>65. Quel âge a ${pm_spouse_o_name} ?</v>
      </c>
      <c r="L619" s="172" t="str">
        <f t="shared" si="65"/>
        <v>65. Shekarun ${pm_spouse_o_name} nawa2?</v>
      </c>
      <c r="M619" s="172"/>
    </row>
    <row r="620" hidden="1">
      <c r="A620" s="255" t="s">
        <v>1064</v>
      </c>
      <c r="B620" s="261" t="s">
        <v>3192</v>
      </c>
      <c r="C620" s="264"/>
      <c r="D620" s="264"/>
      <c r="E620" s="264"/>
      <c r="F620" s="182">
        <v>331.0</v>
      </c>
      <c r="G620" s="172" t="str">
        <f>IFERROR(__xludf.DUMMYFUNCTION("TRIM(REGEXREPLACE(C620, ""[0-9]+[a-f]?\."", """"))"),"")</f>
        <v/>
      </c>
      <c r="H620" s="172" t="str">
        <f>IFERROR(__xludf.DUMMYFUNCTION("TRIM(REGEXREPLACE(D620, ""[0-9]+[a-f]?\."", """"))"),"")</f>
        <v/>
      </c>
      <c r="I620" s="172" t="str">
        <f>IFERROR(__xludf.DUMMYFUNCTION("TRIM(REGEXREPLACE(E620, ""[0-9]+[a-f]?\."", """"))"),"")</f>
        <v/>
      </c>
      <c r="J620" s="172" t="s">
        <v>3258</v>
      </c>
      <c r="K620" s="172" t="s">
        <v>3259</v>
      </c>
      <c r="L620" s="172" t="s">
        <v>3260</v>
      </c>
      <c r="M620" s="172"/>
    </row>
    <row r="621" hidden="1">
      <c r="A621" s="211" t="s">
        <v>238</v>
      </c>
      <c r="B621" s="224" t="s">
        <v>3120</v>
      </c>
      <c r="C621" s="278"/>
      <c r="D621" s="278"/>
      <c r="E621" s="278"/>
      <c r="F621" s="182">
        <v>332.0</v>
      </c>
      <c r="G621" s="172" t="str">
        <f>IFERROR(__xludf.DUMMYFUNCTION("TRIM(REGEXREPLACE(C621, ""[0-9]+[a-f]?\."", """"))"),"")</f>
        <v/>
      </c>
      <c r="H621" s="172" t="str">
        <f>IFERROR(__xludf.DUMMYFUNCTION("TRIM(REGEXREPLACE(D621, ""[0-9]+[a-f]?\."", """"))"),"")</f>
        <v/>
      </c>
      <c r="I621" s="172" t="str">
        <f>IFERROR(__xludf.DUMMYFUNCTION("TRIM(REGEXREPLACE(E621, ""[0-9]+[a-f]?\."", """"))"),"")</f>
        <v/>
      </c>
      <c r="J621" s="172" t="s">
        <v>3265</v>
      </c>
      <c r="K621" s="172" t="s">
        <v>3266</v>
      </c>
      <c r="L621" s="172" t="s">
        <v>3267</v>
      </c>
      <c r="M621" s="172"/>
    </row>
    <row r="622" hidden="1">
      <c r="A622" s="188" t="s">
        <v>118</v>
      </c>
      <c r="B622" s="189" t="s">
        <v>3268</v>
      </c>
      <c r="C622" s="190"/>
      <c r="D622" s="190"/>
      <c r="E622" s="190"/>
      <c r="F622" s="182">
        <v>333.0</v>
      </c>
      <c r="G622" s="172" t="str">
        <f>IFERROR(__xludf.DUMMYFUNCTION("TRIM(REGEXREPLACE(C622, ""[0-9]+[a-f]?\."", """"))"),"")</f>
        <v/>
      </c>
      <c r="H622" s="172" t="str">
        <f>IFERROR(__xludf.DUMMYFUNCTION("TRIM(REGEXREPLACE(D622, ""[0-9]+[a-f]?\."", """"))"),"")</f>
        <v/>
      </c>
      <c r="I622" s="172" t="str">
        <f>IFERROR(__xludf.DUMMYFUNCTION("TRIM(REGEXREPLACE(E622, ""[0-9]+[a-f]?\."", """"))"),"")</f>
        <v/>
      </c>
      <c r="J622" s="172" t="s">
        <v>3271</v>
      </c>
      <c r="K622" s="172" t="s">
        <v>3272</v>
      </c>
      <c r="L622" s="172" t="s">
        <v>3273</v>
      </c>
      <c r="M622" s="172"/>
    </row>
    <row r="623" hidden="1">
      <c r="A623" s="188" t="s">
        <v>68</v>
      </c>
      <c r="B623" s="189" t="s">
        <v>3275</v>
      </c>
      <c r="C623" s="190"/>
      <c r="D623" s="190"/>
      <c r="E623" s="190"/>
      <c r="F623" s="182">
        <v>334.0</v>
      </c>
      <c r="G623" s="172" t="str">
        <f>IFERROR(__xludf.DUMMYFUNCTION("TRIM(REGEXREPLACE(C623, ""[0-9]+[a-f]?\."", """"))"),"")</f>
        <v/>
      </c>
      <c r="H623" s="172" t="str">
        <f>IFERROR(__xludf.DUMMYFUNCTION("TRIM(REGEXREPLACE(D623, ""[0-9]+[a-f]?\."", """"))"),"")</f>
        <v/>
      </c>
      <c r="I623" s="172" t="str">
        <f>IFERROR(__xludf.DUMMYFUNCTION("TRIM(REGEXREPLACE(E623, ""[0-9]+[a-f]?\."", """"))"),"")</f>
        <v/>
      </c>
      <c r="J623" s="172" t="s">
        <v>3276</v>
      </c>
      <c r="K623" s="172" t="s">
        <v>3277</v>
      </c>
      <c r="L623" s="172" t="s">
        <v>3278</v>
      </c>
      <c r="M623" s="172"/>
    </row>
    <row r="624" hidden="1">
      <c r="A624" s="172"/>
      <c r="B624" s="270"/>
      <c r="C624" s="174"/>
      <c r="D624" s="174"/>
      <c r="E624" s="174"/>
      <c r="F624" s="182">
        <v>335.0</v>
      </c>
      <c r="G624" s="172" t="str">
        <f>IFERROR(__xludf.DUMMYFUNCTION("TRIM(REGEXREPLACE(C624, ""[0-9]+[a-f]?\."", """"))"),"")</f>
        <v/>
      </c>
      <c r="H624" s="172" t="str">
        <f>IFERROR(__xludf.DUMMYFUNCTION("TRIM(REGEXREPLACE(D624, ""[0-9]+[a-f]?\."", """"))"),"")</f>
        <v/>
      </c>
      <c r="I624" s="172" t="str">
        <f>IFERROR(__xludf.DUMMYFUNCTION("TRIM(REGEXREPLACE(E624, ""[0-9]+[a-f]?\."", """"))"),"")</f>
        <v/>
      </c>
      <c r="J624" s="172" t="s">
        <v>3280</v>
      </c>
      <c r="K624" s="172" t="s">
        <v>3281</v>
      </c>
      <c r="L624" s="172" t="s">
        <v>3283</v>
      </c>
      <c r="M624" s="172"/>
    </row>
    <row r="625" hidden="1">
      <c r="A625" s="188" t="s">
        <v>118</v>
      </c>
      <c r="B625" s="189" t="s">
        <v>3285</v>
      </c>
      <c r="C625" s="190"/>
      <c r="D625" s="190"/>
      <c r="E625" s="190"/>
      <c r="F625" s="182">
        <v>336.0</v>
      </c>
      <c r="G625" s="172" t="str">
        <f>IFERROR(__xludf.DUMMYFUNCTION("TRIM(REGEXREPLACE(C625, ""[0-9]+[a-f]?\."", """"))"),"")</f>
        <v/>
      </c>
      <c r="H625" s="172" t="str">
        <f>IFERROR(__xludf.DUMMYFUNCTION("TRIM(REGEXREPLACE(D625, ""[0-9]+[a-f]?\."", """"))"),"")</f>
        <v/>
      </c>
      <c r="I625" s="172" t="str">
        <f>IFERROR(__xludf.DUMMYFUNCTION("TRIM(REGEXREPLACE(E625, ""[0-9]+[a-f]?\."", """"))"),"")</f>
        <v/>
      </c>
      <c r="J625" s="172" t="s">
        <v>3286</v>
      </c>
      <c r="K625" s="172" t="s">
        <v>3287</v>
      </c>
      <c r="L625" s="172" t="s">
        <v>3288</v>
      </c>
    </row>
    <row r="626">
      <c r="A626" s="207" t="s">
        <v>41</v>
      </c>
      <c r="B626" s="208" t="s">
        <v>3289</v>
      </c>
      <c r="C626" s="208" t="s">
        <v>3290</v>
      </c>
      <c r="D626" s="208" t="s">
        <v>3291</v>
      </c>
      <c r="E626" s="208" t="s">
        <v>3292</v>
      </c>
      <c r="F626" s="182">
        <v>66.0</v>
      </c>
      <c r="G626" s="172" t="str">
        <f>IFERROR(__xludf.DUMMYFUNCTION("TRIM(REGEXREPLACE(C626, ""[0-9]+[a-f]?\."", """"))"),"Now we'd like to ask you about your whereabouts.")</f>
        <v>Now we'd like to ask you about your whereabouts.</v>
      </c>
      <c r="H626" s="172" t="str">
        <f>IFERROR(__xludf.DUMMYFUNCTION("TRIM(REGEXREPLACE(D626, ""[0-9]+[a-f]?\."", """"))"),"Nous aimerions maintenant vous demander où vous vous trouvez.")</f>
        <v>Nous aimerions maintenant vous demander où vous vous trouvez.</v>
      </c>
      <c r="I626" s="172" t="str">
        <f>IFERROR(__xludf.DUMMYFUNCTION("TRIM(REGEXREPLACE(E626, ""[0-9]+[a-f]?\."", """"))"),"Yanzu muna so mu tambaye ku game da inda kuke.")</f>
        <v>Yanzu muna so mu tambaye ku game da inda kuke.</v>
      </c>
      <c r="J626" s="172" t="str">
        <f t="shared" ref="J626:L626" si="66">$F626 &amp; ". " &amp;G626</f>
        <v>66. Now we'd like to ask you about your whereabouts.</v>
      </c>
      <c r="K626" s="172" t="str">
        <f t="shared" si="66"/>
        <v>66. Nous aimerions maintenant vous demander où vous vous trouvez.</v>
      </c>
      <c r="L626" s="172" t="str">
        <f t="shared" si="66"/>
        <v>66. Yanzu muna so mu tambaye ku game da inda kuke.</v>
      </c>
      <c r="M626" s="172"/>
    </row>
    <row r="627">
      <c r="A627" s="215" t="s">
        <v>353</v>
      </c>
      <c r="B627" s="216" t="s">
        <v>464</v>
      </c>
      <c r="C627" s="216" t="s">
        <v>3296</v>
      </c>
      <c r="D627" s="216" t="s">
        <v>3297</v>
      </c>
      <c r="E627" s="216" t="s">
        <v>3298</v>
      </c>
      <c r="F627" s="182">
        <v>67.0</v>
      </c>
      <c r="G627" s="172" t="str">
        <f>IFERROR(__xludf.DUMMYFUNCTION("TRIM(REGEXREPLACE(C627, ""[0-9]+[a-f]?\."", """"))"),"Think back to the beginning of ${period_bl}, were you living at home in ${pm_home_location}?")</f>
        <v>Think back to the beginning of ${period_bl}, were you living at home in ${pm_home_location}?</v>
      </c>
      <c r="H627" s="172" t="str">
        <f>IFERROR(__xludf.DUMMYFUNCTION("TRIM(REGEXREPLACE(D627, ""[0-9]+[a-f]?\."", """"))"),"Repensez au début de ${period_french_bl}, étiez-vous chez vous à ${pm_home_location} ?")</f>
        <v>Repensez au début de ${period_french_bl}, étiez-vous chez vous à ${pm_home_location} ?</v>
      </c>
      <c r="I627" s="172" t="str">
        <f>IFERROR(__xludf.DUMMYFUNCTION("TRIM(REGEXREPLACE(E627, ""[0-9]+[a-f]?\."", """"))"),"Ku tunada watanni a farkon ${period_hausa_bl}, ko kana nan gida a garin ${pm_home_location}?")</f>
        <v>Ku tunada watanni a farkon ${period_hausa_bl}, ko kana nan gida a garin ${pm_home_location}?</v>
      </c>
      <c r="J627" s="172" t="str">
        <f t="shared" ref="J627:L627" si="67">$F627 &amp; ". " &amp;G627</f>
        <v>67. Think back to the beginning of ${period_bl}, were you living at home in ${pm_home_location}?</v>
      </c>
      <c r="K627" s="172" t="str">
        <f t="shared" si="67"/>
        <v>67. Repensez au début de ${period_french_bl}, étiez-vous chez vous à ${pm_home_location} ?</v>
      </c>
      <c r="L627" s="172" t="str">
        <f t="shared" si="67"/>
        <v>67. Ku tunada watanni a farkon ${period_hausa_bl}, ko kana nan gida a garin ${pm_home_location}?</v>
      </c>
      <c r="M627" s="172"/>
    </row>
    <row r="628">
      <c r="A628" s="215" t="s">
        <v>353</v>
      </c>
      <c r="B628" s="216" t="s">
        <v>473</v>
      </c>
      <c r="C628" s="216" t="s">
        <v>3299</v>
      </c>
      <c r="D628" s="216" t="s">
        <v>3301</v>
      </c>
      <c r="E628" s="216" t="s">
        <v>3303</v>
      </c>
      <c r="F628" s="182">
        <v>68.0</v>
      </c>
      <c r="G628" s="172" t="str">
        <f>IFERROR(__xludf.DUMMYFUNCTION("TRIM(REGEXREPLACE(C628, ""[0-9]+[a-f]?\."", """"))"),"Where were you living at this time?
 Enumerator: Is location in Niger?")</f>
        <v>Where were you living at this time?
 Enumerator: Is location in Niger?</v>
      </c>
      <c r="H628" s="172" t="str">
        <f>IFERROR(__xludf.DUMMYFUNCTION("TRIM(REGEXREPLACE(D628, ""[0-9]+[a-f]?\."", """"))"),"Où étiez-vous à cette époque ?
 Enquêteur : La localité est-elle au Niger ?")</f>
        <v>Où étiez-vous à cette époque ?
 Enquêteur : La localité est-elle au Niger ?</v>
      </c>
      <c r="I628" s="172" t="str">
        <f>IFERROR(__xludf.DUMMYFUNCTION("TRIM(REGEXREPLACE(E628, ""[0-9]+[a-f]?\."", """"))"),"A ina kake a wannan lokacin?
 Ɗan bincike : Ko wurin a cikin Nijar ne?")</f>
        <v>A ina kake a wannan lokacin?
 Ɗan bincike : Ko wurin a cikin Nijar ne?</v>
      </c>
      <c r="J628" s="172" t="str">
        <f t="shared" ref="J628:L628" si="68">$F628 &amp; ". " &amp;G628</f>
        <v>68. Where were you living at this time?
 Enumerator: Is location in Niger?</v>
      </c>
      <c r="K628" s="172" t="str">
        <f t="shared" si="68"/>
        <v>68. Où étiez-vous à cette époque ?
 Enquêteur : La localité est-elle au Niger ?</v>
      </c>
      <c r="L628" s="172" t="str">
        <f t="shared" si="68"/>
        <v>68. A ina kake a wannan lokacin?
 Ɗan bincike : Ko wurin a cikin Nijar ne?</v>
      </c>
      <c r="M628" s="172"/>
    </row>
    <row r="629">
      <c r="A629" s="215" t="s">
        <v>481</v>
      </c>
      <c r="B629" s="216" t="s">
        <v>482</v>
      </c>
      <c r="C629" s="216" t="s">
        <v>1103</v>
      </c>
      <c r="D629" s="216" t="s">
        <v>1104</v>
      </c>
      <c r="E629" s="216" t="s">
        <v>1105</v>
      </c>
      <c r="F629" s="182">
        <v>69.0</v>
      </c>
      <c r="G629" s="172" t="str">
        <f>IFERROR(__xludf.DUMMYFUNCTION("TRIM(REGEXREPLACE(C629, ""[0-9]+[a-f]?\."", """"))"),"Enumerator: Select region in Niger")</f>
        <v>Enumerator: Select region in Niger</v>
      </c>
      <c r="H629" s="172" t="str">
        <f>IFERROR(__xludf.DUMMYFUNCTION("TRIM(REGEXREPLACE(D629, ""[0-9]+[a-f]?\."", """"))"),"Enquêteur : Sélectionnez une région au Niger")</f>
        <v>Enquêteur : Sélectionnez une région au Niger</v>
      </c>
      <c r="I629" s="172" t="str">
        <f>IFERROR(__xludf.DUMMYFUNCTION("TRIM(REGEXREPLACE(E629, ""[0-9]+[a-f]?\."", """"))"),"Ɗan bincike: Zaɓi Jaha ɗaya a Nijar")</f>
        <v>Ɗan bincike: Zaɓi Jaha ɗaya a Nijar</v>
      </c>
      <c r="J629" s="172" t="str">
        <f t="shared" ref="J629:L629" si="69">$F629 &amp; ". " &amp;G629</f>
        <v>69. Enumerator: Select region in Niger</v>
      </c>
      <c r="K629" s="172" t="str">
        <f t="shared" si="69"/>
        <v>69. Enquêteur : Sélectionnez une région au Niger</v>
      </c>
      <c r="L629" s="172" t="str">
        <f t="shared" si="69"/>
        <v>69. Ɗan bincike: Zaɓi Jaha ɗaya a Nijar</v>
      </c>
      <c r="M629" s="172"/>
    </row>
    <row r="630">
      <c r="A630" s="215" t="s">
        <v>489</v>
      </c>
      <c r="B630" s="216" t="s">
        <v>490</v>
      </c>
      <c r="C630" s="216" t="s">
        <v>1127</v>
      </c>
      <c r="D630" s="216" t="s">
        <v>1128</v>
      </c>
      <c r="E630" s="216" t="s">
        <v>1129</v>
      </c>
      <c r="F630" s="182">
        <v>70.0</v>
      </c>
      <c r="G630" s="172" t="str">
        <f>IFERROR(__xludf.DUMMYFUNCTION("TRIM(REGEXREPLACE(C630, ""[0-9]+[a-f]?\."", """"))"),"Enumerator: Select country")</f>
        <v>Enumerator: Select country</v>
      </c>
      <c r="H630" s="172" t="str">
        <f>IFERROR(__xludf.DUMMYFUNCTION("TRIM(REGEXREPLACE(D630, ""[0-9]+[a-f]?\."", """"))"),"Enquêteur : sélectionnez le pays")</f>
        <v>Enquêteur : sélectionnez le pays</v>
      </c>
      <c r="I630" s="172" t="str">
        <f>IFERROR(__xludf.DUMMYFUNCTION("TRIM(REGEXREPLACE(E630, ""[0-9]+[a-f]?\."", """"))"),"Ɗan bincike: Zaɓi ƙasa")</f>
        <v>Ɗan bincike: Zaɓi ƙasa</v>
      </c>
      <c r="J630" s="172" t="str">
        <f t="shared" ref="J630:L630" si="70">$F630 &amp; ". " &amp;G630</f>
        <v>70. Enumerator: Select country</v>
      </c>
      <c r="K630" s="172" t="str">
        <f t="shared" si="70"/>
        <v>70. Enquêteur : sélectionnez le pays</v>
      </c>
      <c r="L630" s="172" t="str">
        <f t="shared" si="70"/>
        <v>70. Ɗan bincike: Zaɓi ƙasa</v>
      </c>
      <c r="M630" s="172"/>
    </row>
    <row r="631">
      <c r="A631" s="246" t="s">
        <v>231</v>
      </c>
      <c r="B631" s="247" t="s">
        <v>499</v>
      </c>
      <c r="C631" s="247" t="s">
        <v>1133</v>
      </c>
      <c r="D631" s="247" t="s">
        <v>1134</v>
      </c>
      <c r="E631" s="247" t="s">
        <v>1135</v>
      </c>
      <c r="F631" s="182">
        <v>71.0</v>
      </c>
      <c r="G631" s="172" t="str">
        <f>IFERROR(__xludf.DUMMYFUNCTION("TRIM(REGEXREPLACE(C631, ""[0-9]+[a-f]?\."", """"))"),"Enumerator: Enter other country")</f>
        <v>Enumerator: Enter other country</v>
      </c>
      <c r="H631" s="172" t="str">
        <f>IFERROR(__xludf.DUMMYFUNCTION("TRIM(REGEXREPLACE(D631, ""[0-9]+[a-f]?\."", """"))"),"Enquêteur : Entrez un autre pays")</f>
        <v>Enquêteur : Entrez un autre pays</v>
      </c>
      <c r="I631" s="172" t="str">
        <f>IFERROR(__xludf.DUMMYFUNCTION("TRIM(REGEXREPLACE(E631, ""[0-9]+[a-f]?\."", """"))"),"Ɗan bincike: Shigar da wata ƙasa")</f>
        <v>Ɗan bincike: Shigar da wata ƙasa</v>
      </c>
      <c r="J631" s="172" t="str">
        <f t="shared" ref="J631:L631" si="71">$F631 &amp; ". " &amp;G631</f>
        <v>71. Enumerator: Enter other country</v>
      </c>
      <c r="K631" s="172" t="str">
        <f t="shared" si="71"/>
        <v>71. Enquêteur : Entrez un autre pays</v>
      </c>
      <c r="L631" s="172" t="str">
        <f t="shared" si="71"/>
        <v>71. Ɗan bincike: Shigar da wata ƙasa</v>
      </c>
      <c r="M631" s="172"/>
    </row>
    <row r="632" hidden="1">
      <c r="B632" s="260"/>
      <c r="C632" s="260"/>
      <c r="D632" s="260"/>
      <c r="E632" s="260"/>
      <c r="F632" s="182">
        <v>363.0</v>
      </c>
      <c r="G632" s="172" t="str">
        <f>IFERROR(__xludf.DUMMYFUNCTION("TRIM(REGEXREPLACE(C632, ""[0-9]+[a-f]?\."", """"))"),"")</f>
        <v/>
      </c>
      <c r="H632" s="172" t="str">
        <f>IFERROR(__xludf.DUMMYFUNCTION("TRIM(REGEXREPLACE(D632, ""[0-9]+[a-f]?\."", """"))"),"")</f>
        <v/>
      </c>
      <c r="I632" s="172" t="str">
        <f>IFERROR(__xludf.DUMMYFUNCTION("TRIM(REGEXREPLACE(E632, ""[0-9]+[a-f]?\."", """"))"),"")</f>
        <v/>
      </c>
      <c r="J632" s="172" t="s">
        <v>3309</v>
      </c>
      <c r="K632" s="172" t="s">
        <v>3310</v>
      </c>
      <c r="L632" s="172" t="s">
        <v>3311</v>
      </c>
      <c r="M632" s="172"/>
    </row>
    <row r="633" hidden="1">
      <c r="B633" s="260"/>
      <c r="C633" s="260"/>
      <c r="D633" s="260"/>
      <c r="E633" s="260"/>
      <c r="F633" s="182">
        <v>364.0</v>
      </c>
      <c r="G633" s="172" t="str">
        <f>IFERROR(__xludf.DUMMYFUNCTION("TRIM(REGEXREPLACE(C633, ""[0-9]+[a-f]?\."", """"))"),"")</f>
        <v/>
      </c>
      <c r="H633" s="172" t="str">
        <f>IFERROR(__xludf.DUMMYFUNCTION("TRIM(REGEXREPLACE(D633, ""[0-9]+[a-f]?\."", """"))"),"")</f>
        <v/>
      </c>
      <c r="I633" s="172" t="str">
        <f>IFERROR(__xludf.DUMMYFUNCTION("TRIM(REGEXREPLACE(E633, ""[0-9]+[a-f]?\."", """"))"),"")</f>
        <v/>
      </c>
      <c r="J633" s="172" t="s">
        <v>3312</v>
      </c>
      <c r="K633" s="172" t="s">
        <v>3313</v>
      </c>
      <c r="L633" s="172" t="s">
        <v>3314</v>
      </c>
      <c r="M633" s="172"/>
    </row>
    <row r="634" hidden="1">
      <c r="B634" s="260"/>
      <c r="C634" s="260"/>
      <c r="D634" s="260"/>
      <c r="E634" s="260"/>
      <c r="F634" s="182">
        <v>384.0</v>
      </c>
      <c r="G634" s="172" t="str">
        <f>IFERROR(__xludf.DUMMYFUNCTION("TRIM(REGEXREPLACE(C634, ""[0-9]+[a-f]?\."", """"))"),"")</f>
        <v/>
      </c>
      <c r="H634" s="172" t="str">
        <f>IFERROR(__xludf.DUMMYFUNCTION("TRIM(REGEXREPLACE(D634, ""[0-9]+[a-f]?\."", """"))"),"")</f>
        <v/>
      </c>
      <c r="I634" s="172" t="str">
        <f>IFERROR(__xludf.DUMMYFUNCTION("TRIM(REGEXREPLACE(E634, ""[0-9]+[a-f]?\."", """"))"),"")</f>
        <v/>
      </c>
      <c r="J634" s="172" t="s">
        <v>3315</v>
      </c>
      <c r="K634" s="172" t="s">
        <v>3316</v>
      </c>
      <c r="L634" s="172" t="s">
        <v>3317</v>
      </c>
      <c r="M634" s="172"/>
    </row>
    <row r="635">
      <c r="A635" s="215" t="s">
        <v>508</v>
      </c>
      <c r="B635" s="216" t="s">
        <v>509</v>
      </c>
      <c r="C635" s="216" t="s">
        <v>1113</v>
      </c>
      <c r="D635" s="216" t="s">
        <v>1114</v>
      </c>
      <c r="E635" s="216" t="s">
        <v>1115</v>
      </c>
      <c r="F635" s="182">
        <v>72.0</v>
      </c>
      <c r="G635" s="172" t="str">
        <f>IFERROR(__xludf.DUMMYFUNCTION("TRIM(REGEXREPLACE(C635, ""[0-9]+[a-f]?\."", """"))"),"Enumerator: Select town")</f>
        <v>Enumerator: Select town</v>
      </c>
      <c r="H635" s="172" t="str">
        <f>IFERROR(__xludf.DUMMYFUNCTION("TRIM(REGEXREPLACE(D635, ""[0-9]+[a-f]?\."", """"))"),"Enquêteur : Sélectionnez la ville")</f>
        <v>Enquêteur : Sélectionnez la ville</v>
      </c>
      <c r="I635" s="172" t="str">
        <f>IFERROR(__xludf.DUMMYFUNCTION("TRIM(REGEXREPLACE(E635, ""[0-9]+[a-f]?\."", """"))"),"Ɗan bincike: Zaɓi gari")</f>
        <v>Ɗan bincike: Zaɓi gari</v>
      </c>
      <c r="J635" s="172" t="str">
        <f t="shared" ref="J635:L635" si="72">$F635 &amp; ". " &amp;G635</f>
        <v>72. Enumerator: Select town</v>
      </c>
      <c r="K635" s="172" t="str">
        <f t="shared" si="72"/>
        <v>72. Enquêteur : Sélectionnez la ville</v>
      </c>
      <c r="L635" s="172" t="str">
        <f t="shared" si="72"/>
        <v>72. Ɗan bincike: Zaɓi gari</v>
      </c>
      <c r="M635" s="172"/>
    </row>
    <row r="636">
      <c r="A636" s="246" t="s">
        <v>231</v>
      </c>
      <c r="B636" s="247" t="s">
        <v>518</v>
      </c>
      <c r="C636" s="247" t="s">
        <v>3322</v>
      </c>
      <c r="D636" s="247" t="s">
        <v>3323</v>
      </c>
      <c r="E636" s="247" t="s">
        <v>3324</v>
      </c>
      <c r="F636" s="182">
        <v>73.0</v>
      </c>
      <c r="G636" s="172" t="str">
        <f>IFERROR(__xludf.DUMMYFUNCTION("TRIM(REGEXREPLACE(C636, ""[0-9]+[a-f]?\."", """"))"),"Other, specify:")</f>
        <v>Other, specify:</v>
      </c>
      <c r="H636" s="172" t="str">
        <f>IFERROR(__xludf.DUMMYFUNCTION("TRIM(REGEXREPLACE(D636, ""[0-9]+[a-f]?\."", """"))"),"Autre précisez:")</f>
        <v>Autre précisez:</v>
      </c>
      <c r="I636" s="172" t="str">
        <f>IFERROR(__xludf.DUMMYFUNCTION("TRIM(REGEXREPLACE(E636, ""[0-9]+[a-f]?\."", """"))"),"Wani daban baiyana:")</f>
        <v>Wani daban baiyana:</v>
      </c>
      <c r="J636" s="172" t="str">
        <f t="shared" ref="J636:L636" si="73">$F636 &amp; ". " &amp;G636</f>
        <v>73. Other, specify:</v>
      </c>
      <c r="K636" s="172" t="str">
        <f t="shared" si="73"/>
        <v>73. Autre précisez:</v>
      </c>
      <c r="L636" s="172" t="str">
        <f t="shared" si="73"/>
        <v>73. Wani daban baiyana:</v>
      </c>
      <c r="M636" s="172"/>
    </row>
    <row r="637" hidden="1">
      <c r="B637" s="260"/>
      <c r="C637" s="260"/>
      <c r="D637" s="260"/>
      <c r="E637" s="260"/>
      <c r="F637" s="182">
        <v>368.0</v>
      </c>
      <c r="G637" s="172" t="str">
        <f>IFERROR(__xludf.DUMMYFUNCTION("TRIM(REGEXREPLACE(C637, ""[0-9]+[a-f]?\."", """"))"),"")</f>
        <v/>
      </c>
      <c r="H637" s="172" t="str">
        <f>IFERROR(__xludf.DUMMYFUNCTION("TRIM(REGEXREPLACE(D637, ""[0-9]+[a-f]?\."", """"))"),"")</f>
        <v/>
      </c>
      <c r="I637" s="172" t="str">
        <f>IFERROR(__xludf.DUMMYFUNCTION("TRIM(REGEXREPLACE(E637, ""[0-9]+[a-f]?\."", """"))"),"")</f>
        <v/>
      </c>
      <c r="J637" s="172" t="s">
        <v>3325</v>
      </c>
      <c r="K637" s="172" t="s">
        <v>3326</v>
      </c>
      <c r="L637" s="172" t="s">
        <v>3327</v>
      </c>
      <c r="M637" s="172"/>
    </row>
    <row r="638" hidden="1">
      <c r="B638" s="260"/>
      <c r="C638" s="260"/>
      <c r="D638" s="260"/>
      <c r="E638" s="260"/>
      <c r="F638" s="182">
        <v>387.0</v>
      </c>
      <c r="G638" s="172" t="str">
        <f>IFERROR(__xludf.DUMMYFUNCTION("TRIM(REGEXREPLACE(C638, ""[0-9]+[a-f]?\."", """"))"),"")</f>
        <v/>
      </c>
      <c r="H638" s="172" t="str">
        <f>IFERROR(__xludf.DUMMYFUNCTION("TRIM(REGEXREPLACE(D638, ""[0-9]+[a-f]?\."", """"))"),"")</f>
        <v/>
      </c>
      <c r="I638" s="172" t="str">
        <f>IFERROR(__xludf.DUMMYFUNCTION("TRIM(REGEXREPLACE(E638, ""[0-9]+[a-f]?\."", """"))"),"")</f>
        <v/>
      </c>
      <c r="J638" s="172" t="s">
        <v>3331</v>
      </c>
      <c r="K638" s="172" t="s">
        <v>3332</v>
      </c>
      <c r="L638" s="172" t="s">
        <v>3332</v>
      </c>
      <c r="M638" s="172"/>
    </row>
    <row r="639" hidden="1">
      <c r="B639" s="260"/>
      <c r="C639" s="260"/>
      <c r="D639" s="260"/>
      <c r="E639" s="260"/>
      <c r="F639" s="182">
        <v>388.0</v>
      </c>
      <c r="G639" s="172" t="str">
        <f>IFERROR(__xludf.DUMMYFUNCTION("TRIM(REGEXREPLACE(C639, ""[0-9]+[a-f]?\."", """"))"),"")</f>
        <v/>
      </c>
      <c r="H639" s="172" t="str">
        <f>IFERROR(__xludf.DUMMYFUNCTION("TRIM(REGEXREPLACE(D639, ""[0-9]+[a-f]?\."", """"))"),"")</f>
        <v/>
      </c>
      <c r="I639" s="172" t="str">
        <f>IFERROR(__xludf.DUMMYFUNCTION("TRIM(REGEXREPLACE(E639, ""[0-9]+[a-f]?\."", """"))"),"")</f>
        <v/>
      </c>
      <c r="J639" s="172" t="s">
        <v>3333</v>
      </c>
      <c r="K639" s="172" t="s">
        <v>3334</v>
      </c>
      <c r="L639" s="172" t="s">
        <v>3334</v>
      </c>
    </row>
    <row r="640" hidden="1">
      <c r="B640" s="260"/>
      <c r="C640" s="260"/>
      <c r="D640" s="260"/>
      <c r="E640" s="260"/>
      <c r="F640" s="182">
        <v>389.0</v>
      </c>
      <c r="G640" s="172" t="str">
        <f>IFERROR(__xludf.DUMMYFUNCTION("TRIM(REGEXREPLACE(C640, ""[0-9]+[a-f]?\."", """"))"),"")</f>
        <v/>
      </c>
      <c r="H640" s="172" t="str">
        <f>IFERROR(__xludf.DUMMYFUNCTION("TRIM(REGEXREPLACE(D640, ""[0-9]+[a-f]?\."", """"))"),"")</f>
        <v/>
      </c>
      <c r="I640" s="172" t="str">
        <f>IFERROR(__xludf.DUMMYFUNCTION("TRIM(REGEXREPLACE(E640, ""[0-9]+[a-f]?\."", """"))"),"")</f>
        <v/>
      </c>
      <c r="J640" s="172" t="s">
        <v>3335</v>
      </c>
      <c r="K640" s="172" t="s">
        <v>3336</v>
      </c>
      <c r="L640" s="172" t="s">
        <v>3336</v>
      </c>
    </row>
    <row r="641" hidden="1">
      <c r="A641" s="188" t="s">
        <v>68</v>
      </c>
      <c r="B641" s="189" t="s">
        <v>525</v>
      </c>
      <c r="C641" s="190"/>
      <c r="D641" s="190"/>
      <c r="E641" s="190"/>
      <c r="F641" s="182">
        <v>345.0</v>
      </c>
      <c r="G641" s="172" t="str">
        <f>IFERROR(__xludf.DUMMYFUNCTION("TRIM(REGEXREPLACE(C641, ""[0-9]+[a-f]?\."", """"))"),"")</f>
        <v/>
      </c>
      <c r="H641" s="172" t="str">
        <f>IFERROR(__xludf.DUMMYFUNCTION("TRIM(REGEXREPLACE(D641, ""[0-9]+[a-f]?\."", """"))"),"")</f>
        <v/>
      </c>
      <c r="I641" s="172" t="str">
        <f>IFERROR(__xludf.DUMMYFUNCTION("TRIM(REGEXREPLACE(E641, ""[0-9]+[a-f]?\."", """"))"),"")</f>
        <v/>
      </c>
      <c r="J641" s="172" t="s">
        <v>3340</v>
      </c>
      <c r="K641" s="172" t="s">
        <v>3341</v>
      </c>
      <c r="L641" s="172" t="s">
        <v>3342</v>
      </c>
    </row>
    <row r="642" hidden="1">
      <c r="A642" s="188" t="s">
        <v>68</v>
      </c>
      <c r="B642" s="189" t="s">
        <v>529</v>
      </c>
      <c r="C642" s="190"/>
      <c r="D642" s="190"/>
      <c r="E642" s="190"/>
      <c r="F642" s="182">
        <v>346.0</v>
      </c>
      <c r="G642" s="172" t="str">
        <f>IFERROR(__xludf.DUMMYFUNCTION("TRIM(REGEXREPLACE(C642, ""[0-9]+[a-f]?\."", """"))"),"")</f>
        <v/>
      </c>
      <c r="H642" s="172" t="str">
        <f>IFERROR(__xludf.DUMMYFUNCTION("TRIM(REGEXREPLACE(D642, ""[0-9]+[a-f]?\."", """"))"),"")</f>
        <v/>
      </c>
      <c r="I642" s="172" t="str">
        <f>IFERROR(__xludf.DUMMYFUNCTION("TRIM(REGEXREPLACE(E642, ""[0-9]+[a-f]?\."", """"))"),"")</f>
        <v/>
      </c>
      <c r="J642" s="172" t="s">
        <v>3343</v>
      </c>
      <c r="K642" s="172" t="s">
        <v>3344</v>
      </c>
      <c r="L642" s="172" t="s">
        <v>3345</v>
      </c>
    </row>
    <row r="643" hidden="1">
      <c r="A643" s="188" t="s">
        <v>68</v>
      </c>
      <c r="B643" s="189" t="s">
        <v>535</v>
      </c>
      <c r="C643" s="190"/>
      <c r="D643" s="190"/>
      <c r="E643" s="190"/>
      <c r="F643" s="182">
        <v>347.0</v>
      </c>
      <c r="G643" s="172" t="str">
        <f>IFERROR(__xludf.DUMMYFUNCTION("TRIM(REGEXREPLACE(C643, ""[0-9]+[a-f]?\."", """"))"),"")</f>
        <v/>
      </c>
      <c r="H643" s="172" t="str">
        <f>IFERROR(__xludf.DUMMYFUNCTION("TRIM(REGEXREPLACE(D643, ""[0-9]+[a-f]?\."", """"))"),"")</f>
        <v/>
      </c>
      <c r="I643" s="172" t="str">
        <f>IFERROR(__xludf.DUMMYFUNCTION("TRIM(REGEXREPLACE(E643, ""[0-9]+[a-f]?\."", """"))"),"")</f>
        <v/>
      </c>
      <c r="J643" s="172" t="s">
        <v>3349</v>
      </c>
      <c r="K643" s="172" t="s">
        <v>3350</v>
      </c>
      <c r="L643" s="172" t="s">
        <v>3351</v>
      </c>
    </row>
    <row r="644" hidden="1">
      <c r="A644" s="188" t="s">
        <v>68</v>
      </c>
      <c r="B644" s="189" t="s">
        <v>540</v>
      </c>
      <c r="C644" s="190"/>
      <c r="D644" s="190"/>
      <c r="E644" s="190"/>
      <c r="F644" s="182">
        <v>348.0</v>
      </c>
      <c r="G644" s="172" t="str">
        <f>IFERROR(__xludf.DUMMYFUNCTION("TRIM(REGEXREPLACE(C644, ""[0-9]+[a-f]?\."", """"))"),"")</f>
        <v/>
      </c>
      <c r="H644" s="172" t="str">
        <f>IFERROR(__xludf.DUMMYFUNCTION("TRIM(REGEXREPLACE(D644, ""[0-9]+[a-f]?\."", """"))"),"")</f>
        <v/>
      </c>
      <c r="I644" s="172" t="str">
        <f>IFERROR(__xludf.DUMMYFUNCTION("TRIM(REGEXREPLACE(E644, ""[0-9]+[a-f]?\."", """"))"),"")</f>
        <v/>
      </c>
      <c r="J644" s="172" t="s">
        <v>3352</v>
      </c>
      <c r="K644" s="172" t="s">
        <v>3353</v>
      </c>
      <c r="L644" s="172" t="s">
        <v>3354</v>
      </c>
    </row>
    <row r="645" hidden="1">
      <c r="A645" s="188" t="s">
        <v>68</v>
      </c>
      <c r="B645" s="189" t="s">
        <v>549</v>
      </c>
      <c r="C645" s="190"/>
      <c r="D645" s="190"/>
      <c r="E645" s="190"/>
      <c r="F645" s="182">
        <v>349.0</v>
      </c>
      <c r="G645" s="172" t="str">
        <f>IFERROR(__xludf.DUMMYFUNCTION("TRIM(REGEXREPLACE(C645, ""[0-9]+[a-f]?\."", """"))"),"")</f>
        <v/>
      </c>
      <c r="H645" s="172" t="str">
        <f>IFERROR(__xludf.DUMMYFUNCTION("TRIM(REGEXREPLACE(D645, ""[0-9]+[a-f]?\."", """"))"),"")</f>
        <v/>
      </c>
      <c r="I645" s="172" t="str">
        <f>IFERROR(__xludf.DUMMYFUNCTION("TRIM(REGEXREPLACE(E645, ""[0-9]+[a-f]?\."", """"))"),"")</f>
        <v/>
      </c>
      <c r="J645" s="172" t="s">
        <v>3355</v>
      </c>
      <c r="K645" s="172" t="s">
        <v>3356</v>
      </c>
      <c r="L645" s="172" t="s">
        <v>3357</v>
      </c>
    </row>
    <row r="646">
      <c r="A646" s="215" t="s">
        <v>353</v>
      </c>
      <c r="B646" s="216" t="s">
        <v>554</v>
      </c>
      <c r="C646" s="216" t="s">
        <v>1169</v>
      </c>
      <c r="D646" s="216" t="s">
        <v>1170</v>
      </c>
      <c r="E646" s="216" t="s">
        <v>3361</v>
      </c>
      <c r="F646" s="182">
        <v>74.0</v>
      </c>
      <c r="G646" s="172" t="str">
        <f>IFERROR(__xludf.DUMMYFUNCTION("TRIM(REGEXREPLACE(C646, ""[0-9]+[a-f]?\."", """"))"),"Are you living in the same location now?")</f>
        <v>Are you living in the same location now?</v>
      </c>
      <c r="H646" s="172" t="str">
        <f>IFERROR(__xludf.DUMMYFUNCTION("TRIM(REGEXREPLACE(D646, ""[0-9]+[a-f]?\."", """"))"),"Vivez-vous au même endroit maintenant?")</f>
        <v>Vivez-vous au même endroit maintenant?</v>
      </c>
      <c r="I646" s="172" t="str">
        <f>IFERROR(__xludf.DUMMYFUNCTION("TRIM(REGEXREPLACE(E646, ""[0-9]+[a-f]?\."", """"))"),"Ko kana zaune a wurin na da a yanzu?")</f>
        <v>Ko kana zaune a wurin na da a yanzu?</v>
      </c>
      <c r="J646" s="172" t="str">
        <f t="shared" ref="J646:L646" si="74">$F646 &amp; ". " &amp;G646</f>
        <v>74. Are you living in the same location now?</v>
      </c>
      <c r="K646" s="172" t="str">
        <f t="shared" si="74"/>
        <v>74. Vivez-vous au même endroit maintenant?</v>
      </c>
      <c r="L646" s="172" t="str">
        <f t="shared" si="74"/>
        <v>74. Ko kana zaune a wurin na da a yanzu?</v>
      </c>
      <c r="M646" s="172"/>
    </row>
    <row r="647">
      <c r="A647" s="215" t="s">
        <v>353</v>
      </c>
      <c r="B647" s="216" t="s">
        <v>566</v>
      </c>
      <c r="C647" s="216" t="s">
        <v>3362</v>
      </c>
      <c r="D647" s="216" t="s">
        <v>3363</v>
      </c>
      <c r="E647" s="216" t="s">
        <v>3364</v>
      </c>
      <c r="F647" s="182">
        <v>75.0</v>
      </c>
      <c r="G647" s="172" t="str">
        <f>IFERROR(__xludf.DUMMYFUNCTION("TRIM(REGEXREPLACE(C647, ""[0-9]+[a-f]?\."", """"))"),"Where are you living?
 Enumerator: Is location in Niger?")</f>
        <v>Where are you living?
 Enumerator: Is location in Niger?</v>
      </c>
      <c r="H647" s="172" t="str">
        <f>IFERROR(__xludf.DUMMYFUNCTION("TRIM(REGEXREPLACE(D647, ""[0-9]+[a-f]?\."", """"))"),"Où habites-tu?
 Énquêteur: le lieu est-il au Niger?")</f>
        <v>Où habites-tu?
 Énquêteur: le lieu est-il au Niger?</v>
      </c>
      <c r="I647" s="172" t="str">
        <f>IFERROR(__xludf.DUMMYFUNCTION("TRIM(REGEXREPLACE(E647, ""[0-9]+[a-f]?\."", """"))"),"Ina kake zaune?
 Dan bincike: Ko wurin a Nijar ne?")</f>
        <v>Ina kake zaune?
 Dan bincike: Ko wurin a Nijar ne?</v>
      </c>
      <c r="J647" s="172" t="str">
        <f t="shared" ref="J647:L647" si="75">$F647 &amp; ". " &amp;G647</f>
        <v>75. Where are you living?
 Enumerator: Is location in Niger?</v>
      </c>
      <c r="K647" s="172" t="str">
        <f t="shared" si="75"/>
        <v>75. Où habites-tu?
 Énquêteur: le lieu est-il au Niger?</v>
      </c>
      <c r="L647" s="172" t="str">
        <f t="shared" si="75"/>
        <v>75. Ina kake zaune?
 Dan bincike: Ko wurin a Nijar ne?</v>
      </c>
      <c r="M647" s="172"/>
    </row>
    <row r="648">
      <c r="A648" s="215" t="s">
        <v>481</v>
      </c>
      <c r="B648" s="216" t="s">
        <v>577</v>
      </c>
      <c r="C648" s="216" t="s">
        <v>1155</v>
      </c>
      <c r="D648" s="216" t="s">
        <v>1156</v>
      </c>
      <c r="E648" s="216" t="s">
        <v>1157</v>
      </c>
      <c r="F648" s="182">
        <v>76.0</v>
      </c>
      <c r="G648" s="172" t="str">
        <f>IFERROR(__xludf.DUMMYFUNCTION("TRIM(REGEXREPLACE(C648, ""[0-9]+[a-f]?\."", """"))"),"Enumerator: Select region in Niger")</f>
        <v>Enumerator: Select region in Niger</v>
      </c>
      <c r="H648" s="172" t="str">
        <f>IFERROR(__xludf.DUMMYFUNCTION("TRIM(REGEXREPLACE(D648, ""[0-9]+[a-f]?\."", """"))"),"Enquêteur : Sélectionnez une région au Niger")</f>
        <v>Enquêteur : Sélectionnez une région au Niger</v>
      </c>
      <c r="I648" s="172" t="str">
        <f>IFERROR(__xludf.DUMMYFUNCTION("TRIM(REGEXREPLACE(E648, ""[0-9]+[a-f]?\."", """"))"),"Ɗan bincike: Zaɓi Jaha ɗaya a Nijar")</f>
        <v>Ɗan bincike: Zaɓi Jaha ɗaya a Nijar</v>
      </c>
      <c r="J648" s="172" t="str">
        <f t="shared" ref="J648:L648" si="76">$F648 &amp; ". " &amp;G648</f>
        <v>76. Enumerator: Select region in Niger</v>
      </c>
      <c r="K648" s="172" t="str">
        <f t="shared" si="76"/>
        <v>76. Enquêteur : Sélectionnez une région au Niger</v>
      </c>
      <c r="L648" s="172" t="str">
        <f t="shared" si="76"/>
        <v>76. Ɗan bincike: Zaɓi Jaha ɗaya a Nijar</v>
      </c>
      <c r="M648" s="172"/>
    </row>
    <row r="649">
      <c r="A649" s="215" t="s">
        <v>489</v>
      </c>
      <c r="B649" s="216" t="s">
        <v>589</v>
      </c>
      <c r="C649" s="216" t="s">
        <v>1158</v>
      </c>
      <c r="D649" s="216" t="s">
        <v>1159</v>
      </c>
      <c r="E649" s="216" t="s">
        <v>1160</v>
      </c>
      <c r="F649" s="182">
        <v>77.0</v>
      </c>
      <c r="G649" s="172" t="str">
        <f>IFERROR(__xludf.DUMMYFUNCTION("TRIM(REGEXREPLACE(C649, ""[0-9]+[a-f]?\."", """"))"),"Enumerator: Select country")</f>
        <v>Enumerator: Select country</v>
      </c>
      <c r="H649" s="172" t="str">
        <f>IFERROR(__xludf.DUMMYFUNCTION("TRIM(REGEXREPLACE(D649, ""[0-9]+[a-f]?\."", """"))"),"Enquêteur : sélectionnez le pays")</f>
        <v>Enquêteur : sélectionnez le pays</v>
      </c>
      <c r="I649" s="172" t="str">
        <f>IFERROR(__xludf.DUMMYFUNCTION("TRIM(REGEXREPLACE(E649, ""[0-9]+[a-f]?\."", """"))"),"Ɗan bincike: Zaɓi ƙasa")</f>
        <v>Ɗan bincike: Zaɓi ƙasa</v>
      </c>
      <c r="J649" s="172" t="str">
        <f t="shared" ref="J649:L649" si="77">$F649 &amp; ". " &amp;G649</f>
        <v>77. Enumerator: Select country</v>
      </c>
      <c r="K649" s="172" t="str">
        <f t="shared" si="77"/>
        <v>77. Enquêteur : sélectionnez le pays</v>
      </c>
      <c r="L649" s="172" t="str">
        <f t="shared" si="77"/>
        <v>77. Ɗan bincike: Zaɓi ƙasa</v>
      </c>
      <c r="M649" s="172"/>
    </row>
    <row r="650">
      <c r="A650" s="246" t="s">
        <v>231</v>
      </c>
      <c r="B650" s="247" t="s">
        <v>598</v>
      </c>
      <c r="C650" s="247" t="s">
        <v>3371</v>
      </c>
      <c r="D650" s="247" t="s">
        <v>3372</v>
      </c>
      <c r="E650" s="247" t="s">
        <v>3373</v>
      </c>
      <c r="F650" s="182">
        <v>78.0</v>
      </c>
      <c r="G650" s="172" t="str">
        <f>IFERROR(__xludf.DUMMYFUNCTION("TRIM(REGEXREPLACE(C650, ""[0-9]+[a-f]?\."", """"))"),"Enumerator: Enter other country")</f>
        <v>Enumerator: Enter other country</v>
      </c>
      <c r="H650" s="172" t="str">
        <f>IFERROR(__xludf.DUMMYFUNCTION("TRIM(REGEXREPLACE(D650, ""[0-9]+[a-f]?\."", """"))"),"Enquêteur : Entrez un autre pays")</f>
        <v>Enquêteur : Entrez un autre pays</v>
      </c>
      <c r="I650" s="172" t="str">
        <f>IFERROR(__xludf.DUMMYFUNCTION("TRIM(REGEXREPLACE(E650, ""[0-9]+[a-f]?\."", """"))"),"Ɗan bincike: Shigar da wata ƙasa")</f>
        <v>Ɗan bincike: Shigar da wata ƙasa</v>
      </c>
      <c r="J650" s="172" t="str">
        <f t="shared" ref="J650:L650" si="78">$F650 &amp; ". " &amp;G650</f>
        <v>78. Enumerator: Enter other country</v>
      </c>
      <c r="K650" s="172" t="str">
        <f t="shared" si="78"/>
        <v>78. Enquêteur : Entrez un autre pays</v>
      </c>
      <c r="L650" s="172" t="str">
        <f t="shared" si="78"/>
        <v>78. Ɗan bincike: Shigar da wata ƙasa</v>
      </c>
    </row>
    <row r="651" hidden="1"/>
    <row r="652" hidden="1">
      <c r="B652" s="260"/>
      <c r="C652" s="260"/>
      <c r="D652" s="260"/>
      <c r="E652" s="260"/>
      <c r="F652" s="182">
        <v>399.0</v>
      </c>
      <c r="G652" s="172" t="str">
        <f>IFERROR(__xludf.DUMMYFUNCTION("TRIM(REGEXREPLACE(C652, ""[0-9]+[a-f]?\."", """"))"),"")</f>
        <v/>
      </c>
      <c r="H652" s="172" t="str">
        <f>IFERROR(__xludf.DUMMYFUNCTION("TRIM(REGEXREPLACE(D652, ""[0-9]+[a-f]?\."", """"))"),"")</f>
        <v/>
      </c>
      <c r="I652" s="172" t="str">
        <f>IFERROR(__xludf.DUMMYFUNCTION("TRIM(REGEXREPLACE(E652, ""[0-9]+[a-f]?\."", """"))"),"")</f>
        <v/>
      </c>
      <c r="J652" s="172" t="s">
        <v>3377</v>
      </c>
      <c r="K652" s="172" t="s">
        <v>3378</v>
      </c>
      <c r="L652" s="172" t="s">
        <v>3378</v>
      </c>
      <c r="M652" s="172"/>
    </row>
    <row r="653" hidden="1">
      <c r="B653" s="260"/>
      <c r="C653" s="260"/>
      <c r="D653" s="260"/>
      <c r="E653" s="260"/>
      <c r="F653" s="182">
        <v>376.0</v>
      </c>
      <c r="G653" s="172" t="str">
        <f>IFERROR(__xludf.DUMMYFUNCTION("TRIM(REGEXREPLACE(C653, ""[0-9]+[a-f]?\."", """"))"),"")</f>
        <v/>
      </c>
      <c r="H653" s="172" t="str">
        <f>IFERROR(__xludf.DUMMYFUNCTION("TRIM(REGEXREPLACE(D653, ""[0-9]+[a-f]?\."", """"))"),"")</f>
        <v/>
      </c>
      <c r="I653" s="172" t="str">
        <f>IFERROR(__xludf.DUMMYFUNCTION("TRIM(REGEXREPLACE(E653, ""[0-9]+[a-f]?\."", """"))"),"")</f>
        <v/>
      </c>
      <c r="J653" s="172" t="s">
        <v>3379</v>
      </c>
      <c r="K653" s="172" t="s">
        <v>3380</v>
      </c>
      <c r="L653" s="172" t="s">
        <v>3381</v>
      </c>
      <c r="M653" s="172"/>
    </row>
    <row r="654">
      <c r="A654" s="215" t="s">
        <v>508</v>
      </c>
      <c r="B654" s="216" t="s">
        <v>606</v>
      </c>
      <c r="C654" s="216" t="s">
        <v>1175</v>
      </c>
      <c r="D654" s="216" t="s">
        <v>1176</v>
      </c>
      <c r="E654" s="216" t="s">
        <v>1177</v>
      </c>
      <c r="F654" s="182">
        <v>79.0</v>
      </c>
      <c r="G654" s="172" t="str">
        <f>IFERROR(__xludf.DUMMYFUNCTION("TRIM(REGEXREPLACE(C654, ""[0-9]+[a-f]?\."", """"))"),"Enumerator: Select town")</f>
        <v>Enumerator: Select town</v>
      </c>
      <c r="H654" s="172" t="str">
        <f>IFERROR(__xludf.DUMMYFUNCTION("TRIM(REGEXREPLACE(D654, ""[0-9]+[a-f]?\."", """"))"),"Enquêteur : Sélectionnez la ville")</f>
        <v>Enquêteur : Sélectionnez la ville</v>
      </c>
      <c r="I654" s="172" t="str">
        <f>IFERROR(__xludf.DUMMYFUNCTION("TRIM(REGEXREPLACE(E654, ""[0-9]+[a-f]?\."", """"))"),"Ɗan bincike: Zaɓi gari")</f>
        <v>Ɗan bincike: Zaɓi gari</v>
      </c>
      <c r="J654" s="172" t="str">
        <f t="shared" ref="J654:L654" si="79">$F654 &amp; ". " &amp;G654</f>
        <v>79. Enumerator: Select town</v>
      </c>
      <c r="K654" s="172" t="str">
        <f t="shared" si="79"/>
        <v>79. Enquêteur : Sélectionnez la ville</v>
      </c>
      <c r="L654" s="172" t="str">
        <f t="shared" si="79"/>
        <v>79. Ɗan bincike: Zaɓi gari</v>
      </c>
    </row>
    <row r="655">
      <c r="A655" s="246" t="s">
        <v>231</v>
      </c>
      <c r="B655" s="247" t="s">
        <v>618</v>
      </c>
      <c r="C655" s="247" t="s">
        <v>3382</v>
      </c>
      <c r="D655" s="247" t="s">
        <v>3383</v>
      </c>
      <c r="E655" s="247" t="s">
        <v>3384</v>
      </c>
      <c r="F655" s="182">
        <v>80.0</v>
      </c>
      <c r="G655" s="172" t="str">
        <f>IFERROR(__xludf.DUMMYFUNCTION("TRIM(REGEXREPLACE(C655, ""[0-9]+[a-f]?\."", """"))"),"Other, specify:")</f>
        <v>Other, specify:</v>
      </c>
      <c r="H655" s="172" t="str">
        <f>IFERROR(__xludf.DUMMYFUNCTION("TRIM(REGEXREPLACE(D655, ""[0-9]+[a-f]?\."", """"))"),"Autre précisez:")</f>
        <v>Autre précisez:</v>
      </c>
      <c r="I655" s="172" t="str">
        <f>IFERROR(__xludf.DUMMYFUNCTION("TRIM(REGEXREPLACE(E655, ""[0-9]+[a-f]?\."", """"))"),"Wani daba baiyana:")</f>
        <v>Wani daba baiyana:</v>
      </c>
      <c r="J655" s="172" t="str">
        <f t="shared" ref="J655:L655" si="80">$F655 &amp; ". " &amp;G655</f>
        <v>80. Other, specify:</v>
      </c>
      <c r="K655" s="172" t="str">
        <f t="shared" si="80"/>
        <v>80. Autre précisez:</v>
      </c>
      <c r="L655" s="172" t="str">
        <f t="shared" si="80"/>
        <v>80. Wani daba baiyana:</v>
      </c>
    </row>
    <row r="656" hidden="1">
      <c r="A656" s="188" t="s">
        <v>68</v>
      </c>
      <c r="B656" s="189" t="s">
        <v>630</v>
      </c>
      <c r="C656" s="190"/>
      <c r="D656" s="190"/>
      <c r="E656" s="190"/>
      <c r="F656" s="182">
        <v>357.0</v>
      </c>
      <c r="G656" s="172" t="str">
        <f>IFERROR(__xludf.DUMMYFUNCTION("TRIM(REGEXREPLACE(C656, ""[0-9]+[a-f]?\."", """"))"),"")</f>
        <v/>
      </c>
      <c r="H656" s="172" t="str">
        <f>IFERROR(__xludf.DUMMYFUNCTION("TRIM(REGEXREPLACE(D656, ""[0-9]+[a-f]?\."", """"))"),"")</f>
        <v/>
      </c>
      <c r="I656" s="172" t="str">
        <f>IFERROR(__xludf.DUMMYFUNCTION("TRIM(REGEXREPLACE(E656, ""[0-9]+[a-f]?\."", """"))"),"")</f>
        <v/>
      </c>
      <c r="J656" s="172" t="s">
        <v>3385</v>
      </c>
      <c r="K656" s="172" t="s">
        <v>3386</v>
      </c>
      <c r="L656" s="172" t="s">
        <v>3387</v>
      </c>
      <c r="M656" s="172"/>
    </row>
    <row r="657" hidden="1">
      <c r="A657" s="188" t="s">
        <v>68</v>
      </c>
      <c r="B657" s="189" t="s">
        <v>637</v>
      </c>
      <c r="C657" s="190"/>
      <c r="D657" s="190"/>
      <c r="E657" s="190"/>
      <c r="F657" s="182">
        <v>358.0</v>
      </c>
      <c r="G657" s="172" t="str">
        <f>IFERROR(__xludf.DUMMYFUNCTION("TRIM(REGEXREPLACE(C657, ""[0-9]+[a-f]?\."", """"))"),"")</f>
        <v/>
      </c>
      <c r="H657" s="172" t="str">
        <f>IFERROR(__xludf.DUMMYFUNCTION("TRIM(REGEXREPLACE(D657, ""[0-9]+[a-f]?\."", """"))"),"")</f>
        <v/>
      </c>
      <c r="I657" s="172" t="str">
        <f>IFERROR(__xludf.DUMMYFUNCTION("TRIM(REGEXREPLACE(E657, ""[0-9]+[a-f]?\."", """"))"),"")</f>
        <v/>
      </c>
      <c r="J657" s="172" t="s">
        <v>3388</v>
      </c>
      <c r="K657" s="172" t="s">
        <v>3389</v>
      </c>
      <c r="L657" s="172" t="s">
        <v>3390</v>
      </c>
      <c r="M657" s="172"/>
    </row>
    <row r="658" hidden="1">
      <c r="A658" s="188" t="s">
        <v>68</v>
      </c>
      <c r="B658" s="189" t="s">
        <v>646</v>
      </c>
      <c r="C658" s="217" t="s">
        <v>647</v>
      </c>
      <c r="D658" s="190"/>
      <c r="E658" s="190"/>
      <c r="F658" s="182">
        <v>359.0</v>
      </c>
      <c r="G658" s="172" t="str">
        <f>IFERROR(__xludf.DUMMYFUNCTION("TRIM(REGEXREPLACE(C658, ""[0-9]+[a-f]?\."", """"))"),"Calculate current location")</f>
        <v>Calculate current location</v>
      </c>
      <c r="H658" s="172" t="str">
        <f>IFERROR(__xludf.DUMMYFUNCTION("TRIM(REGEXREPLACE(D658, ""[0-9]+[a-f]?\."", """"))"),"")</f>
        <v/>
      </c>
      <c r="I658" s="172" t="str">
        <f>IFERROR(__xludf.DUMMYFUNCTION("TRIM(REGEXREPLACE(E658, ""[0-9]+[a-f]?\."", """"))"),"")</f>
        <v/>
      </c>
      <c r="J658" s="172" t="s">
        <v>3391</v>
      </c>
      <c r="K658" s="172" t="s">
        <v>3392</v>
      </c>
      <c r="L658" s="172" t="s">
        <v>3393</v>
      </c>
      <c r="M658" s="172"/>
    </row>
    <row r="659" hidden="1">
      <c r="A659" s="188" t="s">
        <v>68</v>
      </c>
      <c r="B659" s="189" t="s">
        <v>650</v>
      </c>
      <c r="C659" s="190"/>
      <c r="D659" s="190"/>
      <c r="E659" s="190"/>
      <c r="F659" s="182">
        <v>360.0</v>
      </c>
      <c r="G659" s="172" t="str">
        <f>IFERROR(__xludf.DUMMYFUNCTION("TRIM(REGEXREPLACE(C659, ""[0-9]+[a-f]?\."", """"))"),"")</f>
        <v/>
      </c>
      <c r="H659" s="172" t="str">
        <f>IFERROR(__xludf.DUMMYFUNCTION("TRIM(REGEXREPLACE(D659, ""[0-9]+[a-f]?\."", """"))"),"")</f>
        <v/>
      </c>
      <c r="I659" s="172" t="str">
        <f>IFERROR(__xludf.DUMMYFUNCTION("TRIM(REGEXREPLACE(E659, ""[0-9]+[a-f]?\."", """"))"),"")</f>
        <v/>
      </c>
      <c r="J659" s="172" t="s">
        <v>3394</v>
      </c>
      <c r="K659" s="172" t="s">
        <v>3395</v>
      </c>
      <c r="L659" s="172" t="s">
        <v>3396</v>
      </c>
      <c r="M659" s="172"/>
    </row>
    <row r="660" hidden="1">
      <c r="A660" s="188" t="s">
        <v>68</v>
      </c>
      <c r="B660" s="189" t="s">
        <v>657</v>
      </c>
      <c r="C660" s="190"/>
      <c r="D660" s="190"/>
      <c r="E660" s="190"/>
      <c r="F660" s="182">
        <v>361.0</v>
      </c>
      <c r="G660" s="172" t="str">
        <f>IFERROR(__xludf.DUMMYFUNCTION("TRIM(REGEXREPLACE(C660, ""[0-9]+[a-f]?\."", """"))"),"")</f>
        <v/>
      </c>
      <c r="H660" s="172" t="str">
        <f>IFERROR(__xludf.DUMMYFUNCTION("TRIM(REGEXREPLACE(D660, ""[0-9]+[a-f]?\."", """"))"),"")</f>
        <v/>
      </c>
      <c r="I660" s="172" t="str">
        <f>IFERROR(__xludf.DUMMYFUNCTION("TRIM(REGEXREPLACE(E660, ""[0-9]+[a-f]?\."", """"))"),"")</f>
        <v/>
      </c>
      <c r="J660" s="172" t="s">
        <v>3397</v>
      </c>
      <c r="K660" s="172" t="s">
        <v>3398</v>
      </c>
      <c r="L660" s="172" t="s">
        <v>3399</v>
      </c>
      <c r="M660" s="172"/>
    </row>
    <row r="661" hidden="1">
      <c r="A661" s="188" t="s">
        <v>68</v>
      </c>
      <c r="B661" s="189" t="s">
        <v>662</v>
      </c>
      <c r="C661" s="190"/>
      <c r="D661" s="190"/>
      <c r="E661" s="190"/>
      <c r="F661" s="182">
        <v>362.0</v>
      </c>
      <c r="G661" s="172" t="str">
        <f>IFERROR(__xludf.DUMMYFUNCTION("TRIM(REGEXREPLACE(C661, ""[0-9]+[a-f]?\."", """"))"),"")</f>
        <v/>
      </c>
      <c r="H661" s="172" t="str">
        <f>IFERROR(__xludf.DUMMYFUNCTION("TRIM(REGEXREPLACE(D661, ""[0-9]+[a-f]?\."", """"))"),"")</f>
        <v/>
      </c>
      <c r="I661" s="172" t="str">
        <f>IFERROR(__xludf.DUMMYFUNCTION("TRIM(REGEXREPLACE(E661, ""[0-9]+[a-f]?\."", """"))"),"")</f>
        <v/>
      </c>
      <c r="J661" s="172" t="s">
        <v>3400</v>
      </c>
      <c r="K661" s="172" t="s">
        <v>3401</v>
      </c>
      <c r="L661" s="172" t="s">
        <v>3402</v>
      </c>
      <c r="M661" s="172"/>
    </row>
    <row r="662" hidden="1">
      <c r="A662" s="188" t="s">
        <v>68</v>
      </c>
      <c r="B662" s="189" t="s">
        <v>665</v>
      </c>
      <c r="C662" s="190"/>
      <c r="D662" s="190"/>
      <c r="E662" s="190"/>
      <c r="F662" s="182">
        <v>363.0</v>
      </c>
      <c r="G662" s="172" t="str">
        <f>IFERROR(__xludf.DUMMYFUNCTION("TRIM(REGEXREPLACE(C662, ""[0-9]+[a-f]?\."", """"))"),"")</f>
        <v/>
      </c>
      <c r="H662" s="172" t="str">
        <f>IFERROR(__xludf.DUMMYFUNCTION("TRIM(REGEXREPLACE(D662, ""[0-9]+[a-f]?\."", """"))"),"")</f>
        <v/>
      </c>
      <c r="I662" s="172" t="str">
        <f>IFERROR(__xludf.DUMMYFUNCTION("TRIM(REGEXREPLACE(E662, ""[0-9]+[a-f]?\."", """"))"),"")</f>
        <v/>
      </c>
      <c r="J662" s="172" t="s">
        <v>3403</v>
      </c>
      <c r="K662" s="172" t="s">
        <v>3404</v>
      </c>
      <c r="L662" s="172" t="s">
        <v>3405</v>
      </c>
    </row>
    <row r="663" hidden="1">
      <c r="B663" s="260"/>
      <c r="C663" s="260"/>
      <c r="D663" s="260"/>
      <c r="E663" s="260"/>
      <c r="F663" s="182">
        <v>382.0</v>
      </c>
      <c r="G663" s="172" t="str">
        <f>IFERROR(__xludf.DUMMYFUNCTION("TRIM(REGEXREPLACE(C663, ""[0-9]+[a-f]?\."", """"))"),"")</f>
        <v/>
      </c>
      <c r="H663" s="172" t="str">
        <f>IFERROR(__xludf.DUMMYFUNCTION("TRIM(REGEXREPLACE(D663, ""[0-9]+[a-f]?\."", """"))"),"")</f>
        <v/>
      </c>
      <c r="I663" s="172" t="str">
        <f>IFERROR(__xludf.DUMMYFUNCTION("TRIM(REGEXREPLACE(E663, ""[0-9]+[a-f]?\."", """"))"),"")</f>
        <v/>
      </c>
      <c r="J663" s="172" t="s">
        <v>3406</v>
      </c>
      <c r="K663" s="172" t="s">
        <v>3407</v>
      </c>
      <c r="L663" s="172" t="s">
        <v>3408</v>
      </c>
      <c r="M663" s="172"/>
    </row>
    <row r="664" hidden="1">
      <c r="B664" s="260"/>
      <c r="C664" s="260"/>
      <c r="D664" s="260"/>
      <c r="E664" s="260"/>
      <c r="F664" s="182">
        <v>407.0</v>
      </c>
      <c r="G664" s="172" t="str">
        <f>IFERROR(__xludf.DUMMYFUNCTION("TRIM(REGEXREPLACE(C664, ""[0-9]+[a-f]?\."", """"))"),"")</f>
        <v/>
      </c>
      <c r="H664" s="172" t="str">
        <f>IFERROR(__xludf.DUMMYFUNCTION("TRIM(REGEXREPLACE(D664, ""[0-9]+[a-f]?\."", """"))"),"")</f>
        <v/>
      </c>
      <c r="I664" s="172" t="str">
        <f>IFERROR(__xludf.DUMMYFUNCTION("TRIM(REGEXREPLACE(E664, ""[0-9]+[a-f]?\."", """"))"),"")</f>
        <v/>
      </c>
      <c r="J664" s="172" t="s">
        <v>3409</v>
      </c>
      <c r="K664" s="172" t="s">
        <v>3410</v>
      </c>
      <c r="L664" s="172" t="s">
        <v>3410</v>
      </c>
      <c r="M664" s="172"/>
    </row>
    <row r="665" hidden="1">
      <c r="B665" s="260"/>
      <c r="C665" s="260"/>
      <c r="D665" s="260"/>
      <c r="E665" s="260"/>
      <c r="F665" s="182">
        <v>408.0</v>
      </c>
      <c r="G665" s="172" t="str">
        <f>IFERROR(__xludf.DUMMYFUNCTION("TRIM(REGEXREPLACE(C665, ""[0-9]+[a-f]?\."", """"))"),"")</f>
        <v/>
      </c>
      <c r="H665" s="172" t="str">
        <f>IFERROR(__xludf.DUMMYFUNCTION("TRIM(REGEXREPLACE(D665, ""[0-9]+[a-f]?\."", """"))"),"")</f>
        <v/>
      </c>
      <c r="I665" s="172" t="str">
        <f>IFERROR(__xludf.DUMMYFUNCTION("TRIM(REGEXREPLACE(E665, ""[0-9]+[a-f]?\."", """"))"),"")</f>
        <v/>
      </c>
      <c r="J665" s="172" t="s">
        <v>3411</v>
      </c>
      <c r="K665" s="172" t="s">
        <v>3412</v>
      </c>
      <c r="L665" s="172" t="s">
        <v>3412</v>
      </c>
    </row>
    <row r="666" hidden="1">
      <c r="B666" s="260"/>
      <c r="C666" s="260"/>
      <c r="D666" s="260"/>
      <c r="E666" s="260"/>
      <c r="F666" s="182">
        <v>409.0</v>
      </c>
      <c r="G666" s="172" t="str">
        <f>IFERROR(__xludf.DUMMYFUNCTION("TRIM(REGEXREPLACE(C666, ""[0-9]+[a-f]?\."", """"))"),"")</f>
        <v/>
      </c>
      <c r="H666" s="172" t="str">
        <f>IFERROR(__xludf.DUMMYFUNCTION("TRIM(REGEXREPLACE(D666, ""[0-9]+[a-f]?\."", """"))"),"")</f>
        <v/>
      </c>
      <c r="I666" s="172" t="str">
        <f>IFERROR(__xludf.DUMMYFUNCTION("TRIM(REGEXREPLACE(E666, ""[0-9]+[a-f]?\."", """"))"),"")</f>
        <v/>
      </c>
      <c r="J666" s="172" t="s">
        <v>3413</v>
      </c>
      <c r="K666" s="172" t="s">
        <v>3414</v>
      </c>
      <c r="L666" s="172" t="s">
        <v>3414</v>
      </c>
    </row>
    <row r="667" hidden="1">
      <c r="B667" s="260"/>
      <c r="D667" s="260"/>
      <c r="E667" s="260"/>
      <c r="F667" s="182">
        <v>410.0</v>
      </c>
      <c r="G667" s="172" t="str">
        <f>IFERROR(__xludf.DUMMYFUNCTION("TRIM(REGEXREPLACE(C667, ""[0-9]+[a-f]?\."", """"))"),"")</f>
        <v/>
      </c>
      <c r="H667" s="172" t="str">
        <f>IFERROR(__xludf.DUMMYFUNCTION("TRIM(REGEXREPLACE(D667, ""[0-9]+[a-f]?\."", """"))"),"")</f>
        <v/>
      </c>
      <c r="I667" s="172" t="str">
        <f>IFERROR(__xludf.DUMMYFUNCTION("TRIM(REGEXREPLACE(E667, ""[0-9]+[a-f]?\."", """"))"),"")</f>
        <v/>
      </c>
      <c r="J667" s="172" t="s">
        <v>3415</v>
      </c>
      <c r="K667" s="172" t="s">
        <v>3416</v>
      </c>
      <c r="L667" s="172" t="s">
        <v>3416</v>
      </c>
    </row>
    <row r="668" hidden="1">
      <c r="A668" s="188" t="s">
        <v>68</v>
      </c>
      <c r="B668" s="189" t="s">
        <v>671</v>
      </c>
      <c r="C668" s="190"/>
      <c r="D668" s="190"/>
      <c r="E668" s="190"/>
      <c r="F668" s="182">
        <v>364.0</v>
      </c>
      <c r="G668" s="172" t="str">
        <f>IFERROR(__xludf.DUMMYFUNCTION("TRIM(REGEXREPLACE(C668, ""[0-9]+[a-f]?\."", """"))"),"")</f>
        <v/>
      </c>
      <c r="H668" s="172" t="str">
        <f>IFERROR(__xludf.DUMMYFUNCTION("TRIM(REGEXREPLACE(D668, ""[0-9]+[a-f]?\."", """"))"),"")</f>
        <v/>
      </c>
      <c r="I668" s="172" t="str">
        <f>IFERROR(__xludf.DUMMYFUNCTION("TRIM(REGEXREPLACE(E668, ""[0-9]+[a-f]?\."", """"))"),"")</f>
        <v/>
      </c>
      <c r="J668" s="172" t="s">
        <v>3417</v>
      </c>
      <c r="K668" s="172" t="s">
        <v>3418</v>
      </c>
      <c r="L668" s="172" t="s">
        <v>3419</v>
      </c>
      <c r="M668" s="172"/>
    </row>
    <row r="669" hidden="1">
      <c r="A669" s="172"/>
      <c r="B669" s="174"/>
      <c r="C669" s="174"/>
      <c r="D669" s="174"/>
      <c r="E669" s="174"/>
      <c r="F669" s="182">
        <v>365.0</v>
      </c>
      <c r="G669" s="172" t="str">
        <f>IFERROR(__xludf.DUMMYFUNCTION("TRIM(REGEXREPLACE(C669, ""[0-9]+[a-f]?\."", """"))"),"")</f>
        <v/>
      </c>
      <c r="H669" s="172" t="str">
        <f>IFERROR(__xludf.DUMMYFUNCTION("TRIM(REGEXREPLACE(D669, ""[0-9]+[a-f]?\."", """"))"),"")</f>
        <v/>
      </c>
      <c r="I669" s="172" t="str">
        <f>IFERROR(__xludf.DUMMYFUNCTION("TRIM(REGEXREPLACE(E669, ""[0-9]+[a-f]?\."", """"))"),"")</f>
        <v/>
      </c>
      <c r="J669" s="172" t="s">
        <v>3420</v>
      </c>
      <c r="K669" s="172" t="s">
        <v>3421</v>
      </c>
      <c r="L669" s="172" t="s">
        <v>3422</v>
      </c>
      <c r="M669" s="172"/>
    </row>
    <row r="670">
      <c r="A670" s="215" t="s">
        <v>3423</v>
      </c>
      <c r="B670" s="216" t="s">
        <v>3424</v>
      </c>
      <c r="C670" s="216" t="s">
        <v>1301</v>
      </c>
      <c r="D670" s="216" t="s">
        <v>3425</v>
      </c>
      <c r="E670" s="216" t="s">
        <v>3426</v>
      </c>
      <c r="F670" s="182">
        <v>81.0</v>
      </c>
      <c r="G670" s="172" t="str">
        <f>IFERROR(__xludf.DUMMYFUNCTION("TRIM(REGEXREPLACE(C670, ""[0-9]+[a-f]?\."", """"))"),"Is ${shm_name} currently living in your household?")</f>
        <v>Is ${shm_name} currently living in your household?</v>
      </c>
      <c r="H670" s="172" t="str">
        <f>IFERROR(__xludf.DUMMYFUNCTION("TRIM(REGEXREPLACE(D670, ""[0-9]+[a-f]?\."", """"))"),"Est-ce que ${shm_name} vit actuellement dans votre ménage?")</f>
        <v>Est-ce que ${shm_name} vit actuellement dans votre ménage?</v>
      </c>
      <c r="I670" s="172" t="str">
        <f>IFERROR(__xludf.DUMMYFUNCTION("TRIM(REGEXREPLACE(E670, ""[0-9]+[a-f]?\."", """"))"),"Ko ${shm_name} yana zaune a gidan ku a halin yanzu?")</f>
        <v>Ko ${shm_name} yana zaune a gidan ku a halin yanzu?</v>
      </c>
      <c r="J670" s="172" t="str">
        <f t="shared" ref="J670:L670" si="81">$F670 &amp; ". " &amp;G670</f>
        <v>81. Is ${shm_name} currently living in your household?</v>
      </c>
      <c r="K670" s="172" t="str">
        <f t="shared" si="81"/>
        <v>81. Est-ce que ${shm_name} vit actuellement dans votre ménage?</v>
      </c>
      <c r="L670" s="172" t="str">
        <f t="shared" si="81"/>
        <v>81. Ko ${shm_name} yana zaune a gidan ku a halin yanzu?</v>
      </c>
    </row>
    <row r="671">
      <c r="A671" s="215" t="s">
        <v>353</v>
      </c>
      <c r="B671" s="216" t="s">
        <v>3427</v>
      </c>
      <c r="C671" s="216" t="s">
        <v>1353</v>
      </c>
      <c r="D671" s="216" t="s">
        <v>3428</v>
      </c>
      <c r="E671" s="216" t="s">
        <v>3429</v>
      </c>
      <c r="F671" s="182">
        <v>82.0</v>
      </c>
      <c r="G671" s="172" t="str">
        <f>IFERROR(__xludf.DUMMYFUNCTION("TRIM(REGEXREPLACE(C671, ""[0-9]+[a-f]?\."", """"))"),"Is ${shm_name} currently living in Niger?")</f>
        <v>Is ${shm_name} currently living in Niger?</v>
      </c>
      <c r="H671" s="172" t="str">
        <f>IFERROR(__xludf.DUMMYFUNCTION("TRIM(REGEXREPLACE(D671, ""[0-9]+[a-f]?\."", """"))"),"Où habites-tu?
 Énquêteur: le lieu est-il au Niger?")</f>
        <v>Où habites-tu?
 Énquêteur: le lieu est-il au Niger?</v>
      </c>
      <c r="I671" s="172" t="str">
        <f>IFERROR(__xludf.DUMMYFUNCTION("TRIM(REGEXREPLACE(E671, ""[0-9]+[a-f]?\."", """"))"),"Ina kake zaune?
 Dan bincike: Ko wurin a Nijar ne?")</f>
        <v>Ina kake zaune?
 Dan bincike: Ko wurin a Nijar ne?</v>
      </c>
      <c r="J671" s="172" t="str">
        <f t="shared" ref="J671:L671" si="82">$F671 &amp; ". " &amp;G671</f>
        <v>82. Is ${shm_name} currently living in Niger?</v>
      </c>
      <c r="K671" s="172" t="str">
        <f t="shared" si="82"/>
        <v>82. Où habites-tu?
 Énquêteur: le lieu est-il au Niger?</v>
      </c>
      <c r="L671" s="172" t="str">
        <f t="shared" si="82"/>
        <v>82. Ina kake zaune?
 Dan bincike: Ko wurin a Nijar ne?</v>
      </c>
      <c r="M671" s="172"/>
    </row>
    <row r="672">
      <c r="A672" s="215" t="s">
        <v>481</v>
      </c>
      <c r="B672" s="216" t="s">
        <v>3430</v>
      </c>
      <c r="C672" s="216" t="s">
        <v>1318</v>
      </c>
      <c r="D672" s="216" t="s">
        <v>1319</v>
      </c>
      <c r="E672" s="216" t="s">
        <v>1321</v>
      </c>
      <c r="F672" s="182">
        <v>83.0</v>
      </c>
      <c r="G672" s="172" t="str">
        <f>IFERROR(__xludf.DUMMYFUNCTION("TRIM(REGEXREPLACE(C672, ""[0-9]+[a-f]?\."", """"))"),"Enumerator: Select region in Niger")</f>
        <v>Enumerator: Select region in Niger</v>
      </c>
      <c r="H672" s="172" t="str">
        <f>IFERROR(__xludf.DUMMYFUNCTION("TRIM(REGEXREPLACE(D672, ""[0-9]+[a-f]?\."", """"))"),"Enquêteur : Sélectionnez une région au Niger")</f>
        <v>Enquêteur : Sélectionnez une région au Niger</v>
      </c>
      <c r="I672" s="172" t="str">
        <f>IFERROR(__xludf.DUMMYFUNCTION("TRIM(REGEXREPLACE(E672, ""[0-9]+[a-f]?\."", """"))"),"Ɗan bincike: Zaɓi Jaha ɗaya a Nijar")</f>
        <v>Ɗan bincike: Zaɓi Jaha ɗaya a Nijar</v>
      </c>
      <c r="J672" s="172" t="str">
        <f t="shared" ref="J672:L672" si="83">$F672 &amp; ". " &amp;G672</f>
        <v>83. Enumerator: Select region in Niger</v>
      </c>
      <c r="K672" s="172" t="str">
        <f t="shared" si="83"/>
        <v>83. Enquêteur : Sélectionnez une région au Niger</v>
      </c>
      <c r="L672" s="172" t="str">
        <f t="shared" si="83"/>
        <v>83. Ɗan bincike: Zaɓi Jaha ɗaya a Nijar</v>
      </c>
    </row>
    <row r="673">
      <c r="A673" s="215" t="s">
        <v>489</v>
      </c>
      <c r="B673" s="216" t="s">
        <v>3431</v>
      </c>
      <c r="C673" s="216" t="s">
        <v>1327</v>
      </c>
      <c r="D673" s="216" t="s">
        <v>1329</v>
      </c>
      <c r="E673" s="216" t="s">
        <v>1330</v>
      </c>
      <c r="F673" s="182">
        <v>84.0</v>
      </c>
      <c r="G673" s="172" t="str">
        <f>IFERROR(__xludf.DUMMYFUNCTION("TRIM(REGEXREPLACE(C673, ""[0-9]+[a-f]?\."", """"))"),"Enumerator: Select country")</f>
        <v>Enumerator: Select country</v>
      </c>
      <c r="H673" s="172" t="str">
        <f>IFERROR(__xludf.DUMMYFUNCTION("TRIM(REGEXREPLACE(D673, ""[0-9]+[a-f]?\."", """"))"),"Enquêteur : sélectionnez le pays")</f>
        <v>Enquêteur : sélectionnez le pays</v>
      </c>
      <c r="I673" s="172" t="str">
        <f>IFERROR(__xludf.DUMMYFUNCTION("TRIM(REGEXREPLACE(E673, ""[0-9]+[a-f]?\."", """"))"),"Ɗan bincike: Zaɓi ƙasa")</f>
        <v>Ɗan bincike: Zaɓi ƙasa</v>
      </c>
      <c r="J673" s="172" t="str">
        <f t="shared" ref="J673:L673" si="84">$F673 &amp; ". " &amp;G673</f>
        <v>84. Enumerator: Select country</v>
      </c>
      <c r="K673" s="172" t="str">
        <f t="shared" si="84"/>
        <v>84. Enquêteur : sélectionnez le pays</v>
      </c>
      <c r="L673" s="172" t="str">
        <f t="shared" si="84"/>
        <v>84. Ɗan bincike: Zaɓi ƙasa</v>
      </c>
      <c r="M673" s="172"/>
    </row>
    <row r="674">
      <c r="A674" s="246" t="s">
        <v>231</v>
      </c>
      <c r="B674" s="247" t="s">
        <v>3432</v>
      </c>
      <c r="C674" s="247" t="s">
        <v>1336</v>
      </c>
      <c r="D674" s="247" t="s">
        <v>1337</v>
      </c>
      <c r="E674" s="247" t="s">
        <v>1338</v>
      </c>
      <c r="F674" s="182">
        <v>85.0</v>
      </c>
      <c r="G674" s="172" t="str">
        <f>IFERROR(__xludf.DUMMYFUNCTION("TRIM(REGEXREPLACE(C674, ""[0-9]+[a-f]?\."", """"))"),"Enumerator: Enter other country")</f>
        <v>Enumerator: Enter other country</v>
      </c>
      <c r="H674" s="172" t="str">
        <f>IFERROR(__xludf.DUMMYFUNCTION("TRIM(REGEXREPLACE(D674, ""[0-9]+[a-f]?\."", """"))"),"Enquêteur : Entrez un autre pays")</f>
        <v>Enquêteur : Entrez un autre pays</v>
      </c>
      <c r="I674" s="172" t="str">
        <f>IFERROR(__xludf.DUMMYFUNCTION("TRIM(REGEXREPLACE(E674, ""[0-9]+[a-f]?\."", """"))"),"Ɗan bincike: Shigar da wata ƙasa")</f>
        <v>Ɗan bincike: Shigar da wata ƙasa</v>
      </c>
      <c r="J674" s="172" t="str">
        <f t="shared" ref="J674:L674" si="85">$F674 &amp; ". " &amp;G674</f>
        <v>85. Enumerator: Enter other country</v>
      </c>
      <c r="K674" s="172" t="str">
        <f t="shared" si="85"/>
        <v>85. Enquêteur : Entrez un autre pays</v>
      </c>
      <c r="L674" s="172" t="str">
        <f t="shared" si="85"/>
        <v>85. Ɗan bincike: Shigar da wata ƙasa</v>
      </c>
      <c r="M674" s="172"/>
    </row>
    <row r="675">
      <c r="A675" s="215" t="s">
        <v>508</v>
      </c>
      <c r="B675" s="216" t="s">
        <v>3433</v>
      </c>
      <c r="C675" s="216" t="s">
        <v>1377</v>
      </c>
      <c r="D675" s="216" t="s">
        <v>1378</v>
      </c>
      <c r="E675" s="216" t="s">
        <v>1379</v>
      </c>
      <c r="F675" s="182">
        <v>86.0</v>
      </c>
      <c r="G675" s="172" t="str">
        <f>IFERROR(__xludf.DUMMYFUNCTION("TRIM(REGEXREPLACE(C675, ""[0-9]+[a-f]?\."", """"))"),"Enumerator: Select town")</f>
        <v>Enumerator: Select town</v>
      </c>
      <c r="H675" s="172" t="str">
        <f>IFERROR(__xludf.DUMMYFUNCTION("TRIM(REGEXREPLACE(D675, ""[0-9]+[a-f]?\."", """"))"),"Enquêteur : Sélectionnez la ville")</f>
        <v>Enquêteur : Sélectionnez la ville</v>
      </c>
      <c r="I675" s="172" t="str">
        <f>IFERROR(__xludf.DUMMYFUNCTION("TRIM(REGEXREPLACE(E675, ""[0-9]+[a-f]?\."", """"))"),"Ɗan bincike: Zaɓi gari")</f>
        <v>Ɗan bincike: Zaɓi gari</v>
      </c>
      <c r="J675" s="172" t="str">
        <f t="shared" ref="J675:L675" si="86">$F675 &amp; ". " &amp;G675</f>
        <v>86. Enumerator: Select town</v>
      </c>
      <c r="K675" s="172" t="str">
        <f t="shared" si="86"/>
        <v>86. Enquêteur : Sélectionnez la ville</v>
      </c>
      <c r="L675" s="172" t="str">
        <f t="shared" si="86"/>
        <v>86. Ɗan bincike: Zaɓi gari</v>
      </c>
      <c r="M675" s="172"/>
    </row>
    <row r="676">
      <c r="A676" s="246" t="s">
        <v>231</v>
      </c>
      <c r="B676" s="247" t="s">
        <v>3434</v>
      </c>
      <c r="C676" s="247" t="s">
        <v>1383</v>
      </c>
      <c r="D676" s="247" t="s">
        <v>1384</v>
      </c>
      <c r="E676" s="247" t="s">
        <v>1385</v>
      </c>
      <c r="F676" s="182">
        <v>87.0</v>
      </c>
      <c r="G676" s="172" t="str">
        <f>IFERROR(__xludf.DUMMYFUNCTION("TRIM(REGEXREPLACE(C676, ""[0-9]+[a-f]?\."", """"))"),"Enumerator: Enter other town")</f>
        <v>Enumerator: Enter other town</v>
      </c>
      <c r="H676" s="172" t="str">
        <f>IFERROR(__xludf.DUMMYFUNCTION("TRIM(REGEXREPLACE(D676, ""[0-9]+[a-f]?\."", """"))"),"Enquêteur : Entrez un autre ville")</f>
        <v>Enquêteur : Entrez un autre ville</v>
      </c>
      <c r="I676" s="172" t="str">
        <f>IFERROR(__xludf.DUMMYFUNCTION("TRIM(REGEXREPLACE(E676, ""[0-9]+[a-f]?\."", """"))"),"Ɗan bincike: Shigar da wata gari")</f>
        <v>Ɗan bincike: Shigar da wata gari</v>
      </c>
      <c r="J676" s="172" t="str">
        <f t="shared" ref="J676:L676" si="87">$F676 &amp; ". " &amp;G676</f>
        <v>87. Enumerator: Enter other town</v>
      </c>
      <c r="K676" s="172" t="str">
        <f t="shared" si="87"/>
        <v>87. Enquêteur : Entrez un autre ville</v>
      </c>
      <c r="L676" s="172" t="str">
        <f t="shared" si="87"/>
        <v>87. Ɗan bincike: Shigar da wata gari</v>
      </c>
      <c r="M676" s="172"/>
    </row>
    <row r="677">
      <c r="A677" s="215" t="s">
        <v>3423</v>
      </c>
      <c r="B677" s="216" t="s">
        <v>3435</v>
      </c>
      <c r="C677" s="216" t="s">
        <v>1389</v>
      </c>
      <c r="D677" s="216" t="s">
        <v>3436</v>
      </c>
      <c r="E677" s="216" t="s">
        <v>3437</v>
      </c>
      <c r="F677" s="182">
        <v>88.0</v>
      </c>
      <c r="G677" s="172" t="str">
        <f>IFERROR(__xludf.DUMMYFUNCTION("TRIM(REGEXREPLACE(C677, ""[0-9]+[a-f]?\."", """"))"),"Will ${shm_name} be in the household within the next two weeks?")</f>
        <v>Will ${shm_name} be in the household within the next two weeks?</v>
      </c>
      <c r="H677" s="172" t="str">
        <f>IFERROR(__xludf.DUMMYFUNCTION("TRIM(REGEXREPLACE(D677, ""[0-9]+[a-f]?\."", """"))"),"Est-ce que ${shm_name} sera dans le ménage au cours des deux prochaines semaines ?")</f>
        <v>Est-ce que ${shm_name} sera dans le ménage au cours des deux prochaines semaines ?</v>
      </c>
      <c r="I677" s="172" t="str">
        <f>IFERROR(__xludf.DUMMYFUNCTION("TRIM(REGEXREPLACE(E677, ""[0-9]+[a-f]?\."", """"))"),"Ko ${shm_name} zai kasance a gidan nan a cikin sati biyu masu zuwa?")</f>
        <v>Ko ${shm_name} zai kasance a gidan nan a cikin sati biyu masu zuwa?</v>
      </c>
      <c r="J677" s="172" t="str">
        <f t="shared" ref="J677:L677" si="88">$F677 &amp; ". " &amp;G677</f>
        <v>88. Will ${shm_name} be in the household within the next two weeks?</v>
      </c>
      <c r="K677" s="172" t="str">
        <f t="shared" si="88"/>
        <v>88. Est-ce que ${shm_name} sera dans le ménage au cours des deux prochaines semaines ?</v>
      </c>
      <c r="L677" s="172" t="str">
        <f t="shared" si="88"/>
        <v>88. Ko ${shm_name} zai kasance a gidan nan a cikin sati biyu masu zuwa?</v>
      </c>
    </row>
    <row r="678">
      <c r="A678" s="248" t="s">
        <v>3438</v>
      </c>
      <c r="B678" s="216" t="s">
        <v>3439</v>
      </c>
      <c r="C678" s="216" t="s">
        <v>3440</v>
      </c>
      <c r="D678" s="216" t="s">
        <v>3441</v>
      </c>
      <c r="E678" s="216" t="s">
        <v>3442</v>
      </c>
      <c r="F678" s="182">
        <v>89.0</v>
      </c>
      <c r="G678" s="172" t="str">
        <f>IFERROR(__xludf.DUMMYFUNCTION("TRIM(REGEXREPLACE(C678, ""[0-9]+[a-f]?\."", """"))"),"If the ${shm_name} moved out of the household, who would be in the best position to answer the Secondary Household Member (SHM) survey?")</f>
        <v>If the ${shm_name} moved out of the household, who would be in the best position to answer the Secondary Household Member (SHM) survey?</v>
      </c>
      <c r="H678" s="172" t="str">
        <f>IFERROR(__xludf.DUMMYFUNCTION("TRIM(REGEXREPLACE(D678, ""[0-9]+[a-f]?\."", """"))"),"Si ${shm_name} quittait le ménage, qui serait le mieux placé pour répondre à l'enquête du second membre du ménage(SHM) ?")</f>
        <v>Si ${shm_name} quittait le ménage, qui serait le mieux placé pour répondre à l'enquête du second membre du ménage(SHM) ?</v>
      </c>
      <c r="I678" s="172" t="str">
        <f>IFERROR(__xludf.DUMMYFUNCTION("TRIM(REGEXREPLACE(E678, ""[0-9]+[a-f]?\."", """"))"),"Idan ${shm_name} ba ya gidan, wa zai fi dacewa ya bada amsa ga binciken ɗan gida na biyu (SHM)?")</f>
        <v>Idan ${shm_name} ba ya gidan, wa zai fi dacewa ya bada amsa ga binciken ɗan gida na biyu (SHM)?</v>
      </c>
      <c r="J678" s="172" t="str">
        <f t="shared" ref="J678:L678" si="89">$F678 &amp; ". " &amp;G678</f>
        <v>89. If the ${shm_name} moved out of the household, who would be in the best position to answer the Secondary Household Member (SHM) survey?</v>
      </c>
      <c r="K678" s="172" t="str">
        <f t="shared" si="89"/>
        <v>89. Si ${shm_name} quittait le ménage, qui serait le mieux placé pour répondre à l'enquête du second membre du ménage(SHM) ?</v>
      </c>
      <c r="L678" s="172" t="str">
        <f t="shared" si="89"/>
        <v>89. Idan ${shm_name} ba ya gidan, wa zai fi dacewa ya bada amsa ga binciken ɗan gida na biyu (SHM)?</v>
      </c>
    </row>
    <row r="679">
      <c r="A679" s="248" t="s">
        <v>353</v>
      </c>
      <c r="B679" s="216" t="s">
        <v>3443</v>
      </c>
      <c r="C679" s="216" t="s">
        <v>1391</v>
      </c>
      <c r="D679" s="216" t="s">
        <v>1392</v>
      </c>
      <c r="E679" s="216" t="s">
        <v>1393</v>
      </c>
      <c r="F679" s="182">
        <v>90.0</v>
      </c>
      <c r="G679" s="172" t="str">
        <f>IFERROR(__xludf.DUMMYFUNCTION("TRIM(REGEXREPLACE(C679, ""[0-9]+[a-f]?\."", """"))"),"Have you spoken with ${shm_name} or other members of your household at home in the past month?")</f>
        <v>Have you spoken with ${shm_name} or other members of your household at home in the past month?</v>
      </c>
      <c r="H679" s="172" t="str">
        <f>IFERROR(__xludf.DUMMYFUNCTION("TRIM(REGEXREPLACE(D679, ""[0-9]+[a-f]?\."", """"))"),"Avez-vous parlé avec ${shm_name} ou d'autres membres de votre ménage au cours du mois dernier ?")</f>
        <v>Avez-vous parlé avec ${shm_name} ou d'autres membres de votre ménage au cours du mois dernier ?</v>
      </c>
      <c r="I679" s="172" t="str">
        <f>IFERROR(__xludf.DUMMYFUNCTION("TRIM(REGEXREPLACE(E679, ""[0-9]+[a-f]?\."", """"))"),"Shin ko kun yi magana da ${shm_name} ko wasu ƴan gidanku a cikin watan da ya gabata?")</f>
        <v>Shin ko kun yi magana da ${shm_name} ko wasu ƴan gidanku a cikin watan da ya gabata?</v>
      </c>
      <c r="J679" s="172" t="str">
        <f t="shared" ref="J679:L679" si="90">$F679 &amp; ". " &amp;G679</f>
        <v>90. Have you spoken with ${shm_name} or other members of your household at home in the past month?</v>
      </c>
      <c r="K679" s="172" t="str">
        <f t="shared" si="90"/>
        <v>90. Avez-vous parlé avec ${shm_name} ou d'autres membres de votre ménage au cours du mois dernier ?</v>
      </c>
      <c r="L679" s="172" t="str">
        <f t="shared" si="90"/>
        <v>90. Shin ko kun yi magana da ${shm_name} ko wasu ƴan gidanku a cikin watan da ya gabata?</v>
      </c>
    </row>
    <row r="680" hidden="1">
      <c r="A680" s="188" t="s">
        <v>118</v>
      </c>
      <c r="B680" s="279" t="s">
        <v>3444</v>
      </c>
      <c r="C680" s="190"/>
      <c r="D680" s="190"/>
      <c r="E680" s="190"/>
      <c r="F680" s="182">
        <v>376.0</v>
      </c>
      <c r="G680" s="172" t="str">
        <f>IFERROR(__xludf.DUMMYFUNCTION("TRIM(REGEXREPLACE(C680, ""[0-9]+[a-f]?\."", """"))"),"")</f>
        <v/>
      </c>
      <c r="H680" s="172" t="str">
        <f>IFERROR(__xludf.DUMMYFUNCTION("TRIM(REGEXREPLACE(D680, ""[0-9]+[a-f]?\."", """"))"),"")</f>
        <v/>
      </c>
      <c r="I680" s="172" t="str">
        <f>IFERROR(__xludf.DUMMYFUNCTION("TRIM(REGEXREPLACE(E680, ""[0-9]+[a-f]?\."", """"))"),"")</f>
        <v/>
      </c>
      <c r="J680" s="172" t="s">
        <v>3445</v>
      </c>
      <c r="K680" s="172" t="s">
        <v>3446</v>
      </c>
      <c r="L680" s="172" t="s">
        <v>3447</v>
      </c>
    </row>
    <row r="681" hidden="1">
      <c r="C681" s="260"/>
      <c r="D681" s="260"/>
      <c r="E681" s="260"/>
      <c r="F681" s="182">
        <v>394.0</v>
      </c>
      <c r="G681" s="172" t="str">
        <f>IFERROR(__xludf.DUMMYFUNCTION("TRIM(REGEXREPLACE(C681, ""[0-9]+[a-f]?\."", """"))"),"")</f>
        <v/>
      </c>
      <c r="H681" s="172" t="str">
        <f>IFERROR(__xludf.DUMMYFUNCTION("TRIM(REGEXREPLACE(D681, ""[0-9]+[a-f]?\."", """"))"),"")</f>
        <v/>
      </c>
      <c r="I681" s="172" t="str">
        <f>IFERROR(__xludf.DUMMYFUNCTION("TRIM(REGEXREPLACE(E681, ""[0-9]+[a-f]?\."", """"))"),"")</f>
        <v/>
      </c>
      <c r="J681" s="172" t="s">
        <v>3448</v>
      </c>
      <c r="K681" s="172" t="s">
        <v>3449</v>
      </c>
      <c r="L681" s="172" t="s">
        <v>3450</v>
      </c>
    </row>
    <row r="682" hidden="1">
      <c r="B682" s="260"/>
      <c r="C682" s="260"/>
      <c r="D682" s="260"/>
      <c r="E682" s="260"/>
      <c r="F682" s="182">
        <v>388.0</v>
      </c>
      <c r="G682" s="172" t="str">
        <f>IFERROR(__xludf.DUMMYFUNCTION("TRIM(REGEXREPLACE(C682, ""[0-9]+[a-f]?\."", """"))"),"")</f>
        <v/>
      </c>
      <c r="H682" s="172" t="str">
        <f>IFERROR(__xludf.DUMMYFUNCTION("TRIM(REGEXREPLACE(D682, ""[0-9]+[a-f]?\."", """"))"),"")</f>
        <v/>
      </c>
      <c r="I682" s="172" t="str">
        <f>IFERROR(__xludf.DUMMYFUNCTION("TRIM(REGEXREPLACE(E682, ""[0-9]+[a-f]?\."", """"))"),"")</f>
        <v/>
      </c>
      <c r="J682" s="172" t="s">
        <v>3451</v>
      </c>
      <c r="K682" s="172" t="s">
        <v>3452</v>
      </c>
      <c r="L682" s="172" t="s">
        <v>3453</v>
      </c>
      <c r="M682" s="172"/>
    </row>
    <row r="683" hidden="1">
      <c r="B683" s="260"/>
      <c r="C683" s="260"/>
      <c r="D683" s="260"/>
      <c r="E683" s="260"/>
      <c r="F683" s="182">
        <v>419.0</v>
      </c>
      <c r="G683" s="172" t="str">
        <f>IFERROR(__xludf.DUMMYFUNCTION("TRIM(REGEXREPLACE(C683, ""[0-9]+[a-f]?\."", """"))"),"")</f>
        <v/>
      </c>
      <c r="H683" s="172" t="str">
        <f>IFERROR(__xludf.DUMMYFUNCTION("TRIM(REGEXREPLACE(D683, ""[0-9]+[a-f]?\."", """"))"),"")</f>
        <v/>
      </c>
      <c r="I683" s="172" t="str">
        <f>IFERROR(__xludf.DUMMYFUNCTION("TRIM(REGEXREPLACE(E683, ""[0-9]+[a-f]?\."", """"))"),"")</f>
        <v/>
      </c>
      <c r="J683" s="172" t="s">
        <v>3454</v>
      </c>
      <c r="K683" s="172" t="s">
        <v>3455</v>
      </c>
      <c r="L683" s="172" t="s">
        <v>3456</v>
      </c>
      <c r="M683" s="172"/>
    </row>
    <row r="684" hidden="1">
      <c r="C684" s="260"/>
      <c r="D684" s="260"/>
      <c r="E684" s="260"/>
      <c r="F684" s="182">
        <v>397.0</v>
      </c>
      <c r="G684" s="172" t="str">
        <f>IFERROR(__xludf.DUMMYFUNCTION("TRIM(REGEXREPLACE(C684, ""[0-9]+[a-f]?\."", """"))"),"")</f>
        <v/>
      </c>
      <c r="H684" s="172" t="str">
        <f>IFERROR(__xludf.DUMMYFUNCTION("TRIM(REGEXREPLACE(D684, ""[0-9]+[a-f]?\."", """"))"),"")</f>
        <v/>
      </c>
      <c r="I684" s="172" t="str">
        <f>IFERROR(__xludf.DUMMYFUNCTION("TRIM(REGEXREPLACE(E684, ""[0-9]+[a-f]?\."", """"))"),"")</f>
        <v/>
      </c>
      <c r="J684" s="172" t="s">
        <v>3457</v>
      </c>
      <c r="K684" s="172" t="s">
        <v>3458</v>
      </c>
      <c r="L684" s="172" t="s">
        <v>3459</v>
      </c>
      <c r="M684" s="172"/>
    </row>
    <row r="685" hidden="1">
      <c r="B685" s="260"/>
      <c r="C685" s="260"/>
      <c r="D685" s="260"/>
      <c r="E685" s="260"/>
      <c r="F685" s="182">
        <v>420.0</v>
      </c>
      <c r="G685" s="172" t="str">
        <f>IFERROR(__xludf.DUMMYFUNCTION("TRIM(REGEXREPLACE(C685, ""[0-9]+[a-f]?\."", """"))"),"")</f>
        <v/>
      </c>
      <c r="H685" s="172" t="str">
        <f>IFERROR(__xludf.DUMMYFUNCTION("TRIM(REGEXREPLACE(D685, ""[0-9]+[a-f]?\."", """"))"),"")</f>
        <v/>
      </c>
      <c r="I685" s="172" t="str">
        <f>IFERROR(__xludf.DUMMYFUNCTION("TRIM(REGEXREPLACE(E685, ""[0-9]+[a-f]?\."", """"))"),"")</f>
        <v/>
      </c>
      <c r="J685" s="172" t="s">
        <v>3460</v>
      </c>
      <c r="K685" s="172" t="s">
        <v>3461</v>
      </c>
      <c r="L685" s="172" t="s">
        <v>3462</v>
      </c>
      <c r="M685" s="172"/>
    </row>
    <row r="686" hidden="1">
      <c r="A686" s="188" t="s">
        <v>68</v>
      </c>
      <c r="B686" s="189" t="s">
        <v>3463</v>
      </c>
      <c r="C686" s="190"/>
      <c r="D686" s="190"/>
      <c r="E686" s="190"/>
      <c r="F686" s="182">
        <v>377.0</v>
      </c>
      <c r="G686" s="172" t="str">
        <f>IFERROR(__xludf.DUMMYFUNCTION("TRIM(REGEXREPLACE(C686, ""[0-9]+[a-f]?\."", """"))"),"")</f>
        <v/>
      </c>
      <c r="H686" s="172" t="str">
        <f>IFERROR(__xludf.DUMMYFUNCTION("TRIM(REGEXREPLACE(D686, ""[0-9]+[a-f]?\."", """"))"),"")</f>
        <v/>
      </c>
      <c r="I686" s="172" t="str">
        <f>IFERROR(__xludf.DUMMYFUNCTION("TRIM(REGEXREPLACE(E686, ""[0-9]+[a-f]?\."", """"))"),"")</f>
        <v/>
      </c>
      <c r="J686" s="172" t="s">
        <v>3464</v>
      </c>
      <c r="K686" s="172" t="s">
        <v>3465</v>
      </c>
      <c r="L686" s="172" t="s">
        <v>3466</v>
      </c>
    </row>
    <row r="687" hidden="1">
      <c r="A687" s="172"/>
      <c r="B687" s="174"/>
      <c r="C687" s="174"/>
      <c r="D687" s="174"/>
      <c r="E687" s="174"/>
      <c r="F687" s="182">
        <v>378.0</v>
      </c>
      <c r="G687" s="172" t="str">
        <f>IFERROR(__xludf.DUMMYFUNCTION("TRIM(REGEXREPLACE(C687, ""[0-9]+[a-f]?\."", """"))"),"")</f>
        <v/>
      </c>
      <c r="H687" s="172" t="str">
        <f>IFERROR(__xludf.DUMMYFUNCTION("TRIM(REGEXREPLACE(D687, ""[0-9]+[a-f]?\."", """"))"),"")</f>
        <v/>
      </c>
      <c r="I687" s="172" t="str">
        <f>IFERROR(__xludf.DUMMYFUNCTION("TRIM(REGEXREPLACE(E687, ""[0-9]+[a-f]?\."", """"))"),"")</f>
        <v/>
      </c>
      <c r="J687" s="172" t="s">
        <v>3467</v>
      </c>
      <c r="K687" s="172" t="s">
        <v>3468</v>
      </c>
      <c r="L687" s="172" t="s">
        <v>3469</v>
      </c>
    </row>
    <row r="688" hidden="1">
      <c r="B688" s="260"/>
      <c r="C688" s="260"/>
      <c r="D688" s="260"/>
      <c r="E688" s="260"/>
      <c r="F688" s="182">
        <v>423.0</v>
      </c>
      <c r="G688" s="172" t="str">
        <f>IFERROR(__xludf.DUMMYFUNCTION("TRIM(REGEXREPLACE(C688, ""[0-9]+[a-f]?\."", """"))"),"")</f>
        <v/>
      </c>
      <c r="H688" s="172" t="str">
        <f>IFERROR(__xludf.DUMMYFUNCTION("TRIM(REGEXREPLACE(D688, ""[0-9]+[a-f]?\."", """"))"),"")</f>
        <v/>
      </c>
      <c r="I688" s="172" t="str">
        <f>IFERROR(__xludf.DUMMYFUNCTION("TRIM(REGEXREPLACE(E688, ""[0-9]+[a-f]?\."", """"))"),"")</f>
        <v/>
      </c>
      <c r="J688" s="172" t="s">
        <v>3470</v>
      </c>
      <c r="K688" s="172" t="s">
        <v>3471</v>
      </c>
      <c r="L688" s="172" t="s">
        <v>3471</v>
      </c>
    </row>
    <row r="689" hidden="1">
      <c r="A689" s="211" t="s">
        <v>107</v>
      </c>
      <c r="B689" s="212" t="s">
        <v>3472</v>
      </c>
      <c r="C689" s="214"/>
      <c r="D689" s="214"/>
      <c r="E689" s="214"/>
      <c r="F689" s="182">
        <v>379.0</v>
      </c>
      <c r="G689" s="172" t="str">
        <f>IFERROR(__xludf.DUMMYFUNCTION("TRIM(REGEXREPLACE(C689, ""[0-9]+[a-f]?\."", """"))"),"")</f>
        <v/>
      </c>
      <c r="H689" s="172" t="str">
        <f>IFERROR(__xludf.DUMMYFUNCTION("TRIM(REGEXREPLACE(D689, ""[0-9]+[a-f]?\."", """"))"),"")</f>
        <v/>
      </c>
      <c r="I689" s="172" t="str">
        <f>IFERROR(__xludf.DUMMYFUNCTION("TRIM(REGEXREPLACE(E689, ""[0-9]+[a-f]?\."", """"))"),"")</f>
        <v/>
      </c>
      <c r="J689" s="172" t="s">
        <v>3473</v>
      </c>
      <c r="K689" s="172" t="s">
        <v>3474</v>
      </c>
      <c r="L689" s="172" t="s">
        <v>3475</v>
      </c>
      <c r="M689" s="172"/>
    </row>
    <row r="690" hidden="1">
      <c r="A690" s="188" t="s">
        <v>118</v>
      </c>
      <c r="B690" s="189" t="s">
        <v>3476</v>
      </c>
      <c r="C690" s="280"/>
      <c r="D690" s="190"/>
      <c r="E690" s="190"/>
      <c r="F690" s="182">
        <v>380.0</v>
      </c>
      <c r="G690" s="172" t="str">
        <f>IFERROR(__xludf.DUMMYFUNCTION("TRIM(REGEXREPLACE(C690, ""[0-9]+[a-f]?\."", """"))"),"")</f>
        <v/>
      </c>
      <c r="H690" s="172" t="str">
        <f>IFERROR(__xludf.DUMMYFUNCTION("TRIM(REGEXREPLACE(D690, ""[0-9]+[a-f]?\."", """"))"),"")</f>
        <v/>
      </c>
      <c r="I690" s="172" t="str">
        <f>IFERROR(__xludf.DUMMYFUNCTION("TRIM(REGEXREPLACE(E690, ""[0-9]+[a-f]?\."", """"))"),"")</f>
        <v/>
      </c>
      <c r="J690" s="172" t="s">
        <v>3477</v>
      </c>
      <c r="K690" s="172" t="s">
        <v>3478</v>
      </c>
      <c r="L690" s="172" t="s">
        <v>3479</v>
      </c>
      <c r="M690" s="172"/>
    </row>
    <row r="691">
      <c r="A691" s="215" t="s">
        <v>353</v>
      </c>
      <c r="B691" s="216" t="s">
        <v>3480</v>
      </c>
      <c r="C691" s="216" t="s">
        <v>3481</v>
      </c>
      <c r="D691" s="216" t="s">
        <v>3482</v>
      </c>
      <c r="E691" s="216" t="s">
        <v>3483</v>
      </c>
      <c r="F691" s="182">
        <v>91.0</v>
      </c>
      <c r="G691" s="172" t="str">
        <f>IFERROR(__xludf.DUMMYFUNCTION("TRIM(REGEXREPLACE(C691, ""[0-9]+[a-f]?\."", """"))"),"You told us when we visited you in ${period_bl} that you were interested in migrating. In the past six months, as you considered whether to migrate, were you very concerned that:")</f>
        <v>You told us when we visited you in ${period_bl} that you were interested in migrating. In the past six months, as you considered whether to migrate, were you very concerned that:</v>
      </c>
      <c r="H691" s="172" t="str">
        <f>IFERROR(__xludf.DUMMYFUNCTION("TRIM(REGEXREPLACE(D691, ""[0-9]+[a-f]?\."", """"))"),"Lors de notre visite en ${period_french_bl}, vous nous avez dit que vous souhaitiez migrer. Au cours des six derniers mois, quand vous pensez à la migration, vous sentez vous préoccupé par les questions suivantes :")</f>
        <v>Lors de notre visite en ${period_french_bl}, vous nous avez dit que vous souhaitiez migrer. Au cours des six derniers mois, quand vous pensez à la migration, vous sentez vous préoccupé par les questions suivantes :</v>
      </c>
      <c r="I691" s="172" t="str">
        <f>IFERROR(__xludf.DUMMYFUNCTION("TRIM(REGEXREPLACE(E691, ""[0-9]+[a-f]?\."", """"))"),"Lokacin da muka ziyarce ku a ${period_hausa_bl} kun ce mana kuna sha'awar zuwa wurin biɗa[baseline period]. A cikin watanni shida da suka gabata, yayin da kuke tunanin ko za ku je biɗa, ko kun damu da:")</f>
        <v>Lokacin da muka ziyarce ku a ${period_hausa_bl} kun ce mana kuna sha'awar zuwa wurin biɗa[baseline period]. A cikin watanni shida da suka gabata, yayin da kuke tunanin ko za ku je biɗa, ko kun damu da:</v>
      </c>
      <c r="J691" s="172" t="str">
        <f t="shared" ref="J691:L691" si="91">$F691 &amp; ". " &amp;G691</f>
        <v>91. You told us when we visited you in ${period_bl} that you were interested in migrating. In the past six months, as you considered whether to migrate, were you very concerned that:</v>
      </c>
      <c r="K691" s="172" t="str">
        <f t="shared" si="91"/>
        <v>91. Lors de notre visite en ${period_french_bl}, vous nous avez dit que vous souhaitiez migrer. Au cours des six derniers mois, quand vous pensez à la migration, vous sentez vous préoccupé par les questions suivantes :</v>
      </c>
      <c r="L691" s="172" t="str">
        <f t="shared" si="91"/>
        <v>91. Lokacin da muka ziyarce ku a ${period_hausa_bl} kun ce mana kuna sha'awar zuwa wurin biɗa[baseline period]. A cikin watanni shida da suka gabata, yayin da kuke tunanin ko za ku je biɗa, ko kun damu da:</v>
      </c>
    </row>
    <row r="692">
      <c r="A692" s="215" t="s">
        <v>353</v>
      </c>
      <c r="B692" s="216" t="s">
        <v>3484</v>
      </c>
      <c r="C692" s="216" t="s">
        <v>1420</v>
      </c>
      <c r="D692" s="216" t="s">
        <v>1421</v>
      </c>
      <c r="E692" s="216" t="s">
        <v>1423</v>
      </c>
      <c r="F692" s="182">
        <v>92.0</v>
      </c>
      <c r="G692" s="172" t="str">
        <f>IFERROR(__xludf.DUMMYFUNCTION("TRIM(REGEXREPLACE(C692, ""[0-9]+[a-f]?\."", """"))"),"you would not have sufficient funds to support migration")</f>
        <v>you would not have sufficient funds to support migration</v>
      </c>
      <c r="H692" s="172" t="str">
        <f>IFERROR(__xludf.DUMMYFUNCTION("TRIM(REGEXREPLACE(D692, ""[0-9]+[a-f]?\."", """"))"),"vous n'auriez pas suffisamment de fonds pour supporter les dépenses liées à la migration")</f>
        <v>vous n'auriez pas suffisamment de fonds pour supporter les dépenses liées à la migration</v>
      </c>
      <c r="I692" s="172" t="str">
        <f>IFERROR(__xludf.DUMMYFUNCTION("TRIM(REGEXREPLACE(E692, ""[0-9]+[a-f]?\."", """"))"),"Ba za ku sami isassun kuɗi ba don ɗaukan nauyin kashe kashen kuɗin da ya ta'allaƙa da zuwa biɗan ba")</f>
        <v>Ba za ku sami isassun kuɗi ba don ɗaukan nauyin kashe kashen kuɗin da ya ta'allaƙa da zuwa biɗan ba</v>
      </c>
      <c r="J692" s="172" t="str">
        <f t="shared" ref="J692:L692" si="92">$F692 &amp; ". " &amp;G692</f>
        <v>92. you would not have sufficient funds to support migration</v>
      </c>
      <c r="K692" s="172" t="str">
        <f t="shared" si="92"/>
        <v>92. vous n'auriez pas suffisamment de fonds pour supporter les dépenses liées à la migration</v>
      </c>
      <c r="L692" s="172" t="str">
        <f t="shared" si="92"/>
        <v>92. Ba za ku sami isassun kuɗi ba don ɗaukan nauyin kashe kashen kuɗin da ya ta'allaƙa da zuwa biɗan ba</v>
      </c>
    </row>
    <row r="693">
      <c r="A693" s="215" t="s">
        <v>353</v>
      </c>
      <c r="B693" s="216" t="s">
        <v>3489</v>
      </c>
      <c r="C693" s="216" t="s">
        <v>3490</v>
      </c>
      <c r="D693" s="216" t="s">
        <v>3491</v>
      </c>
      <c r="E693" s="216" t="s">
        <v>3492</v>
      </c>
      <c r="F693" s="182">
        <v>93.0</v>
      </c>
      <c r="G693" s="172" t="str">
        <f>IFERROR(__xludf.DUMMYFUNCTION("TRIM(REGEXREPLACE(C693, ""[0-9]+[a-f]?\."", """"))"),"you thought you would have enough funds, but couldn’t access the cash you needed to migrate in time to travel")</f>
        <v>you thought you would have enough funds, but couldn’t access the cash you needed to migrate in time to travel</v>
      </c>
      <c r="H693" s="172" t="str">
        <f>IFERROR(__xludf.DUMMYFUNCTION("TRIM(REGEXREPLACE(D693, ""[0-9]+[a-f]?\."", """"))"),"vous pensiez avoir suffisamment de fonds, mais vous n’avez pas pu accéder à l’argent dont vous aviez besoin pour migrer à temps.")</f>
        <v>vous pensiez avoir suffisamment de fonds, mais vous n’avez pas pu accéder à l’argent dont vous aviez besoin pour migrer à temps.</v>
      </c>
      <c r="I693" s="172" t="str">
        <f>IFERROR(__xludf.DUMMYFUNCTION("TRIM(REGEXREPLACE(E693, ""[0-9]+[a-f]?\."", """"))"),"Kun yi tunanin za ku samu isassun kuɗi, amma ba ku samun dama ba kuɗin suka shiga hannu a lokacin tafiyar.")</f>
        <v>Kun yi tunanin za ku samu isassun kuɗi, amma ba ku samun dama ba kuɗin suka shiga hannu a lokacin tafiyar.</v>
      </c>
      <c r="J693" s="172" t="str">
        <f t="shared" ref="J693:L693" si="93">$F693 &amp; ". " &amp;G693</f>
        <v>93. you thought you would have enough funds, but couldn’t access the cash you needed to migrate in time to travel</v>
      </c>
      <c r="K693" s="172" t="str">
        <f t="shared" si="93"/>
        <v>93. vous pensiez avoir suffisamment de fonds, mais vous n’avez pas pu accéder à l’argent dont vous aviez besoin pour migrer à temps.</v>
      </c>
      <c r="L693" s="172" t="str">
        <f t="shared" si="93"/>
        <v>93. Kun yi tunanin za ku samu isassun kuɗi, amma ba ku samun dama ba kuɗin suka shiga hannu a lokacin tafiyar.</v>
      </c>
    </row>
    <row r="694">
      <c r="A694" s="215" t="s">
        <v>353</v>
      </c>
      <c r="B694" s="216" t="s">
        <v>3493</v>
      </c>
      <c r="C694" s="216" t="s">
        <v>1431</v>
      </c>
      <c r="D694" s="216" t="s">
        <v>1432</v>
      </c>
      <c r="E694" s="216" t="s">
        <v>1433</v>
      </c>
      <c r="F694" s="182">
        <v>94.0</v>
      </c>
      <c r="G694" s="172" t="str">
        <f>IFERROR(__xludf.DUMMYFUNCTION("TRIM(REGEXREPLACE(C694, ""[0-9]+[a-f]?\."", """"))"),"your family would not support your decision to migrate")</f>
        <v>your family would not support your decision to migrate</v>
      </c>
      <c r="H694" s="172" t="str">
        <f>IFERROR(__xludf.DUMMYFUNCTION("TRIM(REGEXREPLACE(D694, ""[0-9]+[a-f]?\."", """"))"),"votre famille ne soutiendrait pas votre décision de migrer")</f>
        <v>votre famille ne soutiendrait pas votre décision de migrer</v>
      </c>
      <c r="I694" s="172" t="str">
        <f>IFERROR(__xludf.DUMMYFUNCTION("TRIM(REGEXREPLACE(E694, ""[0-9]+[a-f]?\."", """"))"),"Ƴan gidan ku ba za su goyi bayan zuwa biɗan ka ba")</f>
        <v>Ƴan gidan ku ba za su goyi bayan zuwa biɗan ka ba</v>
      </c>
      <c r="J694" s="172" t="str">
        <f t="shared" ref="J694:L694" si="94">$F694 &amp; ". " &amp;G694</f>
        <v>94. your family would not support your decision to migrate</v>
      </c>
      <c r="K694" s="172" t="str">
        <f t="shared" si="94"/>
        <v>94. votre famille ne soutiendrait pas votre décision de migrer</v>
      </c>
      <c r="L694" s="172" t="str">
        <f t="shared" si="94"/>
        <v>94. Ƴan gidan ku ba za su goyi bayan zuwa biɗan ka ba</v>
      </c>
    </row>
    <row r="695" hidden="1">
      <c r="B695" s="260"/>
      <c r="C695" s="260"/>
      <c r="D695" s="260"/>
      <c r="E695" s="260"/>
      <c r="F695" s="182">
        <v>430.0</v>
      </c>
      <c r="G695" s="172" t="str">
        <f>IFERROR(__xludf.DUMMYFUNCTION("TRIM(REGEXREPLACE(C695, ""[0-9]+[a-f]?\."", """"))"),"")</f>
        <v/>
      </c>
      <c r="H695" s="172" t="str">
        <f>IFERROR(__xludf.DUMMYFUNCTION("TRIM(REGEXREPLACE(D695, ""[0-9]+[a-f]?\."", """"))"),"")</f>
        <v/>
      </c>
      <c r="I695" s="172" t="str">
        <f>IFERROR(__xludf.DUMMYFUNCTION("TRIM(REGEXREPLACE(E695, ""[0-9]+[a-f]?\."", """"))"),"")</f>
        <v/>
      </c>
      <c r="J695" s="172" t="s">
        <v>3497</v>
      </c>
      <c r="K695" s="172" t="s">
        <v>3498</v>
      </c>
      <c r="L695" s="172" t="s">
        <v>3498</v>
      </c>
      <c r="M695" s="172"/>
    </row>
    <row r="696" hidden="1">
      <c r="B696" s="260"/>
      <c r="C696" s="260"/>
      <c r="D696" s="260"/>
      <c r="E696" s="260"/>
      <c r="F696" s="182">
        <v>431.0</v>
      </c>
      <c r="G696" s="172" t="str">
        <f>IFERROR(__xludf.DUMMYFUNCTION("TRIM(REGEXREPLACE(C696, ""[0-9]+[a-f]?\."", """"))"),"")</f>
        <v/>
      </c>
      <c r="H696" s="172" t="str">
        <f>IFERROR(__xludf.DUMMYFUNCTION("TRIM(REGEXREPLACE(D696, ""[0-9]+[a-f]?\."", """"))"),"")</f>
        <v/>
      </c>
      <c r="I696" s="172" t="str">
        <f>IFERROR(__xludf.DUMMYFUNCTION("TRIM(REGEXREPLACE(E696, ""[0-9]+[a-f]?\."", """"))"),"")</f>
        <v/>
      </c>
      <c r="J696" s="172" t="s">
        <v>3499</v>
      </c>
      <c r="K696" s="172" t="s">
        <v>3500</v>
      </c>
      <c r="L696" s="172" t="s">
        <v>3500</v>
      </c>
    </row>
    <row r="697" hidden="1"/>
    <row r="698">
      <c r="A698" s="215" t="s">
        <v>353</v>
      </c>
      <c r="B698" s="216" t="s">
        <v>3501</v>
      </c>
      <c r="C698" s="216" t="s">
        <v>1438</v>
      </c>
      <c r="D698" s="216" t="s">
        <v>1439</v>
      </c>
      <c r="E698" s="216" t="s">
        <v>3502</v>
      </c>
      <c r="F698" s="182">
        <v>95.0</v>
      </c>
      <c r="G698" s="172" t="str">
        <f>IFERROR(__xludf.DUMMYFUNCTION("TRIM(REGEXREPLACE(C698, ""[0-9]+[a-f]?\."", """"))"),"members of your community would not support your decision to migrate")</f>
        <v>members of your community would not support your decision to migrate</v>
      </c>
      <c r="H698" s="172" t="str">
        <f>IFERROR(__xludf.DUMMYFUNCTION("TRIM(REGEXREPLACE(D698, ""[0-9]+[a-f]?\."", """"))"),"Les membres de votre communauté ne soutiendraient pas votre décision de migrer")</f>
        <v>Les membres de votre communauté ne soutiendraient pas votre décision de migrer</v>
      </c>
      <c r="I698" s="172" t="str">
        <f>IFERROR(__xludf.DUMMYFUNCTION("TRIM(REGEXREPLACE(E698, ""[0-9]+[a-f]?\."", """"))"),"Al'ummar yankinku ba za su goyi bayan sha'awarar ka na zuwa biɗa ba")</f>
        <v>Al'ummar yankinku ba za su goyi bayan sha'awarar ka na zuwa biɗa ba</v>
      </c>
      <c r="J698" s="172" t="str">
        <f t="shared" ref="J698:L698" si="95">$F698 &amp; ". " &amp;G698</f>
        <v>95. members of your community would not support your decision to migrate</v>
      </c>
      <c r="K698" s="172" t="str">
        <f t="shared" si="95"/>
        <v>95. Les membres de votre communauté ne soutiendraient pas votre décision de migrer</v>
      </c>
      <c r="L698" s="172" t="str">
        <f t="shared" si="95"/>
        <v>95. Al'ummar yankinku ba za su goyi bayan sha'awarar ka na zuwa biɗa ba</v>
      </c>
      <c r="M698" s="172"/>
    </row>
    <row r="699">
      <c r="A699" s="215" t="s">
        <v>353</v>
      </c>
      <c r="B699" s="216" t="s">
        <v>3503</v>
      </c>
      <c r="C699" s="216" t="s">
        <v>3504</v>
      </c>
      <c r="D699" s="216" t="s">
        <v>3505</v>
      </c>
      <c r="E699" s="216" t="s">
        <v>3506</v>
      </c>
      <c r="F699" s="182">
        <v>96.0</v>
      </c>
      <c r="G699" s="172" t="str">
        <f>IFERROR(__xludf.DUMMYFUNCTION("TRIM(REGEXREPLACE(C699, ""[0-9]+[a-f]?\."", """"))"),"it would be dangerous for you on the route")</f>
        <v>it would be dangerous for you on the route</v>
      </c>
      <c r="H699" s="172" t="str">
        <f>IFERROR(__xludf.DUMMYFUNCTION("TRIM(REGEXREPLACE(D699, ""[0-9]+[a-f]?\."", """"))"),"ce serait dangereux pour vous sur la route")</f>
        <v>ce serait dangereux pour vous sur la route</v>
      </c>
      <c r="I699" s="172" t="str">
        <f>IFERROR(__xludf.DUMMYFUNCTION("TRIM(REGEXREPLACE(E699, ""[0-9]+[a-f]?\."", """"))"),"Zai iya zame muku haɗari a kan hanya")</f>
        <v>Zai iya zame muku haɗari a kan hanya</v>
      </c>
      <c r="J699" s="172" t="str">
        <f t="shared" ref="J699:L699" si="96">$F699 &amp; ". " &amp;G699</f>
        <v>96. it would be dangerous for you on the route</v>
      </c>
      <c r="K699" s="172" t="str">
        <f t="shared" si="96"/>
        <v>96. ce serait dangereux pour vous sur la route</v>
      </c>
      <c r="L699" s="172" t="str">
        <f t="shared" si="96"/>
        <v>96. Zai iya zame muku haɗari a kan hanya</v>
      </c>
      <c r="M699" s="172"/>
    </row>
    <row r="700">
      <c r="A700" s="215" t="s">
        <v>353</v>
      </c>
      <c r="B700" s="216" t="s">
        <v>3510</v>
      </c>
      <c r="C700" s="216" t="s">
        <v>3512</v>
      </c>
      <c r="D700" s="216" t="s">
        <v>3513</v>
      </c>
      <c r="E700" s="216" t="s">
        <v>3514</v>
      </c>
      <c r="F700" s="182">
        <v>97.0</v>
      </c>
      <c r="G700" s="172" t="str">
        <f>IFERROR(__xludf.DUMMYFUNCTION("TRIM(REGEXREPLACE(C700, ""[0-9]+[a-f]?\."", """"))"),"it would be dangerous for you at your preferred destination")</f>
        <v>it would be dangerous for you at your preferred destination</v>
      </c>
      <c r="H700" s="172" t="str">
        <f>IFERROR(__xludf.DUMMYFUNCTION("TRIM(REGEXREPLACE(D700, ""[0-9]+[a-f]?\."", """"))"),"ce serait dangereux pour vous à votre destination préférée")</f>
        <v>ce serait dangereux pour vous à votre destination préférée</v>
      </c>
      <c r="I700" s="172" t="str">
        <f>IFERROR(__xludf.DUMMYFUNCTION("TRIM(REGEXREPLACE(E700, ""[0-9]+[a-f]?\."", """"))"),"Zai iya zama hadari gare ku a wurin da kuka fi so")</f>
        <v>Zai iya zama hadari gare ku a wurin da kuka fi so</v>
      </c>
      <c r="J700" s="172" t="str">
        <f t="shared" ref="J700:L700" si="97">$F700 &amp; ". " &amp;G700</f>
        <v>97. it would be dangerous for you at your preferred destination</v>
      </c>
      <c r="K700" s="172" t="str">
        <f t="shared" si="97"/>
        <v>97. ce serait dangereux pour vous à votre destination préférée</v>
      </c>
      <c r="L700" s="172" t="str">
        <f t="shared" si="97"/>
        <v>97. Zai iya zama hadari gare ku a wurin da kuka fi so</v>
      </c>
      <c r="M700" s="172"/>
    </row>
    <row r="701" hidden="1">
      <c r="B701" s="260"/>
      <c r="C701" s="260"/>
      <c r="D701" s="260"/>
      <c r="E701" s="260"/>
      <c r="F701" s="182">
        <v>434.0</v>
      </c>
      <c r="G701" s="172" t="str">
        <f>IFERROR(__xludf.DUMMYFUNCTION("TRIM(REGEXREPLACE(C701, ""[0-9]+[a-f]?\."", """"))"),"")</f>
        <v/>
      </c>
      <c r="H701" s="172" t="str">
        <f>IFERROR(__xludf.DUMMYFUNCTION("TRIM(REGEXREPLACE(D701, ""[0-9]+[a-f]?\."", """"))"),"")</f>
        <v/>
      </c>
      <c r="I701" s="172" t="str">
        <f>IFERROR(__xludf.DUMMYFUNCTION("TRIM(REGEXREPLACE(E701, ""[0-9]+[a-f]?\."", """"))"),"")</f>
        <v/>
      </c>
      <c r="J701" s="172" t="s">
        <v>3515</v>
      </c>
      <c r="K701" s="172" t="s">
        <v>3516</v>
      </c>
      <c r="L701" s="172" t="s">
        <v>3517</v>
      </c>
      <c r="M701" s="172"/>
    </row>
    <row r="702">
      <c r="A702" s="215" t="s">
        <v>353</v>
      </c>
      <c r="B702" s="216" t="s">
        <v>3518</v>
      </c>
      <c r="C702" s="216" t="s">
        <v>3519</v>
      </c>
      <c r="D702" s="216" t="s">
        <v>3520</v>
      </c>
      <c r="E702" s="216" t="s">
        <v>3521</v>
      </c>
      <c r="F702" s="182">
        <v>98.0</v>
      </c>
      <c r="G702" s="172" t="str">
        <f>IFERROR(__xludf.DUMMYFUNCTION("TRIM(REGEXREPLACE(C702, ""[0-9]+[a-f]?\."", """"))"),"the border would be closed and I would not be able to leave Niger")</f>
        <v>the border would be closed and I would not be able to leave Niger</v>
      </c>
      <c r="H702" s="172" t="str">
        <f>IFERROR(__xludf.DUMMYFUNCTION("TRIM(REGEXREPLACE(D702, ""[0-9]+[a-f]?\."", """"))"),"la frontière serait fermée et je ne pourrais pas quitter le Niger")</f>
        <v>la frontière serait fermée et je ne pourrais pas quitter le Niger</v>
      </c>
      <c r="I702" s="172" t="str">
        <f>IFERROR(__xludf.DUMMYFUNCTION("TRIM(REGEXREPLACE(E702, ""[0-9]+[a-f]?\."", """"))"),"Za a rufe iyaka, Ba zan iya barin Nijar ba")</f>
        <v>Za a rufe iyaka, Ba zan iya barin Nijar ba</v>
      </c>
      <c r="J702" s="172" t="str">
        <f t="shared" ref="J702:L702" si="98">$F702 &amp; ". " &amp;G702</f>
        <v>98. the border would be closed and I would not be able to leave Niger</v>
      </c>
      <c r="K702" s="172" t="str">
        <f t="shared" si="98"/>
        <v>98. la frontière serait fermée et je ne pourrais pas quitter le Niger</v>
      </c>
      <c r="L702" s="172" t="str">
        <f t="shared" si="98"/>
        <v>98. Za a rufe iyaka, Ba zan iya barin Nijar ba</v>
      </c>
    </row>
    <row r="703">
      <c r="A703" s="215" t="s">
        <v>353</v>
      </c>
      <c r="B703" s="216" t="s">
        <v>3525</v>
      </c>
      <c r="C703" s="216" t="s">
        <v>1459</v>
      </c>
      <c r="D703" s="216" t="s">
        <v>1460</v>
      </c>
      <c r="E703" s="216" t="s">
        <v>3526</v>
      </c>
      <c r="F703" s="182">
        <v>99.0</v>
      </c>
      <c r="G703" s="172" t="str">
        <f>IFERROR(__xludf.DUMMYFUNCTION("TRIM(REGEXREPLACE(C703, ""[0-9]+[a-f]?\."", """"))"),"you would not be able to find housing or work at your preferred destination")</f>
        <v>you would not be able to find housing or work at your preferred destination</v>
      </c>
      <c r="H703" s="172" t="str">
        <f>IFERROR(__xludf.DUMMYFUNCTION("TRIM(REGEXREPLACE(D703, ""[0-9]+[a-f]?\."", """"))"),"vous ne seriez pas en mesure de trouver un logement ou de travailler dans votre destination préférée")</f>
        <v>vous ne seriez pas en mesure de trouver un logement ou de travailler dans votre destination préférée</v>
      </c>
      <c r="I703" s="172" t="str">
        <f>IFERROR(__xludf.DUMMYFUNCTION("TRIM(REGEXREPLACE(E703, ""[0-9]+[a-f]?\."", """"))"),"Ba za ku iya samun wurin zama ko aiki ba a wurin da kuka fi so.")</f>
        <v>Ba za ku iya samun wurin zama ko aiki ba a wurin da kuka fi so.</v>
      </c>
      <c r="J703" s="172" t="str">
        <f t="shared" ref="J703:L703" si="99">$F703 &amp; ". " &amp;G703</f>
        <v>99. you would not be able to find housing or work at your preferred destination</v>
      </c>
      <c r="K703" s="172" t="str">
        <f t="shared" si="99"/>
        <v>99. vous ne seriez pas en mesure de trouver un logement ou de travailler dans votre destination préférée</v>
      </c>
      <c r="L703" s="172" t="str">
        <f t="shared" si="99"/>
        <v>99. Ba za ku iya samun wurin zama ko aiki ba a wurin da kuka fi so.</v>
      </c>
      <c r="M703" s="172"/>
    </row>
    <row r="704">
      <c r="A704" s="215" t="s">
        <v>353</v>
      </c>
      <c r="B704" s="216" t="s">
        <v>3530</v>
      </c>
      <c r="C704" s="216" t="s">
        <v>1466</v>
      </c>
      <c r="D704" s="216" t="s">
        <v>1467</v>
      </c>
      <c r="E704" s="216" t="s">
        <v>3531</v>
      </c>
      <c r="F704" s="182">
        <v>100.0</v>
      </c>
      <c r="G704" s="172" t="str">
        <f>IFERROR(__xludf.DUMMYFUNCTION("TRIM(REGEXREPLACE(C704, ""[0-9]+[a-f]?\."", """"))"),"members of your family would would not have enough food without you in Tahoua")</f>
        <v>members of your family would would not have enough food without you in Tahoua</v>
      </c>
      <c r="H704" s="172" t="str">
        <f>IFERROR(__xludf.DUMMYFUNCTION("TRIM(REGEXREPLACE(D704, ""[0-9]+[a-f]?\."", """"))"),"Les membres de votre famille n'auraient pas assez de nourriture sans vous à Tahoua")</f>
        <v>Les membres de votre famille n'auraient pas assez de nourriture sans vous à Tahoua</v>
      </c>
      <c r="I704" s="172" t="str">
        <f>IFERROR(__xludf.DUMMYFUNCTION("TRIM(REGEXREPLACE(E704, ""[0-9]+[a-f]?\."", """"))"),"Ƴan gidanku ba za su samu isasshen abinci ba idan babu kai a Tahoua.")</f>
        <v>Ƴan gidanku ba za su samu isasshen abinci ba idan babu kai a Tahoua.</v>
      </c>
      <c r="J704" s="172" t="str">
        <f t="shared" ref="J704:L704" si="100">$F704 &amp; ". " &amp;G704</f>
        <v>100. members of your family would would not have enough food without you in Tahoua</v>
      </c>
      <c r="K704" s="172" t="str">
        <f t="shared" si="100"/>
        <v>100. Les membres de votre famille n'auraient pas assez de nourriture sans vous à Tahoua</v>
      </c>
      <c r="L704" s="172" t="str">
        <f t="shared" si="100"/>
        <v>100. Ƴan gidanku ba za su samu isasshen abinci ba idan babu kai a Tahoua.</v>
      </c>
    </row>
    <row r="705">
      <c r="A705" s="215" t="s">
        <v>353</v>
      </c>
      <c r="B705" s="216" t="s">
        <v>3532</v>
      </c>
      <c r="C705" s="216" t="s">
        <v>1472</v>
      </c>
      <c r="D705" s="216" t="s">
        <v>1474</v>
      </c>
      <c r="E705" s="216" t="s">
        <v>3533</v>
      </c>
      <c r="F705" s="182">
        <v>101.0</v>
      </c>
      <c r="G705" s="172" t="str">
        <f>IFERROR(__xludf.DUMMYFUNCTION("TRIM(REGEXREPLACE(C705, ""[0-9]+[a-f]?\."", """"))"),"your family would not have enough people to work without you in Tahoua")</f>
        <v>your family would not have enough people to work without you in Tahoua</v>
      </c>
      <c r="H705" s="172" t="str">
        <f>IFERROR(__xludf.DUMMYFUNCTION("TRIM(REGEXREPLACE(D705, ""[0-9]+[a-f]?\."", """"))"),"votre famille n'aurait pas assez de bras valides pour travailler sans vous à Tahoua")</f>
        <v>votre famille n'aurait pas assez de bras valides pour travailler sans vous à Tahoua</v>
      </c>
      <c r="I705" s="172" t="str">
        <f>IFERROR(__xludf.DUMMYFUNCTION("TRIM(REGEXREPLACE(E705, ""[0-9]+[a-f]?\."", """"))"),"Ƴan gidan ku ba za su samu isassun mutanen da za su yi aiki ba a Tahoua idan ba ka nan")</f>
        <v>Ƴan gidan ku ba za su samu isassun mutanen da za su yi aiki ba a Tahoua idan ba ka nan</v>
      </c>
      <c r="J705" s="172" t="str">
        <f t="shared" ref="J705:L705" si="101">$F705 &amp; ". " &amp;G705</f>
        <v>101. your family would not have enough people to work without you in Tahoua</v>
      </c>
      <c r="K705" s="172" t="str">
        <f t="shared" si="101"/>
        <v>101. votre famille n'aurait pas assez de bras valides pour travailler sans vous à Tahoua</v>
      </c>
      <c r="L705" s="172" t="str">
        <f t="shared" si="101"/>
        <v>101. Ƴan gidan ku ba za su samu isassun mutanen da za su yi aiki ba a Tahoua idan ba ka nan</v>
      </c>
      <c r="M705" s="172"/>
    </row>
    <row r="706" hidden="1">
      <c r="A706" s="211" t="s">
        <v>238</v>
      </c>
      <c r="B706" s="224" t="s">
        <v>3472</v>
      </c>
      <c r="C706" s="225"/>
      <c r="D706" s="225"/>
      <c r="E706" s="225"/>
      <c r="F706" s="182">
        <v>392.0</v>
      </c>
      <c r="G706" s="172" t="str">
        <f>IFERROR(__xludf.DUMMYFUNCTION("TRIM(REGEXREPLACE(C706, ""[0-9]+[a-f]?\."", """"))"),"")</f>
        <v/>
      </c>
      <c r="H706" s="172" t="str">
        <f>IFERROR(__xludf.DUMMYFUNCTION("TRIM(REGEXREPLACE(D706, ""[0-9]+[a-f]?\."", """"))"),"")</f>
        <v/>
      </c>
      <c r="I706" s="172" t="str">
        <f>IFERROR(__xludf.DUMMYFUNCTION("TRIM(REGEXREPLACE(E706, ""[0-9]+[a-f]?\."", """"))"),"")</f>
        <v/>
      </c>
      <c r="J706" s="172" t="s">
        <v>3534</v>
      </c>
      <c r="K706" s="172" t="s">
        <v>3535</v>
      </c>
      <c r="L706" s="172" t="s">
        <v>3536</v>
      </c>
    </row>
    <row r="707">
      <c r="A707" s="215" t="s">
        <v>353</v>
      </c>
      <c r="B707" s="216" t="s">
        <v>3537</v>
      </c>
      <c r="C707" s="216" t="s">
        <v>3538</v>
      </c>
      <c r="D707" s="216" t="s">
        <v>3539</v>
      </c>
      <c r="E707" s="216" t="s">
        <v>3540</v>
      </c>
      <c r="F707" s="182">
        <v>102.0</v>
      </c>
      <c r="G707" s="172" t="str">
        <f>IFERROR(__xludf.DUMMYFUNCTION("TRIM(REGEXREPLACE(C707, ""[0-9]+[a-f]?\."", """"))"),"Did your family actually object to your potential migration?")</f>
        <v>Did your family actually object to your potential migration?</v>
      </c>
      <c r="H707" s="172" t="str">
        <f>IFERROR(__xludf.DUMMYFUNCTION("TRIM(REGEXREPLACE(D707, ""[0-9]+[a-f]?\."", """"))"),"Votre famille s’est-elle réellement opposée à votre éventuelle migration ?")</f>
        <v>Votre famille s’est-elle réellement opposée à votre éventuelle migration ?</v>
      </c>
      <c r="I707" s="172" t="str">
        <f>IFERROR(__xludf.DUMMYFUNCTION("TRIM(REGEXREPLACE(E707, ""[0-9]+[a-f]?\."", """"))"),"Ko lalle da gaske ƴan gidan ku sun ƙi amincewa da zuwa biɗar ka ?")</f>
        <v>Ko lalle da gaske ƴan gidan ku sun ƙi amincewa da zuwa biɗar ka ?</v>
      </c>
      <c r="J707" s="172" t="str">
        <f t="shared" ref="J707:L707" si="102">$F707 &amp; ". " &amp;G707</f>
        <v>102. Did your family actually object to your potential migration?</v>
      </c>
      <c r="K707" s="172" t="str">
        <f t="shared" si="102"/>
        <v>102. Votre famille s’est-elle réellement opposée à votre éventuelle migration ?</v>
      </c>
      <c r="L707" s="172" t="str">
        <f t="shared" si="102"/>
        <v>102. Ko lalle da gaske ƴan gidan ku sun ƙi amincewa da zuwa biɗar ka ?</v>
      </c>
    </row>
    <row r="708">
      <c r="A708" s="215" t="s">
        <v>3541</v>
      </c>
      <c r="B708" s="216" t="s">
        <v>3542</v>
      </c>
      <c r="C708" s="216" t="s">
        <v>3543</v>
      </c>
      <c r="D708" s="216" t="s">
        <v>3544</v>
      </c>
      <c r="E708" s="216" t="s">
        <v>3545</v>
      </c>
      <c r="F708" s="182">
        <v>103.0</v>
      </c>
      <c r="G708" s="172" t="str">
        <f>IFERROR(__xludf.DUMMYFUNCTION("TRIM(REGEXREPLACE(C708, ""[0-9]+[a-f]?\."", """"))"),"Why did they object to this decision?")</f>
        <v>Why did they object to this decision?</v>
      </c>
      <c r="H708" s="172" t="str">
        <f>IFERROR(__xludf.DUMMYFUNCTION("TRIM(REGEXREPLACE(D708, ""[0-9]+[a-f]?\."", """"))"),"Pourquoi se sont-ils opposés à cette décision ?")</f>
        <v>Pourquoi se sont-ils opposés à cette décision ?</v>
      </c>
      <c r="I708" s="172" t="str">
        <f>IFERROR(__xludf.DUMMYFUNCTION("TRIM(REGEXREPLACE(E708, ""[0-9]+[a-f]?\."", """"))"),"Me ya sa suka ƙi wannan shawarar?")</f>
        <v>Me ya sa suka ƙi wannan shawarar?</v>
      </c>
      <c r="J708" s="172" t="str">
        <f t="shared" ref="J708:L708" si="103">$F708 &amp; ". " &amp;G708</f>
        <v>103. Why did they object to this decision?</v>
      </c>
      <c r="K708" s="172" t="str">
        <f t="shared" si="103"/>
        <v>103. Pourquoi se sont-ils opposés à cette décision ?</v>
      </c>
      <c r="L708" s="172" t="str">
        <f t="shared" si="103"/>
        <v>103. Me ya sa suka ƙi wannan shawarar?</v>
      </c>
    </row>
    <row r="709">
      <c r="A709" s="246" t="s">
        <v>231</v>
      </c>
      <c r="B709" s="247" t="s">
        <v>3546</v>
      </c>
      <c r="C709" s="247" t="s">
        <v>3547</v>
      </c>
      <c r="D709" s="247" t="s">
        <v>3548</v>
      </c>
      <c r="E709" s="247" t="s">
        <v>3549</v>
      </c>
      <c r="F709" s="182">
        <v>104.0</v>
      </c>
      <c r="G709" s="172" t="str">
        <f>IFERROR(__xludf.DUMMYFUNCTION("TRIM(REGEXREPLACE(C709, ""[0-9]+[a-f]?\."", """"))"),"Other, specify:")</f>
        <v>Other, specify:</v>
      </c>
      <c r="H709" s="172" t="str">
        <f>IFERROR(__xludf.DUMMYFUNCTION("TRIM(REGEXREPLACE(D709, ""[0-9]+[a-f]?\."", """"))"),"Autre précisez:")</f>
        <v>Autre précisez:</v>
      </c>
      <c r="I709" s="172" t="str">
        <f>IFERROR(__xludf.DUMMYFUNCTION("TRIM(REGEXREPLACE(E709, ""[0-9]+[a-f]?\."", """"))"),"Wani daban, baiyana:")</f>
        <v>Wani daban, baiyana:</v>
      </c>
      <c r="J709" s="172" t="str">
        <f t="shared" ref="J709:L709" si="104">$F709 &amp; ". " &amp;G709</f>
        <v>104. Other, specify:</v>
      </c>
      <c r="K709" s="172" t="str">
        <f t="shared" si="104"/>
        <v>104. Autre précisez:</v>
      </c>
      <c r="L709" s="172" t="str">
        <f t="shared" si="104"/>
        <v>104. Wani daban, baiyana:</v>
      </c>
      <c r="M709" s="172"/>
    </row>
    <row r="710">
      <c r="A710" s="215" t="s">
        <v>3550</v>
      </c>
      <c r="B710" s="216" t="s">
        <v>3551</v>
      </c>
      <c r="C710" s="216" t="s">
        <v>3552</v>
      </c>
      <c r="D710" s="216" t="s">
        <v>3553</v>
      </c>
      <c r="E710" s="216" t="s">
        <v>3554</v>
      </c>
      <c r="F710" s="182">
        <v>105.0</v>
      </c>
      <c r="G710" s="172" t="str">
        <f>IFERROR(__xludf.DUMMYFUNCTION("TRIM(REGEXREPLACE(C710, ""[0-9]+[a-f]?\."", """"))"),"Who in your family was most concerned?")</f>
        <v>Who in your family was most concerned?</v>
      </c>
      <c r="H710" s="172" t="str">
        <f>IFERROR(__xludf.DUMMYFUNCTION("TRIM(REGEXREPLACE(D710, ""[0-9]+[a-f]?\."", """"))"),"Qui dans votre famille était le plus inquiet ?")</f>
        <v>Qui dans votre famille était le plus inquiet ?</v>
      </c>
      <c r="I710" s="172" t="str">
        <f>IFERROR(__xludf.DUMMYFUNCTION("TRIM(REGEXREPLACE(E710, ""[0-9]+[a-f]?\."", """"))"),"Wanene ya fi damuwa a cikin gidan ku?")</f>
        <v>Wanene ya fi damuwa a cikin gidan ku?</v>
      </c>
      <c r="J710" s="172" t="str">
        <f t="shared" ref="J710:L710" si="105">$F710 &amp; ". " &amp;G710</f>
        <v>105. Who in your family was most concerned?</v>
      </c>
      <c r="K710" s="172" t="str">
        <f t="shared" si="105"/>
        <v>105. Qui dans votre famille était le plus inquiet ?</v>
      </c>
      <c r="L710" s="172" t="str">
        <f t="shared" si="105"/>
        <v>105. Wanene ya fi damuwa a cikin gidan ku?</v>
      </c>
      <c r="M710" s="172"/>
    </row>
    <row r="711">
      <c r="A711" s="215" t="s">
        <v>3555</v>
      </c>
      <c r="B711" s="216" t="s">
        <v>3556</v>
      </c>
      <c r="C711" s="216" t="s">
        <v>1502</v>
      </c>
      <c r="D711" s="216" t="s">
        <v>1503</v>
      </c>
      <c r="E711" s="216" t="s">
        <v>1504</v>
      </c>
      <c r="F711" s="182">
        <v>106.0</v>
      </c>
      <c r="G711" s="172" t="str">
        <f>IFERROR(__xludf.DUMMYFUNCTION("TRIM(REGEXREPLACE(C711, ""[0-9]+[a-f]?\."", """"))"),"Who in your community would be against your decision?")</f>
        <v>Who in your community would be against your decision?</v>
      </c>
      <c r="H711" s="172" t="str">
        <f>IFERROR(__xludf.DUMMYFUNCTION("TRIM(REGEXREPLACE(D711, ""[0-9]+[a-f]?\."", """"))"),"Qui dans votre communauté serait contre votre décision ?")</f>
        <v>Qui dans votre communauté serait contre votre décision ?</v>
      </c>
      <c r="I711" s="172" t="str">
        <f>IFERROR(__xludf.DUMMYFUNCTION("TRIM(REGEXREPLACE(E711, ""[0-9]+[a-f]?\."", """"))"),"Wanene a cikin al'ummarku zai yi adawa da shawararka?")</f>
        <v>Wanene a cikin al'ummarku zai yi adawa da shawararka?</v>
      </c>
      <c r="J711" s="172" t="str">
        <f t="shared" ref="J711:L711" si="106">$F711 &amp; ". " &amp;G711</f>
        <v>106. Who in your community would be against your decision?</v>
      </c>
      <c r="K711" s="172" t="str">
        <f t="shared" si="106"/>
        <v>106. Qui dans votre communauté serait contre votre décision ?</v>
      </c>
      <c r="L711" s="172" t="str">
        <f t="shared" si="106"/>
        <v>106. Wanene a cikin al'ummarku zai yi adawa da shawararka?</v>
      </c>
    </row>
    <row r="712">
      <c r="A712" s="246" t="s">
        <v>231</v>
      </c>
      <c r="B712" s="247" t="s">
        <v>3557</v>
      </c>
      <c r="C712" s="247" t="s">
        <v>3558</v>
      </c>
      <c r="D712" s="247" t="s">
        <v>3559</v>
      </c>
      <c r="E712" s="247" t="s">
        <v>3560</v>
      </c>
      <c r="F712" s="182">
        <v>107.0</v>
      </c>
      <c r="G712" s="172" t="str">
        <f>IFERROR(__xludf.DUMMYFUNCTION("TRIM(REGEXREPLACE(C712, ""[0-9]+[a-f]?\."", """"))"),"Other, specify:")</f>
        <v>Other, specify:</v>
      </c>
      <c r="H712" s="172" t="str">
        <f>IFERROR(__xludf.DUMMYFUNCTION("TRIM(REGEXREPLACE(D712, ""[0-9]+[a-f]?\."", """"))"),"Autre précisez:")</f>
        <v>Autre précisez:</v>
      </c>
      <c r="I712" s="172" t="str">
        <f>IFERROR(__xludf.DUMMYFUNCTION("TRIM(REGEXREPLACE(E712, ""[0-9]+[a-f]?\."", """"))"),"Wani daban, baiyana:")</f>
        <v>Wani daban, baiyana:</v>
      </c>
      <c r="J712" s="172" t="str">
        <f t="shared" ref="J712:L712" si="107">$F712 &amp; ". " &amp;G712</f>
        <v>107. Other, specify:</v>
      </c>
      <c r="K712" s="172" t="str">
        <f t="shared" si="107"/>
        <v>107. Autre précisez:</v>
      </c>
      <c r="L712" s="172" t="str">
        <f t="shared" si="107"/>
        <v>107. Wani daban, baiyana:</v>
      </c>
    </row>
    <row r="713" hidden="1">
      <c r="A713" s="188" t="s">
        <v>118</v>
      </c>
      <c r="B713" s="189" t="s">
        <v>3565</v>
      </c>
      <c r="C713" s="190"/>
      <c r="D713" s="190"/>
      <c r="E713" s="190"/>
      <c r="F713" s="182">
        <v>399.0</v>
      </c>
      <c r="G713" s="172" t="str">
        <f>IFERROR(__xludf.DUMMYFUNCTION("TRIM(REGEXREPLACE(C713, ""[0-9]+[a-f]?\."", """"))"),"")</f>
        <v/>
      </c>
      <c r="H713" s="172" t="str">
        <f>IFERROR(__xludf.DUMMYFUNCTION("TRIM(REGEXREPLACE(D713, ""[0-9]+[a-f]?\."", """"))"),"")</f>
        <v/>
      </c>
      <c r="I713" s="172" t="str">
        <f>IFERROR(__xludf.DUMMYFUNCTION("TRIM(REGEXREPLACE(E713, ""[0-9]+[a-f]?\."", """"))"),"")</f>
        <v/>
      </c>
      <c r="J713" s="172" t="s">
        <v>3566</v>
      </c>
      <c r="K713" s="172" t="s">
        <v>3567</v>
      </c>
      <c r="L713" s="172" t="s">
        <v>3568</v>
      </c>
      <c r="M713" s="172"/>
    </row>
    <row r="714" hidden="1">
      <c r="B714" s="260"/>
      <c r="C714" s="260"/>
      <c r="D714" s="260"/>
      <c r="E714" s="260"/>
      <c r="F714" s="182">
        <v>410.0</v>
      </c>
      <c r="G714" s="172" t="str">
        <f>IFERROR(__xludf.DUMMYFUNCTION("TRIM(REGEXREPLACE(C714, ""[0-9]+[a-f]?\."", """"))"),"")</f>
        <v/>
      </c>
      <c r="H714" s="172" t="str">
        <f>IFERROR(__xludf.DUMMYFUNCTION("TRIM(REGEXREPLACE(D714, ""[0-9]+[a-f]?\."", """"))"),"")</f>
        <v/>
      </c>
      <c r="I714" s="172" t="str">
        <f>IFERROR(__xludf.DUMMYFUNCTION("TRIM(REGEXREPLACE(E714, ""[0-9]+[a-f]?\."", """"))"),"")</f>
        <v/>
      </c>
      <c r="J714" s="172" t="s">
        <v>3569</v>
      </c>
      <c r="K714" s="172" t="s">
        <v>3570</v>
      </c>
      <c r="L714" s="172" t="s">
        <v>3571</v>
      </c>
      <c r="M714" s="172"/>
    </row>
    <row r="715" hidden="1">
      <c r="B715" s="260"/>
      <c r="C715" s="260"/>
      <c r="D715" s="260"/>
      <c r="E715" s="260"/>
      <c r="F715" s="182">
        <v>411.0</v>
      </c>
      <c r="G715" s="172" t="str">
        <f>IFERROR(__xludf.DUMMYFUNCTION("TRIM(REGEXREPLACE(C715, ""[0-9]+[a-f]?\."", """"))"),"")</f>
        <v/>
      </c>
      <c r="H715" s="172" t="str">
        <f>IFERROR(__xludf.DUMMYFUNCTION("TRIM(REGEXREPLACE(D715, ""[0-9]+[a-f]?\."", """"))"),"")</f>
        <v/>
      </c>
      <c r="I715" s="172" t="str">
        <f>IFERROR(__xludf.DUMMYFUNCTION("TRIM(REGEXREPLACE(E715, ""[0-9]+[a-f]?\."", """"))"),"")</f>
        <v/>
      </c>
      <c r="J715" s="172" t="s">
        <v>3572</v>
      </c>
      <c r="K715" s="172" t="s">
        <v>3573</v>
      </c>
      <c r="L715" s="172" t="s">
        <v>3574</v>
      </c>
      <c r="M715" s="172"/>
    </row>
    <row r="716" hidden="1">
      <c r="A716" s="188" t="s">
        <v>68</v>
      </c>
      <c r="B716" s="189" t="s">
        <v>3575</v>
      </c>
      <c r="C716" s="190"/>
      <c r="D716" s="190"/>
      <c r="E716" s="190"/>
      <c r="F716" s="182">
        <v>400.0</v>
      </c>
      <c r="G716" s="172" t="str">
        <f>IFERROR(__xludf.DUMMYFUNCTION("TRIM(REGEXREPLACE(C716, ""[0-9]+[a-f]?\."", """"))"),"")</f>
        <v/>
      </c>
      <c r="H716" s="172" t="str">
        <f>IFERROR(__xludf.DUMMYFUNCTION("TRIM(REGEXREPLACE(D716, ""[0-9]+[a-f]?\."", """"))"),"")</f>
        <v/>
      </c>
      <c r="I716" s="172" t="str">
        <f>IFERROR(__xludf.DUMMYFUNCTION("TRIM(REGEXREPLACE(E716, ""[0-9]+[a-f]?\."", """"))"),"")</f>
        <v/>
      </c>
      <c r="J716" s="172" t="s">
        <v>3579</v>
      </c>
      <c r="K716" s="172" t="s">
        <v>3580</v>
      </c>
      <c r="L716" s="172" t="s">
        <v>3580</v>
      </c>
    </row>
    <row r="717" hidden="1"/>
    <row r="718" hidden="1">
      <c r="A718" s="172"/>
      <c r="B718" s="174"/>
      <c r="C718" s="174"/>
      <c r="D718" s="174"/>
      <c r="E718" s="174"/>
      <c r="F718" s="182">
        <v>401.0</v>
      </c>
      <c r="G718" s="172" t="str">
        <f>IFERROR(__xludf.DUMMYFUNCTION("TRIM(REGEXREPLACE(C718, ""[0-9]+[a-f]?\."", """"))"),"")</f>
        <v/>
      </c>
      <c r="H718" s="172" t="str">
        <f>IFERROR(__xludf.DUMMYFUNCTION("TRIM(REGEXREPLACE(D718, ""[0-9]+[a-f]?\."", """"))"),"")</f>
        <v/>
      </c>
      <c r="I718" s="172" t="str">
        <f>IFERROR(__xludf.DUMMYFUNCTION("TRIM(REGEXREPLACE(E718, ""[0-9]+[a-f]?\."", """"))"),"")</f>
        <v/>
      </c>
      <c r="J718" s="172" t="s">
        <v>3581</v>
      </c>
      <c r="K718" s="172" t="s">
        <v>3582</v>
      </c>
      <c r="L718" s="172" t="s">
        <v>3583</v>
      </c>
    </row>
    <row r="719" hidden="1">
      <c r="A719" s="188" t="s">
        <v>118</v>
      </c>
      <c r="B719" s="189" t="s">
        <v>3584</v>
      </c>
      <c r="C719" s="190"/>
      <c r="D719" s="190"/>
      <c r="E719" s="190"/>
      <c r="F719" s="182">
        <v>402.0</v>
      </c>
      <c r="G719" s="172" t="str">
        <f>IFERROR(__xludf.DUMMYFUNCTION("TRIM(REGEXREPLACE(C719, ""[0-9]+[a-f]?\."", """"))"),"")</f>
        <v/>
      </c>
      <c r="H719" s="172" t="str">
        <f>IFERROR(__xludf.DUMMYFUNCTION("TRIM(REGEXREPLACE(D719, ""[0-9]+[a-f]?\."", """"))"),"")</f>
        <v/>
      </c>
      <c r="I719" s="172" t="str">
        <f>IFERROR(__xludf.DUMMYFUNCTION("TRIM(REGEXREPLACE(E719, ""[0-9]+[a-f]?\."", """"))"),"")</f>
        <v/>
      </c>
      <c r="J719" s="172" t="s">
        <v>3585</v>
      </c>
      <c r="K719" s="172" t="s">
        <v>3586</v>
      </c>
      <c r="L719" s="172" t="s">
        <v>3587</v>
      </c>
    </row>
    <row r="720" hidden="1">
      <c r="C720" s="260"/>
      <c r="D720" s="260"/>
      <c r="E720" s="260"/>
      <c r="F720" s="182">
        <v>414.0</v>
      </c>
      <c r="G720" s="172" t="str">
        <f>IFERROR(__xludf.DUMMYFUNCTION("TRIM(REGEXREPLACE(C720, ""[0-9]+[a-f]?\."", """"))"),"")</f>
        <v/>
      </c>
      <c r="H720" s="172" t="str">
        <f>IFERROR(__xludf.DUMMYFUNCTION("TRIM(REGEXREPLACE(D720, ""[0-9]+[a-f]?\."", """"))"),"")</f>
        <v/>
      </c>
      <c r="I720" s="172" t="str">
        <f>IFERROR(__xludf.DUMMYFUNCTION("TRIM(REGEXREPLACE(E720, ""[0-9]+[a-f]?\."", """"))"),"")</f>
        <v/>
      </c>
      <c r="J720" s="172" t="s">
        <v>3588</v>
      </c>
      <c r="K720" s="172" t="s">
        <v>3589</v>
      </c>
      <c r="L720" s="172" t="s">
        <v>3590</v>
      </c>
    </row>
    <row r="721" hidden="1"/>
    <row r="722" hidden="1">
      <c r="B722" s="260"/>
      <c r="C722" s="260"/>
      <c r="D722" s="260"/>
      <c r="E722" s="260"/>
      <c r="F722" s="182">
        <v>438.0</v>
      </c>
      <c r="G722" s="172" t="str">
        <f>IFERROR(__xludf.DUMMYFUNCTION("TRIM(REGEXREPLACE(C722, ""[0-9]+[a-f]?\."", """"))"),"")</f>
        <v/>
      </c>
      <c r="H722" s="172" t="str">
        <f>IFERROR(__xludf.DUMMYFUNCTION("TRIM(REGEXREPLACE(D722, ""[0-9]+[a-f]?\."", """"))"),"")</f>
        <v/>
      </c>
      <c r="I722" s="172" t="str">
        <f>IFERROR(__xludf.DUMMYFUNCTION("TRIM(REGEXREPLACE(E722, ""[0-9]+[a-f]?\."", """"))"),"")</f>
        <v/>
      </c>
      <c r="J722" s="172" t="s">
        <v>3594</v>
      </c>
      <c r="K722" s="172" t="s">
        <v>3595</v>
      </c>
      <c r="L722" s="172" t="s">
        <v>3596</v>
      </c>
    </row>
    <row r="723" hidden="1">
      <c r="A723" s="188" t="s">
        <v>118</v>
      </c>
      <c r="B723" s="189" t="s">
        <v>3597</v>
      </c>
      <c r="C723" s="190"/>
      <c r="D723" s="190"/>
      <c r="E723" s="190"/>
      <c r="F723" s="182">
        <v>403.0</v>
      </c>
      <c r="G723" s="172" t="str">
        <f>IFERROR(__xludf.DUMMYFUNCTION("TRIM(REGEXREPLACE(C723, ""[0-9]+[a-f]?\."", """"))"),"")</f>
        <v/>
      </c>
      <c r="H723" s="172" t="str">
        <f>IFERROR(__xludf.DUMMYFUNCTION("TRIM(REGEXREPLACE(D723, ""[0-9]+[a-f]?\."", """"))"),"")</f>
        <v/>
      </c>
      <c r="I723" s="172" t="str">
        <f>IFERROR(__xludf.DUMMYFUNCTION("TRIM(REGEXREPLACE(E723, ""[0-9]+[a-f]?\."", """"))"),"")</f>
        <v/>
      </c>
      <c r="J723" s="172" t="s">
        <v>3598</v>
      </c>
      <c r="K723" s="172" t="s">
        <v>3599</v>
      </c>
      <c r="L723" s="172" t="s">
        <v>3600</v>
      </c>
    </row>
    <row r="724" hidden="1">
      <c r="A724" s="281" t="s">
        <v>68</v>
      </c>
      <c r="B724" s="189" t="s">
        <v>3601</v>
      </c>
      <c r="C724" s="190"/>
      <c r="D724" s="190"/>
      <c r="E724" s="190"/>
      <c r="F724" s="182">
        <v>404.0</v>
      </c>
      <c r="G724" s="172" t="str">
        <f>IFERROR(__xludf.DUMMYFUNCTION("TRIM(REGEXREPLACE(C724, ""[0-9]+[a-f]?\."", """"))"),"")</f>
        <v/>
      </c>
      <c r="H724" s="172" t="str">
        <f>IFERROR(__xludf.DUMMYFUNCTION("TRIM(REGEXREPLACE(D724, ""[0-9]+[a-f]?\."", """"))"),"")</f>
        <v/>
      </c>
      <c r="I724" s="172" t="str">
        <f>IFERROR(__xludf.DUMMYFUNCTION("TRIM(REGEXREPLACE(E724, ""[0-9]+[a-f]?\."", """"))"),"")</f>
        <v/>
      </c>
      <c r="J724" s="172" t="s">
        <v>3602</v>
      </c>
      <c r="K724" s="172" t="s">
        <v>3603</v>
      </c>
      <c r="L724" s="172" t="s">
        <v>3604</v>
      </c>
    </row>
    <row r="725" hidden="1">
      <c r="B725" s="260"/>
      <c r="C725" s="260"/>
      <c r="D725" s="260"/>
      <c r="E725" s="260"/>
      <c r="F725" s="182">
        <v>415.0</v>
      </c>
      <c r="G725" s="172" t="str">
        <f>IFERROR(__xludf.DUMMYFUNCTION("TRIM(REGEXREPLACE(C725, ""[0-9]+[a-f]?\."", """"))"),"")</f>
        <v/>
      </c>
      <c r="H725" s="172" t="str">
        <f>IFERROR(__xludf.DUMMYFUNCTION("TRIM(REGEXREPLACE(D725, ""[0-9]+[a-f]?\."", """"))"),"")</f>
        <v/>
      </c>
      <c r="I725" s="172" t="str">
        <f>IFERROR(__xludf.DUMMYFUNCTION("TRIM(REGEXREPLACE(E725, ""[0-9]+[a-f]?\."", """"))"),"")</f>
        <v/>
      </c>
      <c r="J725" s="172" t="s">
        <v>3605</v>
      </c>
      <c r="K725" s="172" t="s">
        <v>3606</v>
      </c>
      <c r="L725" s="172" t="s">
        <v>3607</v>
      </c>
      <c r="M725" s="172"/>
    </row>
    <row r="726" hidden="1">
      <c r="C726" s="260"/>
      <c r="D726" s="260"/>
      <c r="E726" s="260"/>
      <c r="F726" s="182">
        <v>416.0</v>
      </c>
      <c r="G726" s="172" t="str">
        <f>IFERROR(__xludf.DUMMYFUNCTION("TRIM(REGEXREPLACE(C726, ""[0-9]+[a-f]?\."", """"))"),"")</f>
        <v/>
      </c>
      <c r="H726" s="172" t="str">
        <f>IFERROR(__xludf.DUMMYFUNCTION("TRIM(REGEXREPLACE(D726, ""[0-9]+[a-f]?\."", """"))"),"")</f>
        <v/>
      </c>
      <c r="I726" s="172" t="str">
        <f>IFERROR(__xludf.DUMMYFUNCTION("TRIM(REGEXREPLACE(E726, ""[0-9]+[a-f]?\."", """"))"),"")</f>
        <v/>
      </c>
      <c r="J726" s="172" t="s">
        <v>3608</v>
      </c>
      <c r="K726" s="172" t="s">
        <v>3609</v>
      </c>
      <c r="L726" s="172" t="s">
        <v>3610</v>
      </c>
    </row>
    <row r="727" hidden="1">
      <c r="A727" s="281" t="s">
        <v>68</v>
      </c>
      <c r="B727" s="189" t="s">
        <v>3611</v>
      </c>
      <c r="C727" s="190"/>
      <c r="D727" s="190"/>
      <c r="E727" s="190"/>
      <c r="F727" s="182">
        <v>405.0</v>
      </c>
      <c r="G727" s="172" t="str">
        <f>IFERROR(__xludf.DUMMYFUNCTION("TRIM(REGEXREPLACE(C727, ""[0-9]+[a-f]?\."", """"))"),"")</f>
        <v/>
      </c>
      <c r="H727" s="172" t="str">
        <f>IFERROR(__xludf.DUMMYFUNCTION("TRIM(REGEXREPLACE(D727, ""[0-9]+[a-f]?\."", """"))"),"")</f>
        <v/>
      </c>
      <c r="I727" s="172" t="str">
        <f>IFERROR(__xludf.DUMMYFUNCTION("TRIM(REGEXREPLACE(E727, ""[0-9]+[a-f]?\."", """"))"),"")</f>
        <v/>
      </c>
      <c r="J727" s="172" t="s">
        <v>3612</v>
      </c>
      <c r="K727" s="172" t="s">
        <v>3613</v>
      </c>
      <c r="L727" s="172" t="s">
        <v>3614</v>
      </c>
    </row>
    <row r="728" hidden="1">
      <c r="A728" s="281" t="s">
        <v>68</v>
      </c>
      <c r="B728" s="189" t="s">
        <v>3615</v>
      </c>
      <c r="C728" s="190"/>
      <c r="D728" s="190"/>
      <c r="E728" s="190"/>
      <c r="F728" s="182">
        <v>406.0</v>
      </c>
      <c r="G728" s="172" t="str">
        <f>IFERROR(__xludf.DUMMYFUNCTION("TRIM(REGEXREPLACE(C728, ""[0-9]+[a-f]?\."", """"))"),"")</f>
        <v/>
      </c>
      <c r="H728" s="172" t="str">
        <f>IFERROR(__xludf.DUMMYFUNCTION("TRIM(REGEXREPLACE(D728, ""[0-9]+[a-f]?\."", """"))"),"")</f>
        <v/>
      </c>
      <c r="I728" s="172" t="str">
        <f>IFERROR(__xludf.DUMMYFUNCTION("TRIM(REGEXREPLACE(E728, ""[0-9]+[a-f]?\."", """"))"),"")</f>
        <v/>
      </c>
      <c r="J728" s="172" t="s">
        <v>3616</v>
      </c>
      <c r="K728" s="172" t="s">
        <v>3617</v>
      </c>
      <c r="L728" s="172" t="s">
        <v>3618</v>
      </c>
    </row>
    <row r="729" hidden="1">
      <c r="A729" s="281" t="s">
        <v>68</v>
      </c>
      <c r="B729" s="189" t="s">
        <v>3619</v>
      </c>
      <c r="C729" s="190"/>
      <c r="D729" s="190"/>
      <c r="E729" s="190"/>
      <c r="F729" s="182">
        <v>407.0</v>
      </c>
      <c r="G729" s="172" t="str">
        <f>IFERROR(__xludf.DUMMYFUNCTION("TRIM(REGEXREPLACE(C729, ""[0-9]+[a-f]?\."", """"))"),"")</f>
        <v/>
      </c>
      <c r="H729" s="172" t="str">
        <f>IFERROR(__xludf.DUMMYFUNCTION("TRIM(REGEXREPLACE(D729, ""[0-9]+[a-f]?\."", """"))"),"")</f>
        <v/>
      </c>
      <c r="I729" s="172" t="str">
        <f>IFERROR(__xludf.DUMMYFUNCTION("TRIM(REGEXREPLACE(E729, ""[0-9]+[a-f]?\."", """"))"),"")</f>
        <v/>
      </c>
      <c r="J729" s="172" t="s">
        <v>3620</v>
      </c>
      <c r="K729" s="172" t="s">
        <v>3621</v>
      </c>
      <c r="L729" s="172" t="s">
        <v>3622</v>
      </c>
      <c r="M729" s="172"/>
    </row>
    <row r="730" hidden="1">
      <c r="B730" s="260"/>
      <c r="C730" s="260"/>
      <c r="D730" s="260"/>
      <c r="E730" s="260"/>
      <c r="F730" s="182">
        <v>418.0</v>
      </c>
      <c r="G730" s="172" t="str">
        <f>IFERROR(__xludf.DUMMYFUNCTION("TRIM(REGEXREPLACE(C730, ""[0-9]+[a-f]?\."", """"))"),"")</f>
        <v/>
      </c>
      <c r="H730" s="172" t="str">
        <f>IFERROR(__xludf.DUMMYFUNCTION("TRIM(REGEXREPLACE(D730, ""[0-9]+[a-f]?\."", """"))"),"")</f>
        <v/>
      </c>
      <c r="I730" s="172" t="str">
        <f>IFERROR(__xludf.DUMMYFUNCTION("TRIM(REGEXREPLACE(E730, ""[0-9]+[a-f]?\."", """"))"),"")</f>
        <v/>
      </c>
      <c r="J730" s="172" t="s">
        <v>3623</v>
      </c>
      <c r="K730" s="172" t="s">
        <v>3624</v>
      </c>
      <c r="L730" s="172" t="s">
        <v>3625</v>
      </c>
      <c r="M730" s="172"/>
    </row>
    <row r="731" hidden="1">
      <c r="A731" s="281" t="s">
        <v>68</v>
      </c>
      <c r="B731" s="189" t="s">
        <v>3626</v>
      </c>
      <c r="C731" s="190"/>
      <c r="D731" s="190"/>
      <c r="E731" s="190"/>
      <c r="F731" s="182">
        <v>408.0</v>
      </c>
      <c r="G731" s="172" t="str">
        <f>IFERROR(__xludf.DUMMYFUNCTION("TRIM(REGEXREPLACE(C731, ""[0-9]+[a-f]?\."", """"))"),"")</f>
        <v/>
      </c>
      <c r="H731" s="172" t="str">
        <f>IFERROR(__xludf.DUMMYFUNCTION("TRIM(REGEXREPLACE(D731, ""[0-9]+[a-f]?\."", """"))"),"")</f>
        <v/>
      </c>
      <c r="I731" s="172" t="str">
        <f>IFERROR(__xludf.DUMMYFUNCTION("TRIM(REGEXREPLACE(E731, ""[0-9]+[a-f]?\."", """"))"),"")</f>
        <v/>
      </c>
      <c r="J731" s="172" t="s">
        <v>3627</v>
      </c>
      <c r="K731" s="172" t="s">
        <v>3628</v>
      </c>
      <c r="L731" s="172" t="s">
        <v>3629</v>
      </c>
      <c r="M731" s="172"/>
    </row>
    <row r="732" hidden="1">
      <c r="A732" s="281" t="s">
        <v>68</v>
      </c>
      <c r="B732" s="189" t="s">
        <v>3630</v>
      </c>
      <c r="C732" s="190"/>
      <c r="D732" s="190"/>
      <c r="E732" s="190"/>
      <c r="F732" s="182">
        <v>409.0</v>
      </c>
      <c r="G732" s="172" t="str">
        <f>IFERROR(__xludf.DUMMYFUNCTION("TRIM(REGEXREPLACE(C732, ""[0-9]+[a-f]?\."", """"))"),"")</f>
        <v/>
      </c>
      <c r="H732" s="172" t="str">
        <f>IFERROR(__xludf.DUMMYFUNCTION("TRIM(REGEXREPLACE(D732, ""[0-9]+[a-f]?\."", """"))"),"")</f>
        <v/>
      </c>
      <c r="I732" s="172" t="str">
        <f>IFERROR(__xludf.DUMMYFUNCTION("TRIM(REGEXREPLACE(E732, ""[0-9]+[a-f]?\."", """"))"),"")</f>
        <v/>
      </c>
      <c r="J732" s="172" t="s">
        <v>3631</v>
      </c>
      <c r="K732" s="172" t="s">
        <v>3632</v>
      </c>
      <c r="L732" s="172" t="s">
        <v>3633</v>
      </c>
    </row>
    <row r="733" hidden="1">
      <c r="A733" s="281" t="s">
        <v>68</v>
      </c>
      <c r="B733" s="189" t="s">
        <v>3634</v>
      </c>
      <c r="C733" s="190"/>
      <c r="D733" s="190"/>
      <c r="E733" s="190"/>
      <c r="F733" s="182">
        <v>410.0</v>
      </c>
      <c r="G733" s="172" t="str">
        <f>IFERROR(__xludf.DUMMYFUNCTION("TRIM(REGEXREPLACE(C733, ""[0-9]+[a-f]?\."", """"))"),"")</f>
        <v/>
      </c>
      <c r="H733" s="172" t="str">
        <f>IFERROR(__xludf.DUMMYFUNCTION("TRIM(REGEXREPLACE(D733, ""[0-9]+[a-f]?\."", """"))"),"")</f>
        <v/>
      </c>
      <c r="I733" s="172" t="str">
        <f>IFERROR(__xludf.DUMMYFUNCTION("TRIM(REGEXREPLACE(E733, ""[0-9]+[a-f]?\."", """"))"),"")</f>
        <v/>
      </c>
      <c r="J733" s="172" t="s">
        <v>3635</v>
      </c>
      <c r="K733" s="172" t="s">
        <v>3636</v>
      </c>
      <c r="L733" s="172" t="s">
        <v>3637</v>
      </c>
      <c r="M733" s="172"/>
    </row>
    <row r="734">
      <c r="A734" s="282" t="s">
        <v>353</v>
      </c>
      <c r="B734" s="216" t="s">
        <v>3638</v>
      </c>
      <c r="C734" s="216" t="s">
        <v>3639</v>
      </c>
      <c r="D734" s="216" t="s">
        <v>3640</v>
      </c>
      <c r="E734" s="216" t="s">
        <v>3641</v>
      </c>
      <c r="F734" s="182">
        <v>108.0</v>
      </c>
      <c r="G734" s="172" t="str">
        <f>IFERROR(__xludf.DUMMYFUNCTION("TRIM(REGEXREPLACE(C734, ""[0-9]+[a-f]?\."", """"))"),"Now please think about the time since ${period}. Did you spend at least one week (7 days) anywhere other than ${pm_loc_beg_initial} since ${period}?")</f>
        <v>Now please think about the time since ${period}. Did you spend at least one week (7 days) anywhere other than ${pm_loc_beg_initial} since ${period}?</v>
      </c>
      <c r="H734" s="172" t="str">
        <f>IFERROR(__xludf.DUMMYFUNCTION("TRIM(REGEXREPLACE(D734, ""[0-9]+[a-f]?\."", """"))"),"Maintenant, pensez au temps passé depuis ${period}. Avez-vous passé au moins une semaine (7 jours) ailleurs que ${pm_loc_beg_initial} depuis ${period_french} ?")</f>
        <v>Maintenant, pensez au temps passé depuis ${period}. Avez-vous passé au moins une semaine (7 jours) ailleurs que ${pm_loc_beg_initial} depuis ${period_french} ?</v>
      </c>
      <c r="I734" s="172" t="str">
        <f>IFERROR(__xludf.DUMMYFUNCTION("TRIM(REGEXREPLACE(E734, ""[0-9]+[a-f]?\."", """"))"),"Yanzu da fatan za a yi tunani game da lokaci tun ${period}. Shin kun kashe aƙalla mako ɗaya (kwana 7) a ko'ina ban da ${pm_loc_beg_initial} tun daga ${period_hausa}?")</f>
        <v>Yanzu da fatan za a yi tunani game da lokaci tun ${period}. Shin kun kashe aƙalla mako ɗaya (kwana 7) a ko'ina ban da ${pm_loc_beg_initial} tun daga ${period_hausa}?</v>
      </c>
      <c r="J734" s="172" t="str">
        <f t="shared" ref="J734:L734" si="108">$F734 &amp; ". " &amp;G734</f>
        <v>108. Now please think about the time since ${period}. Did you spend at least one week (7 days) anywhere other than ${pm_loc_beg_initial} since ${period}?</v>
      </c>
      <c r="K734" s="172" t="str">
        <f t="shared" si="108"/>
        <v>108. Maintenant, pensez au temps passé depuis ${period}. Avez-vous passé au moins une semaine (7 jours) ailleurs que ${pm_loc_beg_initial} depuis ${period_french} ?</v>
      </c>
      <c r="L734" s="172" t="str">
        <f t="shared" si="108"/>
        <v>108. Yanzu da fatan za a yi tunani game da lokaci tun ${period}. Shin kun kashe aƙalla mako ɗaya (kwana 7) a ko'ina ban da ${pm_loc_beg_initial} tun daga ${period_hausa}?</v>
      </c>
    </row>
    <row r="735" hidden="1">
      <c r="A735" s="172"/>
      <c r="B735" s="174"/>
      <c r="C735" s="174"/>
      <c r="D735" s="174"/>
      <c r="E735" s="174"/>
      <c r="F735" s="182">
        <v>412.0</v>
      </c>
      <c r="G735" s="172" t="str">
        <f>IFERROR(__xludf.DUMMYFUNCTION("TRIM(REGEXREPLACE(C735, ""[0-9]+[a-f]?\."", """"))"),"")</f>
        <v/>
      </c>
      <c r="H735" s="172" t="str">
        <f>IFERROR(__xludf.DUMMYFUNCTION("TRIM(REGEXREPLACE(D735, ""[0-9]+[a-f]?\."", """"))"),"")</f>
        <v/>
      </c>
      <c r="I735" s="172" t="str">
        <f>IFERROR(__xludf.DUMMYFUNCTION("TRIM(REGEXREPLACE(E735, ""[0-9]+[a-f]?\."", """"))"),"")</f>
        <v/>
      </c>
      <c r="J735" s="172" t="s">
        <v>3646</v>
      </c>
      <c r="K735" s="172" t="s">
        <v>3647</v>
      </c>
      <c r="L735" s="172" t="s">
        <v>3648</v>
      </c>
      <c r="M735" s="172"/>
    </row>
    <row r="736">
      <c r="A736" s="283" t="s">
        <v>246</v>
      </c>
      <c r="B736" s="254" t="s">
        <v>3649</v>
      </c>
      <c r="C736" s="254" t="s">
        <v>3650</v>
      </c>
      <c r="D736" s="254" t="s">
        <v>3651</v>
      </c>
      <c r="E736" s="254" t="s">
        <v>3652</v>
      </c>
      <c r="F736" s="182">
        <v>109.0</v>
      </c>
      <c r="G736" s="172" t="str">
        <f>IFERROR(__xludf.DUMMYFUNCTION("TRIM(REGEXREPLACE(C736, ""[0-9]+[a-f]?\."", """"))"),"Please list all of the places you spent more than one week during ${period} other than ${pm_loc_beg_initial}. How many places?")</f>
        <v>Please list all of the places you spent more than one week during ${period} other than ${pm_loc_beg_initial}. How many places?</v>
      </c>
      <c r="H736" s="172" t="str">
        <f>IFERROR(__xludf.DUMMYFUNCTION("TRIM(REGEXREPLACE(D736, ""[0-9]+[a-f]?\."", """"))"),"Veuillez énumérer tous les lieux où vous avez passé plus d'une semaine entre ${period_french} autre que ${pm_loc_beg_initial_fr}. Combien de lieux ?")</f>
        <v>Veuillez énumérer tous les lieux où vous avez passé plus d'une semaine entre ${period_french} autre que ${pm_loc_beg_initial_fr}. Combien de lieux ?</v>
      </c>
      <c r="I736" s="172" t="str">
        <f>IFERROR(__xludf.DUMMYFUNCTION("TRIM(REGEXREPLACE(E736, ""[0-9]+[a-f]?\."", """"))"),"Ko za ku gaya mini duk wuraren da kuka zauna sama da sati guda a lokacin ${period_hausa} da ba ${pm_loc_beg_initial_hausa}. Wurare nawa?")</f>
        <v>Ko za ku gaya mini duk wuraren da kuka zauna sama da sati guda a lokacin ${period_hausa} da ba ${pm_loc_beg_initial_hausa}. Wurare nawa?</v>
      </c>
      <c r="J736" s="172" t="str">
        <f t="shared" ref="J736:L736" si="109">$F736 &amp; ". " &amp;G736</f>
        <v>109. Please list all of the places you spent more than one week during ${period} other than ${pm_loc_beg_initial}. How many places?</v>
      </c>
      <c r="K736" s="172" t="str">
        <f t="shared" si="109"/>
        <v>109. Veuillez énumérer tous les lieux où vous avez passé plus d'une semaine entre ${period_french} autre que ${pm_loc_beg_initial_fr}. Combien de lieux ?</v>
      </c>
      <c r="L736" s="172" t="str">
        <f t="shared" si="109"/>
        <v>109. Ko za ku gaya mini duk wuraren da kuka zauna sama da sati guda a lokacin ${period_hausa} da ba ${pm_loc_beg_initial_hausa}. Wurare nawa?</v>
      </c>
      <c r="M736" s="172"/>
    </row>
    <row r="737" hidden="1">
      <c r="A737" s="281" t="s">
        <v>68</v>
      </c>
      <c r="B737" s="266" t="s">
        <v>3653</v>
      </c>
      <c r="C737" s="190"/>
      <c r="D737" s="190"/>
      <c r="E737" s="190"/>
      <c r="F737" s="182">
        <v>414.0</v>
      </c>
      <c r="G737" s="172" t="str">
        <f>IFERROR(__xludf.DUMMYFUNCTION("TRIM(REGEXREPLACE(C737, ""[0-9]+[a-f]?\."", """"))"),"")</f>
        <v/>
      </c>
      <c r="H737" s="172" t="str">
        <f>IFERROR(__xludf.DUMMYFUNCTION("TRIM(REGEXREPLACE(D737, ""[0-9]+[a-f]?\."", """"))"),"")</f>
        <v/>
      </c>
      <c r="I737" s="172" t="str">
        <f>IFERROR(__xludf.DUMMYFUNCTION("TRIM(REGEXREPLACE(E737, ""[0-9]+[a-f]?\."", """"))"),"")</f>
        <v/>
      </c>
      <c r="J737" s="172" t="s">
        <v>3657</v>
      </c>
      <c r="K737" s="172" t="s">
        <v>3658</v>
      </c>
      <c r="L737" s="172" t="s">
        <v>3659</v>
      </c>
      <c r="M737" s="172"/>
    </row>
    <row r="738" hidden="1">
      <c r="A738" s="281" t="s">
        <v>68</v>
      </c>
      <c r="B738" s="266" t="s">
        <v>3660</v>
      </c>
      <c r="C738" s="190"/>
      <c r="D738" s="190"/>
      <c r="E738" s="190"/>
      <c r="F738" s="182">
        <v>415.0</v>
      </c>
      <c r="G738" s="172" t="str">
        <f>IFERROR(__xludf.DUMMYFUNCTION("TRIM(REGEXREPLACE(C738, ""[0-9]+[a-f]?\."", """"))"),"")</f>
        <v/>
      </c>
      <c r="H738" s="172" t="str">
        <f>IFERROR(__xludf.DUMMYFUNCTION("TRIM(REGEXREPLACE(D738, ""[0-9]+[a-f]?\."", """"))"),"")</f>
        <v/>
      </c>
      <c r="I738" s="172" t="str">
        <f>IFERROR(__xludf.DUMMYFUNCTION("TRIM(REGEXREPLACE(E738, ""[0-9]+[a-f]?\."", """"))"),"")</f>
        <v/>
      </c>
      <c r="J738" s="172" t="s">
        <v>3661</v>
      </c>
      <c r="K738" s="172" t="s">
        <v>3662</v>
      </c>
      <c r="L738" s="172" t="s">
        <v>3663</v>
      </c>
      <c r="M738" s="172"/>
    </row>
    <row r="739" hidden="1">
      <c r="A739" s="281" t="s">
        <v>68</v>
      </c>
      <c r="B739" s="266" t="s">
        <v>3664</v>
      </c>
      <c r="C739" s="190"/>
      <c r="D739" s="190"/>
      <c r="E739" s="190"/>
      <c r="F739" s="182">
        <v>416.0</v>
      </c>
      <c r="G739" s="172" t="str">
        <f>IFERROR(__xludf.DUMMYFUNCTION("TRIM(REGEXREPLACE(C739, ""[0-9]+[a-f]?\."", """"))"),"")</f>
        <v/>
      </c>
      <c r="H739" s="172" t="str">
        <f>IFERROR(__xludf.DUMMYFUNCTION("TRIM(REGEXREPLACE(D739, ""[0-9]+[a-f]?\."", """"))"),"")</f>
        <v/>
      </c>
      <c r="I739" s="172" t="str">
        <f>IFERROR(__xludf.DUMMYFUNCTION("TRIM(REGEXREPLACE(E739, ""[0-9]+[a-f]?\."", """"))"),"")</f>
        <v/>
      </c>
      <c r="J739" s="172" t="s">
        <v>3665</v>
      </c>
      <c r="K739" s="172" t="s">
        <v>3666</v>
      </c>
      <c r="L739" s="172" t="s">
        <v>3667</v>
      </c>
    </row>
    <row r="740" hidden="1">
      <c r="A740" s="281" t="s">
        <v>68</v>
      </c>
      <c r="B740" s="266" t="s">
        <v>3668</v>
      </c>
      <c r="C740" s="190"/>
      <c r="D740" s="190"/>
      <c r="E740" s="190"/>
      <c r="F740" s="182">
        <v>417.0</v>
      </c>
      <c r="G740" s="172" t="str">
        <f>IFERROR(__xludf.DUMMYFUNCTION("TRIM(REGEXREPLACE(C740, ""[0-9]+[a-f]?\."", """"))"),"")</f>
        <v/>
      </c>
      <c r="H740" s="172" t="str">
        <f>IFERROR(__xludf.DUMMYFUNCTION("TRIM(REGEXREPLACE(D740, ""[0-9]+[a-f]?\."", """"))"),"")</f>
        <v/>
      </c>
      <c r="I740" s="172" t="str">
        <f>IFERROR(__xludf.DUMMYFUNCTION("TRIM(REGEXREPLACE(E740, ""[0-9]+[a-f]?\."", """"))"),"")</f>
        <v/>
      </c>
      <c r="J740" s="172" t="s">
        <v>3672</v>
      </c>
      <c r="K740" s="172" t="s">
        <v>3673</v>
      </c>
      <c r="L740" s="172" t="s">
        <v>3674</v>
      </c>
      <c r="M740" s="172"/>
    </row>
    <row r="741">
      <c r="A741" s="282" t="s">
        <v>353</v>
      </c>
      <c r="B741" s="249" t="s">
        <v>3675</v>
      </c>
      <c r="C741" s="216" t="s">
        <v>3676</v>
      </c>
      <c r="D741" s="216" t="s">
        <v>3677</v>
      </c>
      <c r="E741" s="216" t="s">
        <v>3678</v>
      </c>
      <c r="F741" s="182">
        <v>110.0</v>
      </c>
      <c r="G741" s="172" t="str">
        <f>IFERROR(__xludf.DUMMYFUNCTION("TRIM(REGEXREPLACE(C741, ""[0-9]+[a-f]?\."", """"))"),"We will ask you questions about each of these locations. Can you confirm that you spent more than one week in ${pm_locations_new} locations since ${period}? ${pm_loc_confirm_label}")</f>
        <v>We will ask you questions about each of these locations. Can you confirm that you spent more than one week in ${pm_locations_new} locations since ${period}? ${pm_loc_confirm_label}</v>
      </c>
      <c r="H741" s="172" t="str">
        <f>IFERROR(__xludf.DUMMYFUNCTION("TRIM(REGEXREPLACE(D741, ""[0-9]+[a-f]?\."", """"))"),"Nous vous poserons des questions sur chacun de ces endroits. Pouvez-vous confirmer que vous avez passé plus d'une semaine dans ${pm_locations_new} endroit depuis ${period_french}? ${pm_loc_confirm_label_fr}")</f>
        <v>Nous vous poserons des questions sur chacun de ces endroits. Pouvez-vous confirmer que vous avez passé plus d'une semaine dans ${pm_locations_new} endroit depuis ${period_french}? ${pm_loc_confirm_label_fr}</v>
      </c>
      <c r="I741" s="172" t="str">
        <f>IFERROR(__xludf.DUMMYFUNCTION("TRIM(REGEXREPLACE(E741, ""[0-9]+[a-f]?\."", """"))"),"Za mu yi muku tambayoyi game da kowane ɗayan waɗannan wuraren. Shin za ku iya tabbatar da cewa kun zauna a wurare ${pm_locations_new} fiye da mako guda tun ${period_french}? ${pm_loc_confirm_label_ha}")</f>
        <v>Za mu yi muku tambayoyi game da kowane ɗayan waɗannan wuraren. Shin za ku iya tabbatar da cewa kun zauna a wurare ${pm_locations_new} fiye da mako guda tun ${period_french}? ${pm_loc_confirm_label_ha}</v>
      </c>
      <c r="J741" s="172" t="str">
        <f t="shared" ref="J741:L741" si="110">$F741 &amp; ". " &amp;G741</f>
        <v>110. We will ask you questions about each of these locations. Can you confirm that you spent more than one week in ${pm_locations_new} locations since ${period}? ${pm_loc_confirm_label}</v>
      </c>
      <c r="K741" s="172" t="str">
        <f t="shared" si="110"/>
        <v>110. Nous vous poserons des questions sur chacun de ces endroits. Pouvez-vous confirmer que vous avez passé plus d'une semaine dans ${pm_locations_new} endroit depuis ${period_french}? ${pm_loc_confirm_label_fr}</v>
      </c>
      <c r="L741" s="172" t="str">
        <f t="shared" si="110"/>
        <v>110. Za mu yi muku tambayoyi game da kowane ɗayan waɗannan wuraren. Shin za ku iya tabbatar da cewa kun zauna a wurare ${pm_locations_new} fiye da mako guda tun ${period_french}? ${pm_loc_confirm_label_ha}</v>
      </c>
      <c r="M741" s="172"/>
    </row>
    <row r="742" hidden="1">
      <c r="B742" s="260"/>
      <c r="C742" s="260"/>
      <c r="D742" s="260"/>
      <c r="E742" s="260"/>
      <c r="F742" s="182">
        <v>428.0</v>
      </c>
      <c r="G742" s="172" t="str">
        <f>IFERROR(__xludf.DUMMYFUNCTION("TRIM(REGEXREPLACE(C742, ""[0-9]+[a-f]?\."", """"))"),"")</f>
        <v/>
      </c>
      <c r="H742" s="172" t="str">
        <f>IFERROR(__xludf.DUMMYFUNCTION("TRIM(REGEXREPLACE(D742, ""[0-9]+[a-f]?\."", """"))"),"")</f>
        <v/>
      </c>
      <c r="I742" s="172" t="str">
        <f>IFERROR(__xludf.DUMMYFUNCTION("TRIM(REGEXREPLACE(E742, ""[0-9]+[a-f]?\."", """"))"),"")</f>
        <v/>
      </c>
      <c r="J742" s="172" t="s">
        <v>3682</v>
      </c>
      <c r="K742" s="172" t="s">
        <v>3683</v>
      </c>
      <c r="L742" s="172" t="s">
        <v>3684</v>
      </c>
      <c r="M742" s="172"/>
    </row>
    <row r="743" hidden="1">
      <c r="B743" s="260"/>
      <c r="C743" s="260"/>
      <c r="D743" s="260"/>
      <c r="E743" s="260"/>
      <c r="F743" s="182">
        <v>425.0</v>
      </c>
      <c r="G743" s="172" t="str">
        <f>IFERROR(__xludf.DUMMYFUNCTION("TRIM(REGEXREPLACE(C743, ""[0-9]+[a-f]?\."", """"))"),"")</f>
        <v/>
      </c>
      <c r="H743" s="172" t="str">
        <f>IFERROR(__xludf.DUMMYFUNCTION("TRIM(REGEXREPLACE(D743, ""[0-9]+[a-f]?\."", """"))"),"")</f>
        <v/>
      </c>
      <c r="I743" s="172" t="str">
        <f>IFERROR(__xludf.DUMMYFUNCTION("TRIM(REGEXREPLACE(E743, ""[0-9]+[a-f]?\."", """"))"),"")</f>
        <v/>
      </c>
      <c r="J743" s="172" t="s">
        <v>3685</v>
      </c>
      <c r="K743" s="172" t="s">
        <v>3686</v>
      </c>
      <c r="L743" s="172" t="s">
        <v>3687</v>
      </c>
      <c r="M743" s="172"/>
    </row>
    <row r="744">
      <c r="A744" s="282" t="s">
        <v>3688</v>
      </c>
      <c r="B744" s="216" t="s">
        <v>3689</v>
      </c>
      <c r="C744" s="216" t="s">
        <v>3690</v>
      </c>
      <c r="D744" s="216" t="s">
        <v>3692</v>
      </c>
      <c r="E744" s="216" t="s">
        <v>3694</v>
      </c>
      <c r="F744" s="182">
        <v>111.0</v>
      </c>
      <c r="G744" s="172" t="str">
        <f>IFERROR(__xludf.DUMMYFUNCTION("TRIM(REGEXREPLACE(C744, ""[0-9]+[a-f]?\."", """"))"),"You mentioned previously that you travelled to ${pm_prev_locations}, ${period_bl_fu4}. 
Please confirm that you stayed for at least a week (7 days) in the locations you previously reported:")</f>
        <v>You mentioned previously that you travelled to ${pm_prev_locations}, ${period_bl_fu4}. 
Please confirm that you stayed for at least a week (7 days) in the locations you previously reported:</v>
      </c>
      <c r="H744" s="172" t="str">
        <f>IFERROR(__xludf.DUMMYFUNCTION("TRIM(REGEXREPLACE(D744, ""[0-9]+[a-f]?\."", """"))"),"Vous avez précédemment mentionné que vous aviez voyagé à ${pm_prev_locations}, ${period_french_bl_fu4}.
Veuillez confirmer que vous avez séjourné au moins une semaine (7 jours) dans les endroits que vous avez précédemment signalés :")</f>
        <v>Vous avez précédemment mentionné que vous aviez voyagé à ${pm_prev_locations}, ${period_french_bl_fu4}.
Veuillez confirmer que vous avez séjourné au moins une semaine (7 jours) dans les endroits que vous avez précédemment signalés :</v>
      </c>
      <c r="I744" s="172" t="str">
        <f>IFERROR(__xludf.DUMMYFUNCTION("TRIM(REGEXREPLACE(E744, ""[0-9]+[a-f]?\."", """"))"),"Kun faɗi cewa a baya kun yi tafiya zuwa ${pm_prev_locations}, ${period_hausa_bl_fu4} 
Za ku tabbatar da cewa kun zauna aƙalla mako guda (kwana 7) a wuraren da kuka zana a baya:")</f>
        <v>Kun faɗi cewa a baya kun yi tafiya zuwa ${pm_prev_locations}, ${period_hausa_bl_fu4} 
Za ku tabbatar da cewa kun zauna aƙalla mako guda (kwana 7) a wuraren da kuka zana a baya:</v>
      </c>
      <c r="J744" s="172" t="str">
        <f t="shared" ref="J744:L744" si="111">$F744 &amp; ". " &amp;G744</f>
        <v>111. You mentioned previously that you travelled to ${pm_prev_locations}, ${period_bl_fu4}. 
Please confirm that you stayed for at least a week (7 days) in the locations you previously reported:</v>
      </c>
      <c r="K744" s="172" t="str">
        <f t="shared" si="111"/>
        <v>111. Vous avez précédemment mentionné que vous aviez voyagé à ${pm_prev_locations}, ${period_french_bl_fu4}.
Veuillez confirmer que vous avez séjourné au moins une semaine (7 jours) dans les endroits que vous avez précédemment signalés :</v>
      </c>
      <c r="L744" s="172" t="str">
        <f t="shared" si="111"/>
        <v>111. Kun faɗi cewa a baya kun yi tafiya zuwa ${pm_prev_locations}, ${period_hausa_bl_fu4} 
Za ku tabbatar da cewa kun zauna aƙalla mako guda (kwana 7) a wuraren da kuka zana a baya:</v>
      </c>
    </row>
    <row r="745" hidden="1">
      <c r="B745" s="260"/>
      <c r="C745" s="260"/>
      <c r="D745" s="260"/>
      <c r="E745" s="260"/>
      <c r="F745" s="182">
        <v>427.0</v>
      </c>
      <c r="G745" s="172" t="str">
        <f>IFERROR(__xludf.DUMMYFUNCTION("TRIM(REGEXREPLACE(C745, ""[0-9]+[a-f]?\."", """"))"),"")</f>
        <v/>
      </c>
      <c r="H745" s="172" t="str">
        <f>IFERROR(__xludf.DUMMYFUNCTION("TRIM(REGEXREPLACE(D745, ""[0-9]+[a-f]?\."", """"))"),"")</f>
        <v/>
      </c>
      <c r="I745" s="172" t="str">
        <f>IFERROR(__xludf.DUMMYFUNCTION("TRIM(REGEXREPLACE(E745, ""[0-9]+[a-f]?\."", """"))"),"")</f>
        <v/>
      </c>
      <c r="J745" s="172" t="s">
        <v>3696</v>
      </c>
      <c r="K745" s="172" t="s">
        <v>3697</v>
      </c>
      <c r="L745" s="172" t="s">
        <v>3698</v>
      </c>
      <c r="M745" s="172"/>
    </row>
    <row r="746" hidden="1">
      <c r="B746" s="260"/>
      <c r="C746" s="260"/>
      <c r="D746" s="260"/>
      <c r="E746" s="260"/>
      <c r="F746" s="182">
        <v>432.0</v>
      </c>
      <c r="G746" s="172" t="str">
        <f>IFERROR(__xludf.DUMMYFUNCTION("TRIM(REGEXREPLACE(C746, ""[0-9]+[a-f]?\."", """"))"),"")</f>
        <v/>
      </c>
      <c r="H746" s="172" t="str">
        <f>IFERROR(__xludf.DUMMYFUNCTION("TRIM(REGEXREPLACE(D746, ""[0-9]+[a-f]?\."", """"))"),"")</f>
        <v/>
      </c>
      <c r="I746" s="172" t="str">
        <f>IFERROR(__xludf.DUMMYFUNCTION("TRIM(REGEXREPLACE(E746, ""[0-9]+[a-f]?\."", """"))"),"")</f>
        <v/>
      </c>
      <c r="J746" s="172" t="s">
        <v>3699</v>
      </c>
      <c r="K746" s="172" t="s">
        <v>3700</v>
      </c>
      <c r="L746" s="172" t="s">
        <v>3701</v>
      </c>
      <c r="M746" s="172"/>
    </row>
    <row r="747" hidden="1">
      <c r="B747" s="260"/>
      <c r="C747" s="260"/>
      <c r="D747" s="260"/>
      <c r="E747" s="260"/>
      <c r="F747" s="182">
        <v>433.0</v>
      </c>
      <c r="G747" s="172" t="str">
        <f>IFERROR(__xludf.DUMMYFUNCTION("TRIM(REGEXREPLACE(C747, ""[0-9]+[a-f]?\."", """"))"),"")</f>
        <v/>
      </c>
      <c r="H747" s="172" t="str">
        <f>IFERROR(__xludf.DUMMYFUNCTION("TRIM(REGEXREPLACE(D747, ""[0-9]+[a-f]?\."", """"))"),"")</f>
        <v/>
      </c>
      <c r="I747" s="172" t="str">
        <f>IFERROR(__xludf.DUMMYFUNCTION("TRIM(REGEXREPLACE(E747, ""[0-9]+[a-f]?\."", """"))"),"")</f>
        <v/>
      </c>
      <c r="J747" s="172" t="s">
        <v>3702</v>
      </c>
      <c r="K747" s="172" t="s">
        <v>3703</v>
      </c>
      <c r="L747" s="172" t="s">
        <v>3704</v>
      </c>
      <c r="M747" s="172"/>
    </row>
    <row r="748" hidden="1"/>
    <row r="749" hidden="1">
      <c r="B749" s="260"/>
      <c r="C749" s="260"/>
      <c r="D749" s="260"/>
      <c r="E749" s="260"/>
      <c r="F749" s="182">
        <v>434.0</v>
      </c>
      <c r="G749" s="172" t="str">
        <f>IFERROR(__xludf.DUMMYFUNCTION("TRIM(REGEXREPLACE(C749, ""[0-9]+[a-f]?\."", """"))"),"")</f>
        <v/>
      </c>
      <c r="H749" s="172" t="str">
        <f>IFERROR(__xludf.DUMMYFUNCTION("TRIM(REGEXREPLACE(D749, ""[0-9]+[a-f]?\."", """"))"),"")</f>
        <v/>
      </c>
      <c r="I749" s="172" t="str">
        <f>IFERROR(__xludf.DUMMYFUNCTION("TRIM(REGEXREPLACE(E749, ""[0-9]+[a-f]?\."", """"))"),"")</f>
        <v/>
      </c>
      <c r="J749" s="172" t="s">
        <v>3705</v>
      </c>
      <c r="K749" s="172" t="s">
        <v>3706</v>
      </c>
      <c r="L749" s="172" t="s">
        <v>3707</v>
      </c>
      <c r="M749" s="172"/>
    </row>
    <row r="750">
      <c r="A750" s="284" t="s">
        <v>231</v>
      </c>
      <c r="B750" s="247" t="s">
        <v>3708</v>
      </c>
      <c r="C750" s="247" t="s">
        <v>3709</v>
      </c>
      <c r="D750" s="247" t="s">
        <v>3711</v>
      </c>
      <c r="E750" s="247" t="s">
        <v>3712</v>
      </c>
      <c r="F750" s="182">
        <v>112.0</v>
      </c>
      <c r="G750" s="172" t="str">
        <f>IFERROR(__xludf.DUMMYFUNCTION("TRIM(REGEXREPLACE(C750, ""[0-9]+[a-f]?\."", """"))"),"Please explain why you reported locations in previous surveys that you did not travel to:")</f>
        <v>Please explain why you reported locations in previous surveys that you did not travel to:</v>
      </c>
      <c r="H750" s="172" t="str">
        <f>IFERROR(__xludf.DUMMYFUNCTION("TRIM(REGEXREPLACE(D750, ""[0-9]+[a-f]?\."", """"))"),"Veuillez expliquer pourquoi vous avez indiqué des lieux dans des enquêtes précédentes où vous ne vous êtes pas rendu :")</f>
        <v>Veuillez expliquer pourquoi vous avez indiqué des lieux dans des enquêtes précédentes où vous ne vous êtes pas rendu :</v>
      </c>
      <c r="I750" s="172" t="str">
        <f>IFERROR(__xludf.DUMMYFUNCTION("TRIM(REGEXREPLACE(E750, ""[0-9]+[a-f]?\."", """"))"),"Da fatan za a bayyana dalilin da ya sa kuka ba da rahoton wurare a cikin binciken da ba ku yi tafiya zuwa ba:")</f>
        <v>Da fatan za a bayyana dalilin da ya sa kuka ba da rahoton wurare a cikin binciken da ba ku yi tafiya zuwa ba:</v>
      </c>
      <c r="J750" s="172" t="str">
        <f t="shared" ref="J750:L750" si="112">$F750 &amp; ". " &amp;G750</f>
        <v>112. Please explain why you reported locations in previous surveys that you did not travel to:</v>
      </c>
      <c r="K750" s="172" t="str">
        <f t="shared" si="112"/>
        <v>112. Veuillez expliquer pourquoi vous avez indiqué des lieux dans des enquêtes précédentes où vous ne vous êtes pas rendu :</v>
      </c>
      <c r="L750" s="172" t="str">
        <f t="shared" si="112"/>
        <v>112. Da fatan za a bayyana dalilin da ya sa kuka ba da rahoton wurare a cikin binciken da ba ku yi tafiya zuwa ba:</v>
      </c>
      <c r="M750" s="172"/>
    </row>
    <row r="751" hidden="1">
      <c r="B751" s="260"/>
      <c r="C751" s="260"/>
      <c r="D751" s="260"/>
      <c r="E751" s="260"/>
      <c r="F751" s="182">
        <v>436.0</v>
      </c>
      <c r="G751" s="172" t="str">
        <f>IFERROR(__xludf.DUMMYFUNCTION("TRIM(REGEXREPLACE(C751, ""[0-9]+[a-f]?\."", """"))"),"")</f>
        <v/>
      </c>
      <c r="H751" s="172" t="str">
        <f>IFERROR(__xludf.DUMMYFUNCTION("TRIM(REGEXREPLACE(D751, ""[0-9]+[a-f]?\."", """"))"),"")</f>
        <v/>
      </c>
      <c r="I751" s="172" t="str">
        <f>IFERROR(__xludf.DUMMYFUNCTION("TRIM(REGEXREPLACE(E751, ""[0-9]+[a-f]?\."", """"))"),"")</f>
        <v/>
      </c>
      <c r="J751" s="172" t="s">
        <v>3716</v>
      </c>
      <c r="K751" s="172" t="s">
        <v>3717</v>
      </c>
      <c r="L751" s="172" t="s">
        <v>3718</v>
      </c>
      <c r="M751" s="172"/>
    </row>
    <row r="752" hidden="1"/>
    <row r="753" hidden="1">
      <c r="B753" s="260"/>
      <c r="C753" s="260"/>
      <c r="D753" s="260"/>
      <c r="E753" s="260"/>
      <c r="F753" s="182">
        <v>437.0</v>
      </c>
      <c r="G753" s="172" t="str">
        <f>IFERROR(__xludf.DUMMYFUNCTION("TRIM(REGEXREPLACE(C753, ""[0-9]+[a-f]?\."", """"))"),"")</f>
        <v/>
      </c>
      <c r="H753" s="172" t="str">
        <f>IFERROR(__xludf.DUMMYFUNCTION("TRIM(REGEXREPLACE(D753, ""[0-9]+[a-f]?\."", """"))"),"")</f>
        <v/>
      </c>
      <c r="I753" s="172" t="str">
        <f>IFERROR(__xludf.DUMMYFUNCTION("TRIM(REGEXREPLACE(E753, ""[0-9]+[a-f]?\."", """"))"),"")</f>
        <v/>
      </c>
      <c r="J753" s="172" t="s">
        <v>3722</v>
      </c>
      <c r="K753" s="172" t="s">
        <v>3723</v>
      </c>
      <c r="L753" s="172" t="s">
        <v>3724</v>
      </c>
      <c r="M753" s="172"/>
    </row>
    <row r="754" hidden="1">
      <c r="B754" s="260"/>
      <c r="C754" s="260"/>
      <c r="D754" s="260"/>
      <c r="E754" s="260"/>
      <c r="F754" s="182">
        <v>438.0</v>
      </c>
      <c r="G754" s="172" t="str">
        <f>IFERROR(__xludf.DUMMYFUNCTION("TRIM(REGEXREPLACE(C754, ""[0-9]+[a-f]?\."", """"))"),"")</f>
        <v/>
      </c>
      <c r="H754" s="172" t="str">
        <f>IFERROR(__xludf.DUMMYFUNCTION("TRIM(REGEXREPLACE(D754, ""[0-9]+[a-f]?\."", """"))"),"")</f>
        <v/>
      </c>
      <c r="I754" s="172" t="str">
        <f>IFERROR(__xludf.DUMMYFUNCTION("TRIM(REGEXREPLACE(E754, ""[0-9]+[a-f]?\."", """"))"),"")</f>
        <v/>
      </c>
      <c r="J754" s="172" t="s">
        <v>3725</v>
      </c>
      <c r="K754" s="172" t="s">
        <v>3726</v>
      </c>
      <c r="L754" s="172" t="s">
        <v>3727</v>
      </c>
      <c r="M754" s="172"/>
    </row>
    <row r="755" hidden="1">
      <c r="A755" s="281" t="s">
        <v>68</v>
      </c>
      <c r="B755" s="189" t="s">
        <v>3729</v>
      </c>
      <c r="C755" s="190"/>
      <c r="D755" s="190"/>
      <c r="E755" s="190"/>
      <c r="F755" s="182">
        <v>421.0</v>
      </c>
      <c r="G755" s="172" t="str">
        <f>IFERROR(__xludf.DUMMYFUNCTION("TRIM(REGEXREPLACE(C755, ""[0-9]+[a-f]?\."", """"))"),"")</f>
        <v/>
      </c>
      <c r="H755" s="172" t="str">
        <f>IFERROR(__xludf.DUMMYFUNCTION("TRIM(REGEXREPLACE(D755, ""[0-9]+[a-f]?\."", """"))"),"")</f>
        <v/>
      </c>
      <c r="I755" s="172" t="str">
        <f>IFERROR(__xludf.DUMMYFUNCTION("TRIM(REGEXREPLACE(E755, ""[0-9]+[a-f]?\."", """"))"),"")</f>
        <v/>
      </c>
      <c r="J755" s="172" t="s">
        <v>3732</v>
      </c>
      <c r="K755" s="172" t="s">
        <v>3733</v>
      </c>
      <c r="L755" s="172" t="s">
        <v>3734</v>
      </c>
      <c r="M755" s="172"/>
    </row>
    <row r="756" hidden="1">
      <c r="A756" s="281" t="s">
        <v>68</v>
      </c>
      <c r="B756" s="189" t="s">
        <v>3735</v>
      </c>
      <c r="C756" s="190"/>
      <c r="D756" s="190"/>
      <c r="E756" s="190"/>
      <c r="F756" s="182">
        <v>422.0</v>
      </c>
      <c r="G756" s="172" t="str">
        <f>IFERROR(__xludf.DUMMYFUNCTION("TRIM(REGEXREPLACE(C756, ""[0-9]+[a-f]?\."", """"))"),"")</f>
        <v/>
      </c>
      <c r="H756" s="172" t="str">
        <f>IFERROR(__xludf.DUMMYFUNCTION("TRIM(REGEXREPLACE(D756, ""[0-9]+[a-f]?\."", """"))"),"")</f>
        <v/>
      </c>
      <c r="I756" s="172" t="str">
        <f>IFERROR(__xludf.DUMMYFUNCTION("TRIM(REGEXREPLACE(E756, ""[0-9]+[a-f]?\."", """"))"),"")</f>
        <v/>
      </c>
      <c r="J756" s="172" t="s">
        <v>3738</v>
      </c>
      <c r="K756" s="172" t="s">
        <v>3740</v>
      </c>
      <c r="L756" s="172" t="s">
        <v>3741</v>
      </c>
    </row>
    <row r="757" hidden="1">
      <c r="A757" s="281" t="s">
        <v>68</v>
      </c>
      <c r="B757" s="189" t="s">
        <v>3742</v>
      </c>
      <c r="C757" s="190"/>
      <c r="D757" s="190"/>
      <c r="E757" s="190"/>
      <c r="F757" s="182">
        <v>423.0</v>
      </c>
      <c r="G757" s="172" t="str">
        <f>IFERROR(__xludf.DUMMYFUNCTION("TRIM(REGEXREPLACE(C757, ""[0-9]+[a-f]?\."", """"))"),"")</f>
        <v/>
      </c>
      <c r="H757" s="172" t="str">
        <f>IFERROR(__xludf.DUMMYFUNCTION("TRIM(REGEXREPLACE(D757, ""[0-9]+[a-f]?\."", """"))"),"")</f>
        <v/>
      </c>
      <c r="I757" s="172" t="str">
        <f>IFERROR(__xludf.DUMMYFUNCTION("TRIM(REGEXREPLACE(E757, ""[0-9]+[a-f]?\."", """"))"),"")</f>
        <v/>
      </c>
      <c r="J757" s="172" t="s">
        <v>3743</v>
      </c>
      <c r="K757" s="172" t="s">
        <v>3744</v>
      </c>
      <c r="L757" s="172" t="s">
        <v>3745</v>
      </c>
    </row>
    <row r="758">
      <c r="A758" s="282" t="s">
        <v>353</v>
      </c>
      <c r="B758" s="216" t="s">
        <v>3746</v>
      </c>
      <c r="C758" s="216" t="s">
        <v>3747</v>
      </c>
      <c r="D758" s="216" t="s">
        <v>3748</v>
      </c>
      <c r="E758" s="216" t="s">
        <v>3749</v>
      </c>
      <c r="F758" s="182">
        <v>113.0</v>
      </c>
      <c r="G758" s="172" t="str">
        <f>IFERROR(__xludf.DUMMYFUNCTION("TRIM(REGEXREPLACE(C758, ""[0-9]+[a-f]?\."", """"))"),"${pm_prev_add_lab}")</f>
        <v>${pm_prev_add_lab}</v>
      </c>
      <c r="H758" s="172" t="str">
        <f>IFERROR(__xludf.DUMMYFUNCTION("TRIM(REGEXREPLACE(D758, ""[0-9]+[a-f]?\."", """"))"),"${pm_prev_add_lab_fr}")</f>
        <v>${pm_prev_add_lab_fr}</v>
      </c>
      <c r="I758" s="172" t="str">
        <f>IFERROR(__xludf.DUMMYFUNCTION("TRIM(REGEXREPLACE(E758, ""[0-9]+[a-f]?\."", """"))"),"${pm_prev_add_lab_ha}")</f>
        <v>${pm_prev_add_lab_ha}</v>
      </c>
      <c r="J758" s="172" t="str">
        <f t="shared" ref="J758:L758" si="113">$F758 &amp; ". " &amp;G758</f>
        <v>113. ${pm_prev_add_lab}</v>
      </c>
      <c r="K758" s="172" t="str">
        <f t="shared" si="113"/>
        <v>113. ${pm_prev_add_lab_fr}</v>
      </c>
      <c r="L758" s="172" t="str">
        <f t="shared" si="113"/>
        <v>113. ${pm_prev_add_lab_ha}</v>
      </c>
    </row>
    <row r="759">
      <c r="A759" s="283" t="s">
        <v>246</v>
      </c>
      <c r="B759" s="254" t="s">
        <v>3753</v>
      </c>
      <c r="C759" s="254" t="s">
        <v>3754</v>
      </c>
      <c r="D759" s="254" t="s">
        <v>3755</v>
      </c>
      <c r="E759" s="254" t="s">
        <v>3756</v>
      </c>
      <c r="F759" s="182">
        <v>114.0</v>
      </c>
      <c r="G759" s="172" t="str">
        <f>IFERROR(__xludf.DUMMYFUNCTION("TRIM(REGEXREPLACE(C759, ""[0-9]+[a-f]?\."", """"))"),"How many places?")</f>
        <v>How many places?</v>
      </c>
      <c r="H759" s="172" t="str">
        <f>IFERROR(__xludf.DUMMYFUNCTION("TRIM(REGEXREPLACE(D759, ""[0-9]+[a-f]?\."", """"))"),"Combien de places ?")</f>
        <v>Combien de places ?</v>
      </c>
      <c r="I759" s="172" t="str">
        <f>IFERROR(__xludf.DUMMYFUNCTION("TRIM(REGEXREPLACE(E759, ""[0-9]+[a-f]?\."", """"))"),"Wurare nawa?")</f>
        <v>Wurare nawa?</v>
      </c>
      <c r="J759" s="172" t="str">
        <f t="shared" ref="J759:L759" si="114">$F759 &amp; ". " &amp;G759</f>
        <v>114. How many places?</v>
      </c>
      <c r="K759" s="172" t="str">
        <f t="shared" si="114"/>
        <v>114. Combien de places ?</v>
      </c>
      <c r="L759" s="172" t="str">
        <f t="shared" si="114"/>
        <v>114. Wurare nawa?</v>
      </c>
    </row>
    <row r="760">
      <c r="A760" s="282" t="s">
        <v>353</v>
      </c>
      <c r="B760" s="249" t="s">
        <v>3757</v>
      </c>
      <c r="C760" s="216" t="s">
        <v>3758</v>
      </c>
      <c r="D760" s="216" t="s">
        <v>3759</v>
      </c>
      <c r="E760" s="216" t="s">
        <v>3760</v>
      </c>
      <c r="F760" s="182">
        <v>115.0</v>
      </c>
      <c r="G760" s="172" t="str">
        <f>IFERROR(__xludf.DUMMYFUNCTION("TRIM(REGEXREPLACE(C760, ""[0-9]+[a-f]?\."", """"))"),"Can you confirm that there were exactly ${pm_prev_add_num} locations that you traveled to ${period_bl_fu4} that you failed to report in previous surveys?")</f>
        <v>Can you confirm that there were exactly ${pm_prev_add_num} locations that you traveled to ${period_bl_fu4} that you failed to report in previous surveys?</v>
      </c>
      <c r="H760" s="172" t="str">
        <f>IFERROR(__xludf.DUMMYFUNCTION("TRIM(REGEXREPLACE(D760, ""[0-9]+[a-f]?\."", """"))"),"Pouvez-vous confirmer qu'il y avait exactement ${pm_prev_add_num} endroits où vous avez voyagé ${period_french_bl_fu4} que vous n'avez pas signalés dans les enquêtes précédentes ?")</f>
        <v>Pouvez-vous confirmer qu'il y avait exactement ${pm_prev_add_num} endroits où vous avez voyagé ${period_french_bl_fu4} que vous n'avez pas signalés dans les enquêtes précédentes ?</v>
      </c>
      <c r="I760" s="172" t="str">
        <f>IFERROR(__xludf.DUMMYFUNCTION("TRIM(REGEXREPLACE(E760, ""[0-9]+[a-f]?\."", """"))"),"Shin za ku iya tabbatar da cewa akwai daidai wuraren ${pm_prev_add_num} da kuka yi tafiya ${period_hausa_bl_fu4} da kuka kasa bayar da rahoto a binciken da aka yi a baya?")</f>
        <v>Shin za ku iya tabbatar da cewa akwai daidai wuraren ${pm_prev_add_num} da kuka yi tafiya ${period_hausa_bl_fu4} da kuka kasa bayar da rahoto a binciken da aka yi a baya?</v>
      </c>
      <c r="J760" s="172" t="str">
        <f t="shared" ref="J760:L760" si="115">$F760 &amp; ". " &amp;G760</f>
        <v>115. Can you confirm that there were exactly ${pm_prev_add_num} locations that you traveled to ${period_bl_fu4} that you failed to report in previous surveys?</v>
      </c>
      <c r="K760" s="172" t="str">
        <f t="shared" si="115"/>
        <v>115. Pouvez-vous confirmer qu'il y avait exactement ${pm_prev_add_num} endroits où vous avez voyagé ${period_french_bl_fu4} que vous n'avez pas signalés dans les enquêtes précédentes ?</v>
      </c>
      <c r="L760" s="172" t="str">
        <f t="shared" si="115"/>
        <v>115. Shin za ku iya tabbatar da cewa akwai daidai wuraren ${pm_prev_add_num} da kuka yi tafiya ${period_hausa_bl_fu4} da kuka kasa bayar da rahoto a binciken da aka yi a baya?</v>
      </c>
      <c r="M760" s="172"/>
    </row>
    <row r="761" hidden="1">
      <c r="A761" s="285"/>
      <c r="B761" s="257"/>
      <c r="C761" s="174"/>
      <c r="D761" s="174"/>
      <c r="E761" s="174"/>
      <c r="F761" s="182">
        <v>427.0</v>
      </c>
      <c r="G761" s="172" t="str">
        <f>IFERROR(__xludf.DUMMYFUNCTION("TRIM(REGEXREPLACE(C761, ""[0-9]+[a-f]?\."", """"))"),"")</f>
        <v/>
      </c>
      <c r="H761" s="172" t="str">
        <f>IFERROR(__xludf.DUMMYFUNCTION("TRIM(REGEXREPLACE(D761, ""[0-9]+[a-f]?\."", """"))"),"")</f>
        <v/>
      </c>
      <c r="I761" s="172" t="str">
        <f>IFERROR(__xludf.DUMMYFUNCTION("TRIM(REGEXREPLACE(E761, ""[0-9]+[a-f]?\."", """"))"),"")</f>
        <v/>
      </c>
      <c r="J761" s="172" t="s">
        <v>3765</v>
      </c>
      <c r="K761" s="172" t="s">
        <v>3766</v>
      </c>
      <c r="L761" s="172" t="s">
        <v>3767</v>
      </c>
    </row>
    <row r="762" hidden="1">
      <c r="A762" s="286" t="s">
        <v>1042</v>
      </c>
      <c r="B762" s="287" t="s">
        <v>3768</v>
      </c>
      <c r="C762" s="256" t="s">
        <v>3769</v>
      </c>
      <c r="D762" s="257"/>
      <c r="E762" s="257"/>
      <c r="F762" s="182">
        <v>428.0</v>
      </c>
      <c r="G762" s="172" t="str">
        <f>IFERROR(__xludf.DUMMYFUNCTION("TRIM(REGEXREPLACE(C762, ""[0-9]+[a-f]?\."", """"))"),"Locations")</f>
        <v>Locations</v>
      </c>
      <c r="H762" s="172" t="str">
        <f>IFERROR(__xludf.DUMMYFUNCTION("TRIM(REGEXREPLACE(D762, ""[0-9]+[a-f]?\."", """"))"),"")</f>
        <v/>
      </c>
      <c r="I762" s="172" t="str">
        <f>IFERROR(__xludf.DUMMYFUNCTION("TRIM(REGEXREPLACE(E762, ""[0-9]+[a-f]?\."", """"))"),"")</f>
        <v/>
      </c>
      <c r="J762" s="172" t="s">
        <v>3773</v>
      </c>
      <c r="K762" s="172" t="s">
        <v>3774</v>
      </c>
      <c r="L762" s="172" t="s">
        <v>3775</v>
      </c>
      <c r="M762" s="172"/>
    </row>
    <row r="763" hidden="1">
      <c r="A763" s="281" t="s">
        <v>68</v>
      </c>
      <c r="B763" s="266" t="s">
        <v>3776</v>
      </c>
      <c r="C763" s="190"/>
      <c r="D763" s="190"/>
      <c r="E763" s="190"/>
      <c r="F763" s="182">
        <v>429.0</v>
      </c>
      <c r="G763" s="172" t="str">
        <f>IFERROR(__xludf.DUMMYFUNCTION("TRIM(REGEXREPLACE(C763, ""[0-9]+[a-f]?\."", """"))"),"")</f>
        <v/>
      </c>
      <c r="H763" s="172" t="str">
        <f>IFERROR(__xludf.DUMMYFUNCTION("TRIM(REGEXREPLACE(D763, ""[0-9]+[a-f]?\."", """"))"),"")</f>
        <v/>
      </c>
      <c r="I763" s="172" t="str">
        <f>IFERROR(__xludf.DUMMYFUNCTION("TRIM(REGEXREPLACE(E763, ""[0-9]+[a-f]?\."", """"))"),"")</f>
        <v/>
      </c>
      <c r="J763" s="172" t="s">
        <v>3777</v>
      </c>
      <c r="K763" s="172" t="s">
        <v>3778</v>
      </c>
      <c r="L763" s="172" t="s">
        <v>3779</v>
      </c>
      <c r="M763" s="172"/>
    </row>
    <row r="764" hidden="1">
      <c r="A764" s="281" t="s">
        <v>68</v>
      </c>
      <c r="B764" s="266" t="s">
        <v>3780</v>
      </c>
      <c r="C764" s="190"/>
      <c r="D764" s="190"/>
      <c r="E764" s="190"/>
      <c r="F764" s="182">
        <v>430.0</v>
      </c>
      <c r="G764" s="172" t="str">
        <f>IFERROR(__xludf.DUMMYFUNCTION("TRIM(REGEXREPLACE(C764, ""[0-9]+[a-f]?\."", """"))"),"")</f>
        <v/>
      </c>
      <c r="H764" s="172" t="str">
        <f>IFERROR(__xludf.DUMMYFUNCTION("TRIM(REGEXREPLACE(D764, ""[0-9]+[a-f]?\."", """"))"),"")</f>
        <v/>
      </c>
      <c r="I764" s="172" t="str">
        <f>IFERROR(__xludf.DUMMYFUNCTION("TRIM(REGEXREPLACE(E764, ""[0-9]+[a-f]?\."", """"))"),"")</f>
        <v/>
      </c>
      <c r="J764" s="172" t="s">
        <v>3784</v>
      </c>
      <c r="K764" s="172" t="s">
        <v>3785</v>
      </c>
      <c r="L764" s="172" t="s">
        <v>3786</v>
      </c>
    </row>
    <row r="765" hidden="1">
      <c r="A765" s="281" t="s">
        <v>68</v>
      </c>
      <c r="B765" s="266" t="s">
        <v>3787</v>
      </c>
      <c r="C765" s="190"/>
      <c r="D765" s="190"/>
      <c r="E765" s="190"/>
      <c r="F765" s="182">
        <v>431.0</v>
      </c>
      <c r="G765" s="172" t="str">
        <f>IFERROR(__xludf.DUMMYFUNCTION("TRIM(REGEXREPLACE(C765, ""[0-9]+[a-f]?\."", """"))"),"")</f>
        <v/>
      </c>
      <c r="H765" s="172" t="str">
        <f>IFERROR(__xludf.DUMMYFUNCTION("TRIM(REGEXREPLACE(D765, ""[0-9]+[a-f]?\."", """"))"),"")</f>
        <v/>
      </c>
      <c r="I765" s="172" t="str">
        <f>IFERROR(__xludf.DUMMYFUNCTION("TRIM(REGEXREPLACE(E765, ""[0-9]+[a-f]?\."", """"))"),"")</f>
        <v/>
      </c>
      <c r="J765" s="172" t="s">
        <v>3788</v>
      </c>
      <c r="K765" s="172" t="s">
        <v>3789</v>
      </c>
      <c r="L765" s="172" t="s">
        <v>3790</v>
      </c>
      <c r="M765" s="172"/>
    </row>
    <row r="766" hidden="1">
      <c r="A766" s="281" t="s">
        <v>68</v>
      </c>
      <c r="B766" s="266" t="s">
        <v>3791</v>
      </c>
      <c r="C766" s="190"/>
      <c r="D766" s="190"/>
      <c r="E766" s="190"/>
      <c r="F766" s="182">
        <v>432.0</v>
      </c>
      <c r="G766" s="172" t="str">
        <f>IFERROR(__xludf.DUMMYFUNCTION("TRIM(REGEXREPLACE(C766, ""[0-9]+[a-f]?\."", """"))"),"")</f>
        <v/>
      </c>
      <c r="H766" s="172" t="str">
        <f>IFERROR(__xludf.DUMMYFUNCTION("TRIM(REGEXREPLACE(D766, ""[0-9]+[a-f]?\."", """"))"),"")</f>
        <v/>
      </c>
      <c r="I766" s="172" t="str">
        <f>IFERROR(__xludf.DUMMYFUNCTION("TRIM(REGEXREPLACE(E766, ""[0-9]+[a-f]?\."", """"))"),"")</f>
        <v/>
      </c>
      <c r="J766" s="172" t="s">
        <v>3795</v>
      </c>
      <c r="K766" s="172" t="s">
        <v>3796</v>
      </c>
      <c r="L766" s="172" t="s">
        <v>3797</v>
      </c>
    </row>
    <row r="767" hidden="1">
      <c r="B767" s="260"/>
      <c r="C767" s="260"/>
      <c r="D767" s="260"/>
      <c r="E767" s="260"/>
      <c r="F767" s="182">
        <v>456.0</v>
      </c>
      <c r="G767" s="172" t="str">
        <f>IFERROR(__xludf.DUMMYFUNCTION("TRIM(REGEXREPLACE(C767, ""[0-9]+[a-f]?\."", """"))"),"")</f>
        <v/>
      </c>
      <c r="H767" s="172" t="str">
        <f>IFERROR(__xludf.DUMMYFUNCTION("TRIM(REGEXREPLACE(D767, ""[0-9]+[a-f]?\."", """"))"),"")</f>
        <v/>
      </c>
      <c r="I767" s="172" t="str">
        <f>IFERROR(__xludf.DUMMYFUNCTION("TRIM(REGEXREPLACE(E767, ""[0-9]+[a-f]?\."", """"))"),"")</f>
        <v/>
      </c>
      <c r="J767" s="172" t="s">
        <v>3798</v>
      </c>
      <c r="K767" s="172" t="s">
        <v>3799</v>
      </c>
      <c r="L767" s="172" t="s">
        <v>3800</v>
      </c>
    </row>
    <row r="768" hidden="1">
      <c r="B768" s="260"/>
      <c r="C768" s="260"/>
      <c r="D768" s="260"/>
      <c r="E768" s="260"/>
      <c r="F768" s="182">
        <v>457.0</v>
      </c>
      <c r="G768" s="172" t="str">
        <f>IFERROR(__xludf.DUMMYFUNCTION("TRIM(REGEXREPLACE(C768, ""[0-9]+[a-f]?\."", """"))"),"")</f>
        <v/>
      </c>
      <c r="H768" s="172" t="str">
        <f>IFERROR(__xludf.DUMMYFUNCTION("TRIM(REGEXREPLACE(D768, ""[0-9]+[a-f]?\."", """"))"),"")</f>
        <v/>
      </c>
      <c r="I768" s="172" t="str">
        <f>IFERROR(__xludf.DUMMYFUNCTION("TRIM(REGEXREPLACE(E768, ""[0-9]+[a-f]?\."", """"))"),"")</f>
        <v/>
      </c>
      <c r="J768" s="172" t="s">
        <v>3801</v>
      </c>
      <c r="K768" s="172" t="s">
        <v>3802</v>
      </c>
      <c r="L768" s="172" t="s">
        <v>3803</v>
      </c>
    </row>
    <row r="769" hidden="1">
      <c r="A769" s="281" t="s">
        <v>68</v>
      </c>
      <c r="B769" s="266" t="s">
        <v>3804</v>
      </c>
      <c r="C769" s="190"/>
      <c r="D769" s="190"/>
      <c r="E769" s="190"/>
      <c r="F769" s="182">
        <v>433.0</v>
      </c>
      <c r="G769" s="172" t="str">
        <f>IFERROR(__xludf.DUMMYFUNCTION("TRIM(REGEXREPLACE(C769, ""[0-9]+[a-f]?\."", """"))"),"")</f>
        <v/>
      </c>
      <c r="H769" s="172" t="str">
        <f>IFERROR(__xludf.DUMMYFUNCTION("TRIM(REGEXREPLACE(D769, ""[0-9]+[a-f]?\."", """"))"),"")</f>
        <v/>
      </c>
      <c r="I769" s="172" t="str">
        <f>IFERROR(__xludf.DUMMYFUNCTION("TRIM(REGEXREPLACE(E769, ""[0-9]+[a-f]?\."", """"))"),"")</f>
        <v/>
      </c>
      <c r="J769" s="172" t="s">
        <v>3805</v>
      </c>
      <c r="K769" s="172" t="s">
        <v>3806</v>
      </c>
      <c r="L769" s="172" t="s">
        <v>3806</v>
      </c>
    </row>
    <row r="770" hidden="1">
      <c r="A770" s="281" t="s">
        <v>68</v>
      </c>
      <c r="B770" s="266" t="s">
        <v>3807</v>
      </c>
      <c r="C770" s="190"/>
      <c r="D770" s="190"/>
      <c r="E770" s="190"/>
      <c r="F770" s="182">
        <v>434.0</v>
      </c>
      <c r="G770" s="172" t="str">
        <f>IFERROR(__xludf.DUMMYFUNCTION("TRIM(REGEXREPLACE(C770, ""[0-9]+[a-f]?\."", """"))"),"")</f>
        <v/>
      </c>
      <c r="H770" s="172" t="str">
        <f>IFERROR(__xludf.DUMMYFUNCTION("TRIM(REGEXREPLACE(D770, ""[0-9]+[a-f]?\."", """"))"),"")</f>
        <v/>
      </c>
      <c r="I770" s="172" t="str">
        <f>IFERROR(__xludf.DUMMYFUNCTION("TRIM(REGEXREPLACE(E770, ""[0-9]+[a-f]?\."", """"))"),"")</f>
        <v/>
      </c>
      <c r="J770" s="172" t="s">
        <v>3808</v>
      </c>
      <c r="K770" s="172" t="s">
        <v>3809</v>
      </c>
      <c r="L770" s="172" t="s">
        <v>3810</v>
      </c>
      <c r="M770" s="172"/>
    </row>
    <row r="771" hidden="1">
      <c r="B771" s="260"/>
      <c r="C771" s="260"/>
      <c r="D771" s="260"/>
      <c r="E771" s="260"/>
      <c r="F771" s="182">
        <v>460.0</v>
      </c>
      <c r="G771" s="172" t="str">
        <f>IFERROR(__xludf.DUMMYFUNCTION("TRIM(REGEXREPLACE(C771, ""[0-9]+[a-f]?\."", """"))"),"")</f>
        <v/>
      </c>
      <c r="H771" s="172" t="str">
        <f>IFERROR(__xludf.DUMMYFUNCTION("TRIM(REGEXREPLACE(D771, ""[0-9]+[a-f]?\."", """"))"),"")</f>
        <v/>
      </c>
      <c r="I771" s="172" t="str">
        <f>IFERROR(__xludf.DUMMYFUNCTION("TRIM(REGEXREPLACE(E771, ""[0-9]+[a-f]?\."", """"))"),"")</f>
        <v/>
      </c>
      <c r="J771" s="172" t="s">
        <v>3812</v>
      </c>
      <c r="K771" s="172" t="s">
        <v>3814</v>
      </c>
      <c r="L771" s="172" t="s">
        <v>3815</v>
      </c>
      <c r="M771" s="172"/>
    </row>
    <row r="772" hidden="1">
      <c r="B772" s="260"/>
      <c r="C772" s="260"/>
      <c r="D772" s="260"/>
      <c r="E772" s="260"/>
      <c r="F772" s="182">
        <v>461.0</v>
      </c>
      <c r="G772" s="172" t="str">
        <f>IFERROR(__xludf.DUMMYFUNCTION("TRIM(REGEXREPLACE(C772, ""[0-9]+[a-f]?\."", """"))"),"")</f>
        <v/>
      </c>
      <c r="H772" s="172" t="str">
        <f>IFERROR(__xludf.DUMMYFUNCTION("TRIM(REGEXREPLACE(D772, ""[0-9]+[a-f]?\."", """"))"),"")</f>
        <v/>
      </c>
      <c r="I772" s="172" t="str">
        <f>IFERROR(__xludf.DUMMYFUNCTION("TRIM(REGEXREPLACE(E772, ""[0-9]+[a-f]?\."", """"))"),"")</f>
        <v/>
      </c>
      <c r="J772" s="172" t="s">
        <v>3818</v>
      </c>
      <c r="K772" s="172" t="s">
        <v>3819</v>
      </c>
      <c r="L772" s="172" t="s">
        <v>3820</v>
      </c>
      <c r="M772" s="172"/>
    </row>
    <row r="773">
      <c r="A773" s="282" t="s">
        <v>353</v>
      </c>
      <c r="B773" s="249" t="s">
        <v>3821</v>
      </c>
      <c r="C773" s="216" t="s">
        <v>3822</v>
      </c>
      <c r="D773" s="216" t="s">
        <v>3823</v>
      </c>
      <c r="E773" s="216" t="s">
        <v>3824</v>
      </c>
      <c r="F773" s="182">
        <v>116.0</v>
      </c>
      <c r="G773" s="172" t="str">
        <f>IFERROR(__xludf.DUMMYFUNCTION("TRIM(REGEXREPLACE(C773, ""[0-9]+[a-f]?\."", """"))"),"Where were you ${pm_previous_answer}
Enumerator: Is location in Niger?")</f>
        <v>Where were you ${pm_previous_answer}
Enumerator: Is location in Niger?</v>
      </c>
      <c r="H773" s="172" t="str">
        <f>IFERROR(__xludf.DUMMYFUNCTION("TRIM(REGEXREPLACE(D773, ""[0-9]+[a-f]?\."", """"))"),"Où étiez-vous ${pm_previous_answer_fr} 
Enquêteur : La localité est-elle au Niger ?")</f>
        <v>Où étiez-vous ${pm_previous_answer_fr} 
Enquêteur : La localité est-elle au Niger ?</v>
      </c>
      <c r="I773" s="172" t="str">
        <f>IFERROR(__xludf.DUMMYFUNCTION("TRIM(REGEXREPLACE(E773, ""[0-9]+[a-f]?\."", """"))"),"A ina kuka ${pm_previous_answer_hausa}
Ɗan bincike : Ko wurin a Nijar ne?")</f>
        <v>A ina kuka ${pm_previous_answer_hausa}
Ɗan bincike : Ko wurin a Nijar ne?</v>
      </c>
      <c r="J773" s="172" t="str">
        <f t="shared" ref="J773:L773" si="116">$F773 &amp; ". " &amp;G773</f>
        <v>116. Where were you ${pm_previous_answer}
Enumerator: Is location in Niger?</v>
      </c>
      <c r="K773" s="172" t="str">
        <f t="shared" si="116"/>
        <v>116. Où étiez-vous ${pm_previous_answer_fr} 
Enquêteur : La localité est-elle au Niger ?</v>
      </c>
      <c r="L773" s="172" t="str">
        <f t="shared" si="116"/>
        <v>116. A ina kuka ${pm_previous_answer_hausa}
Ɗan bincike : Ko wurin a Nijar ne?</v>
      </c>
    </row>
    <row r="774">
      <c r="A774" s="282" t="s">
        <v>481</v>
      </c>
      <c r="B774" s="249" t="s">
        <v>3825</v>
      </c>
      <c r="C774" s="216" t="s">
        <v>3826</v>
      </c>
      <c r="D774" s="216" t="s">
        <v>3827</v>
      </c>
      <c r="E774" s="216" t="s">
        <v>3828</v>
      </c>
      <c r="F774" s="182">
        <v>117.0</v>
      </c>
      <c r="G774" s="172" t="str">
        <f>IFERROR(__xludf.DUMMYFUNCTION("TRIM(REGEXREPLACE(C774, ""[0-9]+[a-f]?\."", """"))"),"Enumerator: Select region in Niger")</f>
        <v>Enumerator: Select region in Niger</v>
      </c>
      <c r="H774" s="172" t="str">
        <f>IFERROR(__xludf.DUMMYFUNCTION("TRIM(REGEXREPLACE(D774, ""[0-9]+[a-f]?\."", """"))"),"Enquêteur : Sélectionnez une région au Niger")</f>
        <v>Enquêteur : Sélectionnez une région au Niger</v>
      </c>
      <c r="I774" s="172" t="str">
        <f>IFERROR(__xludf.DUMMYFUNCTION("TRIM(REGEXREPLACE(E774, ""[0-9]+[a-f]?\."", """"))"),"Ɗan bincike: Zaɓi Jaha ɗaya a Nijar")</f>
        <v>Ɗan bincike: Zaɓi Jaha ɗaya a Nijar</v>
      </c>
      <c r="J774" s="172" t="str">
        <f t="shared" ref="J774:L774" si="117">$F774 &amp; ". " &amp;G774</f>
        <v>117. Enumerator: Select region in Niger</v>
      </c>
      <c r="K774" s="172" t="str">
        <f t="shared" si="117"/>
        <v>117. Enquêteur : Sélectionnez une région au Niger</v>
      </c>
      <c r="L774" s="172" t="str">
        <f t="shared" si="117"/>
        <v>117. Ɗan bincike: Zaɓi Jaha ɗaya a Nijar</v>
      </c>
      <c r="M774" s="172"/>
    </row>
    <row r="775">
      <c r="A775" s="282" t="s">
        <v>489</v>
      </c>
      <c r="B775" s="249" t="s">
        <v>3832</v>
      </c>
      <c r="C775" s="216" t="s">
        <v>3833</v>
      </c>
      <c r="D775" s="216" t="s">
        <v>3834</v>
      </c>
      <c r="E775" s="216" t="s">
        <v>3835</v>
      </c>
      <c r="F775" s="182">
        <v>118.0</v>
      </c>
      <c r="G775" s="172" t="str">
        <f>IFERROR(__xludf.DUMMYFUNCTION("TRIM(REGEXREPLACE(C775, ""[0-9]+[a-f]?\."", """"))"),"Enumerator: Select country")</f>
        <v>Enumerator: Select country</v>
      </c>
      <c r="H775" s="172" t="str">
        <f>IFERROR(__xludf.DUMMYFUNCTION("TRIM(REGEXREPLACE(D775, ""[0-9]+[a-f]?\."", """"))"),"Enquêteur : sélectionnez le pays")</f>
        <v>Enquêteur : sélectionnez le pays</v>
      </c>
      <c r="I775" s="172" t="str">
        <f>IFERROR(__xludf.DUMMYFUNCTION("TRIM(REGEXREPLACE(E775, ""[0-9]+[a-f]?\."", """"))"),"Ɗan bincike: Zaɓi ƙasa")</f>
        <v>Ɗan bincike: Zaɓi ƙasa</v>
      </c>
      <c r="J775" s="172" t="str">
        <f t="shared" ref="J775:L775" si="118">$F775 &amp; ". " &amp;G775</f>
        <v>118. Enumerator: Select country</v>
      </c>
      <c r="K775" s="172" t="str">
        <f t="shared" si="118"/>
        <v>118. Enquêteur : sélectionnez le pays</v>
      </c>
      <c r="L775" s="172" t="str">
        <f t="shared" si="118"/>
        <v>118. Ɗan bincike: Zaɓi ƙasa</v>
      </c>
      <c r="M775" s="172"/>
    </row>
    <row r="776" hidden="1">
      <c r="B776" s="260"/>
      <c r="C776" s="260"/>
      <c r="D776" s="260"/>
      <c r="E776" s="260"/>
      <c r="F776" s="182">
        <v>464.0</v>
      </c>
      <c r="G776" s="172" t="str">
        <f>IFERROR(__xludf.DUMMYFUNCTION("TRIM(REGEXREPLACE(C776, ""[0-9]+[a-f]?\."", """"))"),"")</f>
        <v/>
      </c>
      <c r="H776" s="172" t="str">
        <f>IFERROR(__xludf.DUMMYFUNCTION("TRIM(REGEXREPLACE(D776, ""[0-9]+[a-f]?\."", """"))"),"")</f>
        <v/>
      </c>
      <c r="I776" s="172" t="str">
        <f>IFERROR(__xludf.DUMMYFUNCTION("TRIM(REGEXREPLACE(E776, ""[0-9]+[a-f]?\."", """"))"),"")</f>
        <v/>
      </c>
      <c r="J776" s="172" t="s">
        <v>3836</v>
      </c>
      <c r="K776" s="172" t="s">
        <v>3837</v>
      </c>
      <c r="L776" s="172" t="s">
        <v>3839</v>
      </c>
      <c r="M776" s="172"/>
    </row>
    <row r="777" hidden="1">
      <c r="B777" s="260"/>
      <c r="C777" s="260"/>
      <c r="D777" s="260"/>
      <c r="E777" s="260"/>
      <c r="F777" s="182">
        <v>465.0</v>
      </c>
      <c r="G777" s="172" t="str">
        <f>IFERROR(__xludf.DUMMYFUNCTION("TRIM(REGEXREPLACE(C777, ""[0-9]+[a-f]?\."", """"))"),"")</f>
        <v/>
      </c>
      <c r="H777" s="172" t="str">
        <f>IFERROR(__xludf.DUMMYFUNCTION("TRIM(REGEXREPLACE(D777, ""[0-9]+[a-f]?\."", """"))"),"")</f>
        <v/>
      </c>
      <c r="I777" s="172" t="str">
        <f>IFERROR(__xludf.DUMMYFUNCTION("TRIM(REGEXREPLACE(E777, ""[0-9]+[a-f]?\."", """"))"),"")</f>
        <v/>
      </c>
      <c r="J777" s="172" t="s">
        <v>3842</v>
      </c>
      <c r="K777" s="172" t="s">
        <v>3843</v>
      </c>
      <c r="L777" s="172" t="s">
        <v>3844</v>
      </c>
    </row>
    <row r="778" hidden="1">
      <c r="B778" s="260"/>
      <c r="C778" s="260"/>
      <c r="D778" s="260"/>
      <c r="E778" s="260"/>
      <c r="F778" s="182">
        <v>466.0</v>
      </c>
      <c r="G778" s="172" t="str">
        <f>IFERROR(__xludf.DUMMYFUNCTION("TRIM(REGEXREPLACE(C778, ""[0-9]+[a-f]?\."", """"))"),"")</f>
        <v/>
      </c>
      <c r="H778" s="172" t="str">
        <f>IFERROR(__xludf.DUMMYFUNCTION("TRIM(REGEXREPLACE(D778, ""[0-9]+[a-f]?\."", """"))"),"")</f>
        <v/>
      </c>
      <c r="I778" s="172" t="str">
        <f>IFERROR(__xludf.DUMMYFUNCTION("TRIM(REGEXREPLACE(E778, ""[0-9]+[a-f]?\."", """"))"),"")</f>
        <v/>
      </c>
      <c r="J778" s="172" t="s">
        <v>3845</v>
      </c>
      <c r="K778" s="172" t="s">
        <v>3847</v>
      </c>
      <c r="L778" s="172" t="s">
        <v>3849</v>
      </c>
    </row>
    <row r="779" hidden="1">
      <c r="B779" s="260"/>
      <c r="C779" s="260"/>
      <c r="D779" s="260"/>
      <c r="E779" s="260"/>
      <c r="F779" s="182">
        <v>467.0</v>
      </c>
      <c r="G779" s="172" t="str">
        <f>IFERROR(__xludf.DUMMYFUNCTION("TRIM(REGEXREPLACE(C779, ""[0-9]+[a-f]?\."", """"))"),"")</f>
        <v/>
      </c>
      <c r="H779" s="172" t="str">
        <f>IFERROR(__xludf.DUMMYFUNCTION("TRIM(REGEXREPLACE(D779, ""[0-9]+[a-f]?\."", """"))"),"")</f>
        <v/>
      </c>
      <c r="I779" s="172" t="str">
        <f>IFERROR(__xludf.DUMMYFUNCTION("TRIM(REGEXREPLACE(E779, ""[0-9]+[a-f]?\."", """"))"),"")</f>
        <v/>
      </c>
      <c r="J779" s="172" t="s">
        <v>3850</v>
      </c>
      <c r="K779" s="172" t="s">
        <v>3851</v>
      </c>
      <c r="L779" s="172" t="s">
        <v>3852</v>
      </c>
    </row>
    <row r="780" hidden="1">
      <c r="B780" s="260"/>
      <c r="C780" s="260"/>
      <c r="D780" s="260"/>
      <c r="E780" s="260"/>
      <c r="F780" s="182">
        <v>468.0</v>
      </c>
      <c r="G780" s="172" t="str">
        <f>IFERROR(__xludf.DUMMYFUNCTION("TRIM(REGEXREPLACE(C780, ""[0-9]+[a-f]?\."", """"))"),"")</f>
        <v/>
      </c>
      <c r="H780" s="172" t="str">
        <f>IFERROR(__xludf.DUMMYFUNCTION("TRIM(REGEXREPLACE(D780, ""[0-9]+[a-f]?\."", """"))"),"")</f>
        <v/>
      </c>
      <c r="I780" s="172" t="str">
        <f>IFERROR(__xludf.DUMMYFUNCTION("TRIM(REGEXREPLACE(E780, ""[0-9]+[a-f]?\."", """"))"),"")</f>
        <v/>
      </c>
      <c r="J780" s="172" t="s">
        <v>3853</v>
      </c>
      <c r="K780" s="172" t="s">
        <v>3854</v>
      </c>
      <c r="L780" s="172" t="s">
        <v>3855</v>
      </c>
      <c r="M780" s="172"/>
    </row>
    <row r="781" hidden="1">
      <c r="B781" s="260"/>
      <c r="C781" s="260"/>
      <c r="D781" s="260"/>
      <c r="E781" s="260"/>
      <c r="F781" s="182">
        <v>469.0</v>
      </c>
      <c r="G781" s="172" t="str">
        <f>IFERROR(__xludf.DUMMYFUNCTION("TRIM(REGEXREPLACE(C781, ""[0-9]+[a-f]?\."", """"))"),"")</f>
        <v/>
      </c>
      <c r="H781" s="172" t="str">
        <f>IFERROR(__xludf.DUMMYFUNCTION("TRIM(REGEXREPLACE(D781, ""[0-9]+[a-f]?\."", """"))"),"")</f>
        <v/>
      </c>
      <c r="I781" s="172" t="str">
        <f>IFERROR(__xludf.DUMMYFUNCTION("TRIM(REGEXREPLACE(E781, ""[0-9]+[a-f]?\."", """"))"),"")</f>
        <v/>
      </c>
      <c r="J781" s="172" t="s">
        <v>3856</v>
      </c>
      <c r="K781" s="172" t="s">
        <v>3857</v>
      </c>
      <c r="L781" s="172" t="s">
        <v>3858</v>
      </c>
      <c r="M781" s="172"/>
    </row>
    <row r="782" hidden="1">
      <c r="B782" s="260"/>
      <c r="C782" s="260"/>
      <c r="D782" s="260"/>
      <c r="E782" s="260"/>
      <c r="F782" s="182">
        <v>470.0</v>
      </c>
      <c r="G782" s="172" t="str">
        <f>IFERROR(__xludf.DUMMYFUNCTION("TRIM(REGEXREPLACE(C782, ""[0-9]+[a-f]?\."", """"))"),"")</f>
        <v/>
      </c>
      <c r="H782" s="172" t="str">
        <f>IFERROR(__xludf.DUMMYFUNCTION("TRIM(REGEXREPLACE(D782, ""[0-9]+[a-f]?\."", """"))"),"")</f>
        <v/>
      </c>
      <c r="I782" s="172" t="str">
        <f>IFERROR(__xludf.DUMMYFUNCTION("TRIM(REGEXREPLACE(E782, ""[0-9]+[a-f]?\."", """"))"),"")</f>
        <v/>
      </c>
      <c r="J782" s="172" t="s">
        <v>3859</v>
      </c>
      <c r="K782" s="172" t="s">
        <v>3860</v>
      </c>
      <c r="L782" s="172" t="s">
        <v>3861</v>
      </c>
      <c r="M782" s="172"/>
    </row>
    <row r="783" hidden="1">
      <c r="B783" s="260"/>
      <c r="C783" s="260"/>
      <c r="D783" s="260"/>
      <c r="E783" s="260"/>
      <c r="F783" s="182">
        <v>471.0</v>
      </c>
      <c r="G783" s="172" t="str">
        <f>IFERROR(__xludf.DUMMYFUNCTION("TRIM(REGEXREPLACE(C783, ""[0-9]+[a-f]?\."", """"))"),"")</f>
        <v/>
      </c>
      <c r="H783" s="172" t="str">
        <f>IFERROR(__xludf.DUMMYFUNCTION("TRIM(REGEXREPLACE(D783, ""[0-9]+[a-f]?\."", """"))"),"")</f>
        <v/>
      </c>
      <c r="I783" s="172" t="str">
        <f>IFERROR(__xludf.DUMMYFUNCTION("TRIM(REGEXREPLACE(E783, ""[0-9]+[a-f]?\."", """"))"),"")</f>
        <v/>
      </c>
      <c r="J783" s="172" t="s">
        <v>3862</v>
      </c>
      <c r="K783" s="172" t="s">
        <v>3863</v>
      </c>
      <c r="L783" s="172" t="s">
        <v>3864</v>
      </c>
      <c r="M783" s="172"/>
    </row>
    <row r="784" hidden="1">
      <c r="B784" s="260"/>
      <c r="C784" s="260"/>
      <c r="D784" s="260"/>
      <c r="E784" s="260"/>
      <c r="F784" s="182">
        <v>472.0</v>
      </c>
      <c r="G784" s="172" t="str">
        <f>IFERROR(__xludf.DUMMYFUNCTION("TRIM(REGEXREPLACE(C784, ""[0-9]+[a-f]?\."", """"))"),"")</f>
        <v/>
      </c>
      <c r="H784" s="172" t="str">
        <f>IFERROR(__xludf.DUMMYFUNCTION("TRIM(REGEXREPLACE(D784, ""[0-9]+[a-f]?\."", """"))"),"")</f>
        <v/>
      </c>
      <c r="I784" s="172" t="str">
        <f>IFERROR(__xludf.DUMMYFUNCTION("TRIM(REGEXREPLACE(E784, ""[0-9]+[a-f]?\."", """"))"),"")</f>
        <v/>
      </c>
      <c r="J784" s="172" t="s">
        <v>3866</v>
      </c>
      <c r="K784" s="172" t="s">
        <v>3868</v>
      </c>
      <c r="L784" s="172" t="s">
        <v>3869</v>
      </c>
      <c r="M784" s="172"/>
    </row>
    <row r="785" hidden="1">
      <c r="B785" s="260"/>
      <c r="C785" s="260"/>
      <c r="D785" s="260"/>
      <c r="E785" s="260"/>
      <c r="F785" s="182">
        <v>473.0</v>
      </c>
      <c r="G785" s="172" t="str">
        <f>IFERROR(__xludf.DUMMYFUNCTION("TRIM(REGEXREPLACE(C785, ""[0-9]+[a-f]?\."", """"))"),"")</f>
        <v/>
      </c>
      <c r="H785" s="172" t="str">
        <f>IFERROR(__xludf.DUMMYFUNCTION("TRIM(REGEXREPLACE(D785, ""[0-9]+[a-f]?\."", """"))"),"")</f>
        <v/>
      </c>
      <c r="I785" s="172" t="str">
        <f>IFERROR(__xludf.DUMMYFUNCTION("TRIM(REGEXREPLACE(E785, ""[0-9]+[a-f]?\."", """"))"),"")</f>
        <v/>
      </c>
      <c r="J785" s="172" t="s">
        <v>3872</v>
      </c>
      <c r="K785" s="172" t="s">
        <v>3873</v>
      </c>
      <c r="L785" s="172" t="s">
        <v>3874</v>
      </c>
      <c r="M785" s="172"/>
    </row>
    <row r="786" hidden="1">
      <c r="B786" s="260"/>
      <c r="C786" s="260"/>
      <c r="D786" s="260"/>
      <c r="E786" s="260"/>
      <c r="F786" s="182">
        <v>474.0</v>
      </c>
      <c r="G786" s="172" t="str">
        <f>IFERROR(__xludf.DUMMYFUNCTION("TRIM(REGEXREPLACE(C786, ""[0-9]+[a-f]?\."", """"))"),"")</f>
        <v/>
      </c>
      <c r="H786" s="172" t="str">
        <f>IFERROR(__xludf.DUMMYFUNCTION("TRIM(REGEXREPLACE(D786, ""[0-9]+[a-f]?\."", """"))"),"")</f>
        <v/>
      </c>
      <c r="I786" s="172" t="str">
        <f>IFERROR(__xludf.DUMMYFUNCTION("TRIM(REGEXREPLACE(E786, ""[0-9]+[a-f]?\."", """"))"),"")</f>
        <v/>
      </c>
      <c r="J786" s="172" t="s">
        <v>3875</v>
      </c>
      <c r="K786" s="172" t="s">
        <v>3876</v>
      </c>
      <c r="L786" s="172" t="s">
        <v>3877</v>
      </c>
      <c r="M786" s="172"/>
    </row>
    <row r="787">
      <c r="A787" s="284" t="s">
        <v>231</v>
      </c>
      <c r="B787" s="277" t="s">
        <v>3880</v>
      </c>
      <c r="C787" s="247" t="s">
        <v>3882</v>
      </c>
      <c r="D787" s="247" t="s">
        <v>3883</v>
      </c>
      <c r="E787" s="247" t="s">
        <v>3884</v>
      </c>
      <c r="F787" s="182">
        <v>119.0</v>
      </c>
      <c r="G787" s="172" t="str">
        <f>IFERROR(__xludf.DUMMYFUNCTION("TRIM(REGEXREPLACE(C787, ""[0-9]+[a-f]?\."", """"))"),"Enumerator: Enter other country")</f>
        <v>Enumerator: Enter other country</v>
      </c>
      <c r="H787" s="172" t="str">
        <f>IFERROR(__xludf.DUMMYFUNCTION("TRIM(REGEXREPLACE(D787, ""[0-9]+[a-f]?\."", """"))"),"Enquêteur : Entrez un autre pays")</f>
        <v>Enquêteur : Entrez un autre pays</v>
      </c>
      <c r="I787" s="172" t="str">
        <f>IFERROR(__xludf.DUMMYFUNCTION("TRIM(REGEXREPLACE(E787, ""[0-9]+[a-f]?\."", """"))"),"Ɗan bincike: Shigar da wata ƙasa")</f>
        <v>Ɗan bincike: Shigar da wata ƙasa</v>
      </c>
      <c r="J787" s="172" t="str">
        <f t="shared" ref="J787:L787" si="119">$F787 &amp; ". " &amp;G787</f>
        <v>119. Enumerator: Enter other country</v>
      </c>
      <c r="K787" s="172" t="str">
        <f t="shared" si="119"/>
        <v>119. Enquêteur : Entrez un autre pays</v>
      </c>
      <c r="L787" s="172" t="str">
        <f t="shared" si="119"/>
        <v>119. Ɗan bincike: Shigar da wata ƙasa</v>
      </c>
      <c r="M787" s="172"/>
    </row>
    <row r="788" hidden="1">
      <c r="B788" s="260"/>
      <c r="C788" s="260"/>
      <c r="D788" s="260"/>
      <c r="E788" s="260"/>
      <c r="F788" s="182">
        <v>459.0</v>
      </c>
      <c r="G788" s="172" t="str">
        <f>IFERROR(__xludf.DUMMYFUNCTION("TRIM(REGEXREPLACE(C788, ""[0-9]+[a-f]?\."", """"))"),"")</f>
        <v/>
      </c>
      <c r="H788" s="172" t="str">
        <f>IFERROR(__xludf.DUMMYFUNCTION("TRIM(REGEXREPLACE(D788, ""[0-9]+[a-f]?\."", """"))"),"")</f>
        <v/>
      </c>
      <c r="I788" s="172" t="str">
        <f>IFERROR(__xludf.DUMMYFUNCTION("TRIM(REGEXREPLACE(E788, ""[0-9]+[a-f]?\."", """"))"),"")</f>
        <v/>
      </c>
      <c r="J788" s="172" t="s">
        <v>3888</v>
      </c>
      <c r="K788" s="172" t="s">
        <v>3889</v>
      </c>
      <c r="L788" s="172" t="s">
        <v>3890</v>
      </c>
      <c r="M788" s="172"/>
    </row>
    <row r="789" hidden="1">
      <c r="B789" s="260"/>
      <c r="C789" s="260"/>
      <c r="D789" s="260"/>
      <c r="E789" s="260"/>
      <c r="F789" s="182">
        <v>460.0</v>
      </c>
      <c r="G789" s="172" t="str">
        <f>IFERROR(__xludf.DUMMYFUNCTION("TRIM(REGEXREPLACE(C789, ""[0-9]+[a-f]?\."", """"))"),"")</f>
        <v/>
      </c>
      <c r="H789" s="172" t="str">
        <f>IFERROR(__xludf.DUMMYFUNCTION("TRIM(REGEXREPLACE(D789, ""[0-9]+[a-f]?\."", """"))"),"")</f>
        <v/>
      </c>
      <c r="I789" s="172" t="str">
        <f>IFERROR(__xludf.DUMMYFUNCTION("TRIM(REGEXREPLACE(E789, ""[0-9]+[a-f]?\."", """"))"),"")</f>
        <v/>
      </c>
      <c r="J789" s="172" t="s">
        <v>3891</v>
      </c>
      <c r="K789" s="172" t="s">
        <v>3892</v>
      </c>
      <c r="L789" s="172" t="s">
        <v>3893</v>
      </c>
      <c r="M789" s="172"/>
    </row>
    <row r="790" hidden="1">
      <c r="B790" s="260"/>
      <c r="C790" s="260"/>
      <c r="D790" s="260"/>
      <c r="E790" s="260"/>
      <c r="F790" s="182">
        <v>475.0</v>
      </c>
      <c r="G790" s="172" t="str">
        <f>IFERROR(__xludf.DUMMYFUNCTION("TRIM(REGEXREPLACE(C790, ""[0-9]+[a-f]?\."", """"))"),"")</f>
        <v/>
      </c>
      <c r="H790" s="172" t="str">
        <f>IFERROR(__xludf.DUMMYFUNCTION("TRIM(REGEXREPLACE(D790, ""[0-9]+[a-f]?\."", """"))"),"")</f>
        <v/>
      </c>
      <c r="I790" s="172" t="str">
        <f>IFERROR(__xludf.DUMMYFUNCTION("TRIM(REGEXREPLACE(E790, ""[0-9]+[a-f]?\."", """"))"),"")</f>
        <v/>
      </c>
      <c r="J790" s="172" t="s">
        <v>3894</v>
      </c>
      <c r="K790" s="172" t="s">
        <v>3895</v>
      </c>
      <c r="L790" s="172" t="s">
        <v>3895</v>
      </c>
      <c r="M790" s="172"/>
    </row>
    <row r="791" hidden="1">
      <c r="B791" s="260"/>
      <c r="C791" s="260"/>
      <c r="D791" s="260"/>
      <c r="E791" s="260"/>
      <c r="F791" s="182">
        <v>476.0</v>
      </c>
      <c r="G791" s="172" t="str">
        <f>IFERROR(__xludf.DUMMYFUNCTION("TRIM(REGEXREPLACE(C791, ""[0-9]+[a-f]?\."", """"))"),"")</f>
        <v/>
      </c>
      <c r="H791" s="172" t="str">
        <f>IFERROR(__xludf.DUMMYFUNCTION("TRIM(REGEXREPLACE(D791, ""[0-9]+[a-f]?\."", """"))"),"")</f>
        <v/>
      </c>
      <c r="I791" s="172" t="str">
        <f>IFERROR(__xludf.DUMMYFUNCTION("TRIM(REGEXREPLACE(E791, ""[0-9]+[a-f]?\."", """"))"),"")</f>
        <v/>
      </c>
      <c r="J791" s="172" t="s">
        <v>3896</v>
      </c>
      <c r="K791" s="172" t="s">
        <v>3897</v>
      </c>
      <c r="L791" s="172" t="s">
        <v>3897</v>
      </c>
      <c r="M791" s="172"/>
    </row>
    <row r="792" hidden="1">
      <c r="B792" s="260"/>
      <c r="C792" s="260"/>
      <c r="D792" s="260"/>
      <c r="E792" s="260"/>
      <c r="F792" s="182">
        <v>477.0</v>
      </c>
      <c r="G792" s="172" t="str">
        <f>IFERROR(__xludf.DUMMYFUNCTION("TRIM(REGEXREPLACE(C792, ""[0-9]+[a-f]?\."", """"))"),"")</f>
        <v/>
      </c>
      <c r="H792" s="172" t="str">
        <f>IFERROR(__xludf.DUMMYFUNCTION("TRIM(REGEXREPLACE(D792, ""[0-9]+[a-f]?\."", """"))"),"")</f>
        <v/>
      </c>
      <c r="I792" s="172" t="str">
        <f>IFERROR(__xludf.DUMMYFUNCTION("TRIM(REGEXREPLACE(E792, ""[0-9]+[a-f]?\."", """"))"),"")</f>
        <v/>
      </c>
      <c r="J792" s="172" t="s">
        <v>3898</v>
      </c>
      <c r="K792" s="172" t="s">
        <v>3899</v>
      </c>
      <c r="L792" s="172" t="s">
        <v>3899</v>
      </c>
      <c r="M792" s="172"/>
    </row>
    <row r="793" hidden="1">
      <c r="B793" s="260"/>
      <c r="C793" s="260"/>
      <c r="D793" s="260"/>
      <c r="E793" s="260"/>
      <c r="F793" s="182">
        <v>478.0</v>
      </c>
      <c r="G793" s="172" t="str">
        <f>IFERROR(__xludf.DUMMYFUNCTION("TRIM(REGEXREPLACE(C793, ""[0-9]+[a-f]?\."", """"))"),"")</f>
        <v/>
      </c>
      <c r="H793" s="172" t="str">
        <f>IFERROR(__xludf.DUMMYFUNCTION("TRIM(REGEXREPLACE(D793, ""[0-9]+[a-f]?\."", """"))"),"")</f>
        <v/>
      </c>
      <c r="I793" s="172" t="str">
        <f>IFERROR(__xludf.DUMMYFUNCTION("TRIM(REGEXREPLACE(E793, ""[0-9]+[a-f]?\."", """"))"),"")</f>
        <v/>
      </c>
      <c r="J793" s="172" t="s">
        <v>3902</v>
      </c>
      <c r="K793" s="172" t="s">
        <v>3903</v>
      </c>
      <c r="L793" s="172" t="s">
        <v>3905</v>
      </c>
      <c r="M793" s="172"/>
    </row>
    <row r="794" hidden="1">
      <c r="B794" s="260"/>
      <c r="C794" s="260"/>
      <c r="D794" s="260"/>
      <c r="E794" s="260"/>
      <c r="F794" s="182">
        <v>465.0</v>
      </c>
      <c r="G794" s="172" t="str">
        <f>IFERROR(__xludf.DUMMYFUNCTION("TRIM(REGEXREPLACE(C794, ""[0-9]+[a-f]?\."", """"))"),"")</f>
        <v/>
      </c>
      <c r="H794" s="172" t="str">
        <f>IFERROR(__xludf.DUMMYFUNCTION("TRIM(REGEXREPLACE(D794, ""[0-9]+[a-f]?\."", """"))"),"")</f>
        <v/>
      </c>
      <c r="I794" s="172" t="str">
        <f>IFERROR(__xludf.DUMMYFUNCTION("TRIM(REGEXREPLACE(E794, ""[0-9]+[a-f]?\."", """"))"),"")</f>
        <v/>
      </c>
      <c r="J794" s="172" t="s">
        <v>3907</v>
      </c>
      <c r="K794" s="172" t="s">
        <v>3908</v>
      </c>
      <c r="L794" s="172" t="s">
        <v>3909</v>
      </c>
      <c r="M794" s="172"/>
    </row>
    <row r="795" hidden="1">
      <c r="B795" s="260"/>
      <c r="C795" s="260"/>
      <c r="D795" s="260"/>
      <c r="E795" s="260"/>
      <c r="F795" s="182">
        <v>456.0</v>
      </c>
      <c r="G795" s="172" t="str">
        <f>IFERROR(__xludf.DUMMYFUNCTION("TRIM(REGEXREPLACE(C795, ""[0-9]+[a-f]?\."", """"))"),"")</f>
        <v/>
      </c>
      <c r="H795" s="172" t="str">
        <f>IFERROR(__xludf.DUMMYFUNCTION("TRIM(REGEXREPLACE(D795, ""[0-9]+[a-f]?\."", """"))"),"")</f>
        <v/>
      </c>
      <c r="I795" s="172" t="str">
        <f>IFERROR(__xludf.DUMMYFUNCTION("TRIM(REGEXREPLACE(E795, ""[0-9]+[a-f]?\."", """"))"),"")</f>
        <v/>
      </c>
      <c r="J795" s="172" t="s">
        <v>3910</v>
      </c>
      <c r="K795" s="172" t="s">
        <v>3911</v>
      </c>
      <c r="L795" s="172" t="s">
        <v>3912</v>
      </c>
      <c r="M795" s="172"/>
    </row>
    <row r="796" hidden="1">
      <c r="B796" s="260"/>
      <c r="C796" s="260"/>
      <c r="D796" s="260"/>
      <c r="E796" s="260"/>
      <c r="F796" s="182">
        <v>457.0</v>
      </c>
      <c r="G796" s="172" t="str">
        <f>IFERROR(__xludf.DUMMYFUNCTION("TRIM(REGEXREPLACE(C796, ""[0-9]+[a-f]?\."", """"))"),"")</f>
        <v/>
      </c>
      <c r="H796" s="172" t="str">
        <f>IFERROR(__xludf.DUMMYFUNCTION("TRIM(REGEXREPLACE(D796, ""[0-9]+[a-f]?\."", """"))"),"")</f>
        <v/>
      </c>
      <c r="I796" s="172" t="str">
        <f>IFERROR(__xludf.DUMMYFUNCTION("TRIM(REGEXREPLACE(E796, ""[0-9]+[a-f]?\."", """"))"),"")</f>
        <v/>
      </c>
      <c r="J796" s="172" t="s">
        <v>3916</v>
      </c>
      <c r="K796" s="172" t="s">
        <v>3917</v>
      </c>
      <c r="L796" s="172" t="s">
        <v>3918</v>
      </c>
      <c r="M796" s="172"/>
    </row>
    <row r="797" hidden="1">
      <c r="A797" s="281" t="s">
        <v>68</v>
      </c>
      <c r="B797" s="266" t="s">
        <v>3919</v>
      </c>
      <c r="C797" s="190"/>
      <c r="D797" s="190"/>
      <c r="E797" s="190"/>
      <c r="F797" s="182">
        <v>439.0</v>
      </c>
      <c r="G797" s="172" t="str">
        <f>IFERROR(__xludf.DUMMYFUNCTION("TRIM(REGEXREPLACE(C797, ""[0-9]+[a-f]?\."", """"))"),"")</f>
        <v/>
      </c>
      <c r="H797" s="172" t="str">
        <f>IFERROR(__xludf.DUMMYFUNCTION("TRIM(REGEXREPLACE(D797, ""[0-9]+[a-f]?\."", """"))"),"")</f>
        <v/>
      </c>
      <c r="I797" s="172" t="str">
        <f>IFERROR(__xludf.DUMMYFUNCTION("TRIM(REGEXREPLACE(E797, ""[0-9]+[a-f]?\."", """"))"),"")</f>
        <v/>
      </c>
      <c r="J797" s="172" t="s">
        <v>3920</v>
      </c>
      <c r="K797" s="172" t="s">
        <v>3921</v>
      </c>
      <c r="L797" s="172" t="s">
        <v>3922</v>
      </c>
      <c r="M797" s="172"/>
    </row>
    <row r="798">
      <c r="A798" s="282" t="s">
        <v>508</v>
      </c>
      <c r="B798" s="249" t="s">
        <v>3923</v>
      </c>
      <c r="C798" s="216" t="s">
        <v>3924</v>
      </c>
      <c r="D798" s="216" t="s">
        <v>3925</v>
      </c>
      <c r="E798" s="216" t="s">
        <v>3926</v>
      </c>
      <c r="F798" s="182">
        <v>120.0</v>
      </c>
      <c r="G798" s="172" t="str">
        <f>IFERROR(__xludf.DUMMYFUNCTION("TRIM(REGEXREPLACE(C798, ""[0-9]+[a-f]?\."", """"))"),"Enumerator: Select town")</f>
        <v>Enumerator: Select town</v>
      </c>
      <c r="H798" s="172" t="str">
        <f>IFERROR(__xludf.DUMMYFUNCTION("TRIM(REGEXREPLACE(D798, ""[0-9]+[a-f]?\."", """"))"),"Enquêteur : Sélectionnez la ville")</f>
        <v>Enquêteur : Sélectionnez la ville</v>
      </c>
      <c r="I798" s="172" t="str">
        <f>IFERROR(__xludf.DUMMYFUNCTION("TRIM(REGEXREPLACE(E798, ""[0-9]+[a-f]?\."", """"))"),"Ɗan bincike: Zaɓi gari")</f>
        <v>Ɗan bincike: Zaɓi gari</v>
      </c>
      <c r="J798" s="172" t="str">
        <f t="shared" ref="J798:L798" si="120">$F798 &amp; ". " &amp;G798</f>
        <v>120. Enumerator: Select town</v>
      </c>
      <c r="K798" s="172" t="str">
        <f t="shared" si="120"/>
        <v>120. Enquêteur : Sélectionnez la ville</v>
      </c>
      <c r="L798" s="172" t="str">
        <f t="shared" si="120"/>
        <v>120. Ɗan bincike: Zaɓi gari</v>
      </c>
      <c r="M798" s="172"/>
    </row>
    <row r="799">
      <c r="A799" s="284" t="s">
        <v>231</v>
      </c>
      <c r="B799" s="277" t="s">
        <v>3927</v>
      </c>
      <c r="C799" s="247" t="s">
        <v>3928</v>
      </c>
      <c r="D799" s="277" t="s">
        <v>3929</v>
      </c>
      <c r="E799" s="277" t="s">
        <v>3930</v>
      </c>
      <c r="F799" s="182">
        <v>121.0</v>
      </c>
      <c r="G799" s="172" t="str">
        <f>IFERROR(__xludf.DUMMYFUNCTION("TRIM(REGEXREPLACE(C799, ""[0-9]+[a-f]?\."", """"))"),"Enumerator: enter town")</f>
        <v>Enumerator: enter town</v>
      </c>
      <c r="H799" s="172" t="str">
        <f>IFERROR(__xludf.DUMMYFUNCTION("TRIM(REGEXREPLACE(D799, ""[0-9]+[a-f]?\."", """"))"),"Enquêteur : indiquez la ville")</f>
        <v>Enquêteur : indiquez la ville</v>
      </c>
      <c r="I799" s="172" t="str">
        <f>IFERROR(__xludf.DUMMYFUNCTION("TRIM(REGEXREPLACE(E799, ""[0-9]+[a-f]?\."", """"))"),"Mai bincike: bayyana gari")</f>
        <v>Mai bincike: bayyana gari</v>
      </c>
      <c r="J799" s="172" t="str">
        <f t="shared" ref="J799:L799" si="121">$F799 &amp; ". " &amp;G799</f>
        <v>121. Enumerator: enter town</v>
      </c>
      <c r="K799" s="172" t="str">
        <f t="shared" si="121"/>
        <v>121. Enquêteur : indiquez la ville</v>
      </c>
      <c r="L799" s="172" t="str">
        <f t="shared" si="121"/>
        <v>121. Mai bincike: bayyana gari</v>
      </c>
      <c r="M799" s="172"/>
    </row>
    <row r="800" hidden="1">
      <c r="B800" s="260"/>
      <c r="C800" s="260"/>
      <c r="D800" s="260"/>
      <c r="E800" s="260"/>
      <c r="F800" s="182">
        <v>458.0</v>
      </c>
      <c r="G800" s="172" t="str">
        <f>IFERROR(__xludf.DUMMYFUNCTION("TRIM(REGEXREPLACE(C800, ""[0-9]+[a-f]?\."", """"))"),"")</f>
        <v/>
      </c>
      <c r="H800" s="172" t="str">
        <f>IFERROR(__xludf.DUMMYFUNCTION("TRIM(REGEXREPLACE(D800, ""[0-9]+[a-f]?\."", """"))"),"")</f>
        <v/>
      </c>
      <c r="I800" s="172" t="str">
        <f>IFERROR(__xludf.DUMMYFUNCTION("TRIM(REGEXREPLACE(E800, ""[0-9]+[a-f]?\."", """"))"),"")</f>
        <v/>
      </c>
      <c r="J800" s="172" t="s">
        <v>3935</v>
      </c>
      <c r="K800" s="172" t="s">
        <v>3936</v>
      </c>
      <c r="L800" s="172" t="s">
        <v>3937</v>
      </c>
      <c r="M800" s="172"/>
    </row>
    <row r="801" hidden="1">
      <c r="B801" s="260"/>
      <c r="C801" s="260"/>
      <c r="D801" s="260"/>
      <c r="E801" s="260"/>
      <c r="F801" s="182">
        <v>459.0</v>
      </c>
      <c r="G801" s="172" t="str">
        <f>IFERROR(__xludf.DUMMYFUNCTION("TRIM(REGEXREPLACE(C801, ""[0-9]+[a-f]?\."", """"))"),"")</f>
        <v/>
      </c>
      <c r="H801" s="172" t="str">
        <f>IFERROR(__xludf.DUMMYFUNCTION("TRIM(REGEXREPLACE(D801, ""[0-9]+[a-f]?\."", """"))"),"")</f>
        <v/>
      </c>
      <c r="I801" s="172" t="str">
        <f>IFERROR(__xludf.DUMMYFUNCTION("TRIM(REGEXREPLACE(E801, ""[0-9]+[a-f]?\."", """"))"),"")</f>
        <v/>
      </c>
      <c r="J801" s="172" t="s">
        <v>3941</v>
      </c>
      <c r="K801" s="172" t="s">
        <v>3942</v>
      </c>
      <c r="L801" s="172" t="s">
        <v>3943</v>
      </c>
      <c r="M801" s="172"/>
    </row>
    <row r="802" hidden="1">
      <c r="B802" s="260"/>
      <c r="C802" s="260"/>
      <c r="D802" s="260"/>
      <c r="E802" s="260"/>
      <c r="F802" s="182">
        <v>460.0</v>
      </c>
      <c r="G802" s="172" t="str">
        <f>IFERROR(__xludf.DUMMYFUNCTION("TRIM(REGEXREPLACE(C802, ""[0-9]+[a-f]?\."", """"))"),"")</f>
        <v/>
      </c>
      <c r="H802" s="172" t="str">
        <f>IFERROR(__xludf.DUMMYFUNCTION("TRIM(REGEXREPLACE(D802, ""[0-9]+[a-f]?\."", """"))"),"")</f>
        <v/>
      </c>
      <c r="I802" s="172" t="str">
        <f>IFERROR(__xludf.DUMMYFUNCTION("TRIM(REGEXREPLACE(E802, ""[0-9]+[a-f]?\."", """"))"),"")</f>
        <v/>
      </c>
      <c r="J802" s="172" t="s">
        <v>3944</v>
      </c>
      <c r="K802" s="172" t="s">
        <v>3945</v>
      </c>
      <c r="L802" s="172" t="s">
        <v>3946</v>
      </c>
      <c r="M802" s="172"/>
    </row>
    <row r="803" hidden="1">
      <c r="B803" s="260"/>
      <c r="C803" s="260"/>
      <c r="D803" s="260"/>
      <c r="E803" s="260"/>
      <c r="F803" s="182">
        <v>479.0</v>
      </c>
      <c r="G803" s="172" t="str">
        <f>IFERROR(__xludf.DUMMYFUNCTION("TRIM(REGEXREPLACE(C803, ""[0-9]+[a-f]?\."", """"))"),"")</f>
        <v/>
      </c>
      <c r="H803" s="172" t="str">
        <f>IFERROR(__xludf.DUMMYFUNCTION("TRIM(REGEXREPLACE(D803, ""[0-9]+[a-f]?\."", """"))"),"")</f>
        <v/>
      </c>
      <c r="I803" s="172" t="str">
        <f>IFERROR(__xludf.DUMMYFUNCTION("TRIM(REGEXREPLACE(E803, ""[0-9]+[a-f]?\."", """"))"),"")</f>
        <v/>
      </c>
      <c r="J803" s="172" t="s">
        <v>3949</v>
      </c>
      <c r="K803" s="172" t="s">
        <v>3951</v>
      </c>
      <c r="L803" s="172" t="s">
        <v>3952</v>
      </c>
      <c r="M803" s="172"/>
    </row>
    <row r="804" hidden="1">
      <c r="B804" s="260"/>
      <c r="C804" s="260"/>
      <c r="D804" s="260"/>
      <c r="E804" s="260"/>
      <c r="F804" s="182">
        <v>480.0</v>
      </c>
      <c r="G804" s="172" t="str">
        <f>IFERROR(__xludf.DUMMYFUNCTION("TRIM(REGEXREPLACE(C804, ""[0-9]+[a-f]?\."", """"))"),"")</f>
        <v/>
      </c>
      <c r="H804" s="172" t="str">
        <f>IFERROR(__xludf.DUMMYFUNCTION("TRIM(REGEXREPLACE(D804, ""[0-9]+[a-f]?\."", """"))"),"")</f>
        <v/>
      </c>
      <c r="I804" s="172" t="str">
        <f>IFERROR(__xludf.DUMMYFUNCTION("TRIM(REGEXREPLACE(E804, ""[0-9]+[a-f]?\."", """"))"),"")</f>
        <v/>
      </c>
      <c r="J804" s="172" t="s">
        <v>3953</v>
      </c>
      <c r="K804" s="172" t="s">
        <v>3954</v>
      </c>
      <c r="L804" s="172" t="s">
        <v>3955</v>
      </c>
      <c r="M804" s="172"/>
    </row>
    <row r="805" hidden="1">
      <c r="B805" s="260"/>
      <c r="C805" s="260"/>
      <c r="D805" s="260"/>
      <c r="E805" s="260"/>
      <c r="F805" s="182">
        <v>481.0</v>
      </c>
      <c r="G805" s="172" t="str">
        <f>IFERROR(__xludf.DUMMYFUNCTION("TRIM(REGEXREPLACE(C805, ""[0-9]+[a-f]?\."", """"))"),"")</f>
        <v/>
      </c>
      <c r="H805" s="172" t="str">
        <f>IFERROR(__xludf.DUMMYFUNCTION("TRIM(REGEXREPLACE(D805, ""[0-9]+[a-f]?\."", """"))"),"")</f>
        <v/>
      </c>
      <c r="I805" s="172" t="str">
        <f>IFERROR(__xludf.DUMMYFUNCTION("TRIM(REGEXREPLACE(E805, ""[0-9]+[a-f]?\."", """"))"),"")</f>
        <v/>
      </c>
      <c r="J805" s="172" t="s">
        <v>3956</v>
      </c>
      <c r="K805" s="172" t="s">
        <v>3957</v>
      </c>
      <c r="L805" s="172" t="s">
        <v>3957</v>
      </c>
      <c r="M805" s="172"/>
    </row>
    <row r="806" hidden="1">
      <c r="B806" s="260"/>
      <c r="C806" s="260"/>
      <c r="D806" s="260"/>
      <c r="E806" s="260"/>
      <c r="F806" s="182">
        <v>482.0</v>
      </c>
      <c r="G806" s="172" t="str">
        <f>IFERROR(__xludf.DUMMYFUNCTION("TRIM(REGEXREPLACE(C806, ""[0-9]+[a-f]?\."", """"))"),"")</f>
        <v/>
      </c>
      <c r="H806" s="172" t="str">
        <f>IFERROR(__xludf.DUMMYFUNCTION("TRIM(REGEXREPLACE(D806, ""[0-9]+[a-f]?\."", """"))"),"")</f>
        <v/>
      </c>
      <c r="I806" s="172" t="str">
        <f>IFERROR(__xludf.DUMMYFUNCTION("TRIM(REGEXREPLACE(E806, ""[0-9]+[a-f]?\."", """"))"),"")</f>
        <v/>
      </c>
      <c r="J806" s="172" t="s">
        <v>3958</v>
      </c>
      <c r="K806" s="172" t="s">
        <v>3959</v>
      </c>
      <c r="L806" s="172" t="s">
        <v>3960</v>
      </c>
      <c r="M806" s="172"/>
    </row>
    <row r="807" hidden="1">
      <c r="A807" s="281" t="s">
        <v>68</v>
      </c>
      <c r="B807" s="266" t="s">
        <v>3961</v>
      </c>
      <c r="C807" s="190"/>
      <c r="D807" s="190"/>
      <c r="E807" s="190"/>
      <c r="F807" s="182">
        <v>442.0</v>
      </c>
      <c r="G807" s="172" t="str">
        <f>IFERROR(__xludf.DUMMYFUNCTION("TRIM(REGEXREPLACE(C807, ""[0-9]+[a-f]?\."", """"))"),"")</f>
        <v/>
      </c>
      <c r="H807" s="172" t="str">
        <f>IFERROR(__xludf.DUMMYFUNCTION("TRIM(REGEXREPLACE(D807, ""[0-9]+[a-f]?\."", """"))"),"")</f>
        <v/>
      </c>
      <c r="I807" s="172" t="str">
        <f>IFERROR(__xludf.DUMMYFUNCTION("TRIM(REGEXREPLACE(E807, ""[0-9]+[a-f]?\."", """"))"),"")</f>
        <v/>
      </c>
      <c r="J807" s="172" t="s">
        <v>3962</v>
      </c>
      <c r="K807" s="172" t="s">
        <v>3963</v>
      </c>
      <c r="L807" s="172" t="s">
        <v>3964</v>
      </c>
      <c r="M807" s="172"/>
    </row>
    <row r="808" hidden="1">
      <c r="A808" s="281" t="s">
        <v>68</v>
      </c>
      <c r="B808" s="266" t="s">
        <v>3965</v>
      </c>
      <c r="C808" s="190"/>
      <c r="D808" s="190"/>
      <c r="E808" s="190"/>
      <c r="F808" s="182">
        <v>443.0</v>
      </c>
      <c r="G808" s="172" t="str">
        <f>IFERROR(__xludf.DUMMYFUNCTION("TRIM(REGEXREPLACE(C808, ""[0-9]+[a-f]?\."", """"))"),"")</f>
        <v/>
      </c>
      <c r="H808" s="172" t="str">
        <f>IFERROR(__xludf.DUMMYFUNCTION("TRIM(REGEXREPLACE(D808, ""[0-9]+[a-f]?\."", """"))"),"")</f>
        <v/>
      </c>
      <c r="I808" s="172" t="str">
        <f>IFERROR(__xludf.DUMMYFUNCTION("TRIM(REGEXREPLACE(E808, ""[0-9]+[a-f]?\."", """"))"),"")</f>
        <v/>
      </c>
      <c r="J808" s="172" t="s">
        <v>3970</v>
      </c>
      <c r="K808" s="172" t="s">
        <v>3971</v>
      </c>
      <c r="L808" s="172" t="s">
        <v>3972</v>
      </c>
      <c r="M808" s="172"/>
    </row>
    <row r="809" hidden="1">
      <c r="B809" s="260"/>
      <c r="C809" s="260"/>
      <c r="D809" s="260"/>
      <c r="E809" s="260"/>
      <c r="F809" s="182">
        <v>480.0</v>
      </c>
      <c r="G809" s="172" t="str">
        <f>IFERROR(__xludf.DUMMYFUNCTION("TRIM(REGEXREPLACE(C809, ""[0-9]+[a-f]?\."", """"))"),"")</f>
        <v/>
      </c>
      <c r="H809" s="172" t="str">
        <f>IFERROR(__xludf.DUMMYFUNCTION("TRIM(REGEXREPLACE(D809, ""[0-9]+[a-f]?\."", """"))"),"")</f>
        <v/>
      </c>
      <c r="I809" s="172" t="str">
        <f>IFERROR(__xludf.DUMMYFUNCTION("TRIM(REGEXREPLACE(E809, ""[0-9]+[a-f]?\."", """"))"),"")</f>
        <v/>
      </c>
      <c r="J809" s="172" t="s">
        <v>3973</v>
      </c>
      <c r="K809" s="172" t="s">
        <v>3974</v>
      </c>
      <c r="L809" s="172" t="s">
        <v>3975</v>
      </c>
      <c r="M809" s="172"/>
    </row>
    <row r="810" hidden="1">
      <c r="B810" s="260"/>
      <c r="C810" s="260"/>
      <c r="D810" s="260"/>
      <c r="E810" s="260"/>
      <c r="F810" s="182">
        <v>464.0</v>
      </c>
      <c r="G810" s="172" t="str">
        <f>IFERROR(__xludf.DUMMYFUNCTION("TRIM(REGEXREPLACE(C810, ""[0-9]+[a-f]?\."", """"))"),"")</f>
        <v/>
      </c>
      <c r="H810" s="172" t="str">
        <f>IFERROR(__xludf.DUMMYFUNCTION("TRIM(REGEXREPLACE(D810, ""[0-9]+[a-f]?\."", """"))"),"")</f>
        <v/>
      </c>
      <c r="I810" s="172" t="str">
        <f>IFERROR(__xludf.DUMMYFUNCTION("TRIM(REGEXREPLACE(E810, ""[0-9]+[a-f]?\."", """"))"),"")</f>
        <v/>
      </c>
      <c r="J810" s="172" t="s">
        <v>3979</v>
      </c>
      <c r="K810" s="172" t="s">
        <v>3980</v>
      </c>
      <c r="L810" s="172" t="s">
        <v>3981</v>
      </c>
      <c r="M810" s="172"/>
    </row>
    <row r="811" hidden="1">
      <c r="A811" s="281" t="s">
        <v>68</v>
      </c>
      <c r="B811" s="266" t="s">
        <v>3982</v>
      </c>
      <c r="C811" s="190"/>
      <c r="D811" s="190"/>
      <c r="E811" s="190"/>
      <c r="F811" s="182">
        <v>444.0</v>
      </c>
      <c r="G811" s="172" t="str">
        <f>IFERROR(__xludf.DUMMYFUNCTION("TRIM(REGEXREPLACE(C811, ""[0-9]+[a-f]?\."", """"))"),"")</f>
        <v/>
      </c>
      <c r="H811" s="172" t="str">
        <f>IFERROR(__xludf.DUMMYFUNCTION("TRIM(REGEXREPLACE(D811, ""[0-9]+[a-f]?\."", """"))"),"")</f>
        <v/>
      </c>
      <c r="I811" s="172" t="str">
        <f>IFERROR(__xludf.DUMMYFUNCTION("TRIM(REGEXREPLACE(E811, ""[0-9]+[a-f]?\."", """"))"),"")</f>
        <v/>
      </c>
      <c r="J811" s="172" t="s">
        <v>3983</v>
      </c>
      <c r="K811" s="172" t="s">
        <v>3984</v>
      </c>
      <c r="L811" s="172" t="s">
        <v>3985</v>
      </c>
      <c r="M811" s="172"/>
    </row>
    <row r="812" hidden="1">
      <c r="A812" s="188" t="s">
        <v>68</v>
      </c>
      <c r="B812" s="189" t="s">
        <v>3986</v>
      </c>
      <c r="C812" s="190"/>
      <c r="D812" s="190"/>
      <c r="E812" s="190"/>
      <c r="F812" s="182">
        <v>445.0</v>
      </c>
      <c r="G812" s="172" t="str">
        <f>IFERROR(__xludf.DUMMYFUNCTION("TRIM(REGEXREPLACE(C812, ""[0-9]+[a-f]?\."", """"))"),"")</f>
        <v/>
      </c>
      <c r="H812" s="172" t="str">
        <f>IFERROR(__xludf.DUMMYFUNCTION("TRIM(REGEXREPLACE(D812, ""[0-9]+[a-f]?\."", """"))"),"")</f>
        <v/>
      </c>
      <c r="I812" s="172" t="str">
        <f>IFERROR(__xludf.DUMMYFUNCTION("TRIM(REGEXREPLACE(E812, ""[0-9]+[a-f]?\."", """"))"),"")</f>
        <v/>
      </c>
      <c r="J812" s="172" t="s">
        <v>3990</v>
      </c>
      <c r="K812" s="172" t="s">
        <v>3991</v>
      </c>
      <c r="L812" s="172" t="s">
        <v>3992</v>
      </c>
      <c r="M812" s="172"/>
    </row>
    <row r="813" hidden="1">
      <c r="A813" s="188" t="s">
        <v>68</v>
      </c>
      <c r="B813" s="189" t="s">
        <v>3993</v>
      </c>
      <c r="C813" s="190"/>
      <c r="D813" s="190"/>
      <c r="E813" s="190"/>
      <c r="F813" s="182">
        <v>446.0</v>
      </c>
      <c r="G813" s="172" t="str">
        <f>IFERROR(__xludf.DUMMYFUNCTION("TRIM(REGEXREPLACE(C813, ""[0-9]+[a-f]?\."", """"))"),"")</f>
        <v/>
      </c>
      <c r="H813" s="172" t="str">
        <f>IFERROR(__xludf.DUMMYFUNCTION("TRIM(REGEXREPLACE(D813, ""[0-9]+[a-f]?\."", """"))"),"")</f>
        <v/>
      </c>
      <c r="I813" s="172" t="str">
        <f>IFERROR(__xludf.DUMMYFUNCTION("TRIM(REGEXREPLACE(E813, ""[0-9]+[a-f]?\."", """"))"),"")</f>
        <v/>
      </c>
      <c r="J813" s="172" t="s">
        <v>3994</v>
      </c>
      <c r="K813" s="172" t="s">
        <v>3995</v>
      </c>
      <c r="L813" s="172" t="s">
        <v>3996</v>
      </c>
      <c r="M813" s="172"/>
    </row>
    <row r="814" hidden="1">
      <c r="B814" s="260"/>
      <c r="C814" s="260"/>
      <c r="D814" s="260"/>
      <c r="E814" s="260"/>
      <c r="F814" s="182">
        <v>468.0</v>
      </c>
      <c r="G814" s="172" t="str">
        <f>IFERROR(__xludf.DUMMYFUNCTION("TRIM(REGEXREPLACE(C814, ""[0-9]+[a-f]?\."", """"))"),"")</f>
        <v/>
      </c>
      <c r="H814" s="172" t="str">
        <f>IFERROR(__xludf.DUMMYFUNCTION("TRIM(REGEXREPLACE(D814, ""[0-9]+[a-f]?\."", """"))"),"")</f>
        <v/>
      </c>
      <c r="I814" s="172" t="str">
        <f>IFERROR(__xludf.DUMMYFUNCTION("TRIM(REGEXREPLACE(E814, ""[0-9]+[a-f]?\."", """"))"),"")</f>
        <v/>
      </c>
      <c r="J814" s="172" t="s">
        <v>3997</v>
      </c>
      <c r="K814" s="172" t="s">
        <v>3998</v>
      </c>
      <c r="L814" s="172" t="s">
        <v>3999</v>
      </c>
    </row>
    <row r="815" hidden="1">
      <c r="B815" s="260"/>
      <c r="C815" s="260"/>
      <c r="D815" s="260"/>
      <c r="E815" s="260"/>
      <c r="F815" s="182">
        <v>469.0</v>
      </c>
      <c r="G815" s="172" t="str">
        <f>IFERROR(__xludf.DUMMYFUNCTION("TRIM(REGEXREPLACE(C815, ""[0-9]+[a-f]?\."", """"))"),"")</f>
        <v/>
      </c>
      <c r="H815" s="172" t="str">
        <f>IFERROR(__xludf.DUMMYFUNCTION("TRIM(REGEXREPLACE(D815, ""[0-9]+[a-f]?\."", """"))"),"")</f>
        <v/>
      </c>
      <c r="I815" s="172" t="str">
        <f>IFERROR(__xludf.DUMMYFUNCTION("TRIM(REGEXREPLACE(E815, ""[0-9]+[a-f]?\."", """"))"),"")</f>
        <v/>
      </c>
      <c r="J815" s="172" t="s">
        <v>4000</v>
      </c>
      <c r="K815" s="172" t="s">
        <v>4001</v>
      </c>
      <c r="L815" s="172" t="s">
        <v>4002</v>
      </c>
    </row>
    <row r="816" hidden="1">
      <c r="B816" s="260"/>
      <c r="C816" s="260"/>
      <c r="D816" s="260"/>
      <c r="E816" s="260"/>
      <c r="F816" s="182">
        <v>470.0</v>
      </c>
      <c r="G816" s="172" t="str">
        <f>IFERROR(__xludf.DUMMYFUNCTION("TRIM(REGEXREPLACE(C816, ""[0-9]+[a-f]?\."", """"))"),"")</f>
        <v/>
      </c>
      <c r="H816" s="172" t="str">
        <f>IFERROR(__xludf.DUMMYFUNCTION("TRIM(REGEXREPLACE(D816, ""[0-9]+[a-f]?\."", """"))"),"")</f>
        <v/>
      </c>
      <c r="I816" s="172" t="str">
        <f>IFERROR(__xludf.DUMMYFUNCTION("TRIM(REGEXREPLACE(E816, ""[0-9]+[a-f]?\."", """"))"),"")</f>
        <v/>
      </c>
      <c r="J816" s="172" t="s">
        <v>4003</v>
      </c>
      <c r="K816" s="172" t="s">
        <v>4004</v>
      </c>
      <c r="L816" s="172" t="s">
        <v>4005</v>
      </c>
      <c r="M816" s="172"/>
    </row>
    <row r="817" hidden="1">
      <c r="B817" s="260"/>
      <c r="C817" s="260"/>
      <c r="D817" s="260"/>
      <c r="E817" s="260"/>
      <c r="F817" s="182">
        <v>471.0</v>
      </c>
      <c r="G817" s="172" t="str">
        <f>IFERROR(__xludf.DUMMYFUNCTION("TRIM(REGEXREPLACE(C817, ""[0-9]+[a-f]?\."", """"))"),"")</f>
        <v/>
      </c>
      <c r="H817" s="172" t="str">
        <f>IFERROR(__xludf.DUMMYFUNCTION("TRIM(REGEXREPLACE(D817, ""[0-9]+[a-f]?\."", """"))"),"")</f>
        <v/>
      </c>
      <c r="I817" s="172" t="str">
        <f>IFERROR(__xludf.DUMMYFUNCTION("TRIM(REGEXREPLACE(E817, ""[0-9]+[a-f]?\."", """"))"),"")</f>
        <v/>
      </c>
      <c r="J817" s="172" t="s">
        <v>4010</v>
      </c>
      <c r="K817" s="172" t="s">
        <v>4011</v>
      </c>
      <c r="L817" s="172" t="s">
        <v>4012</v>
      </c>
      <c r="M817" s="172"/>
    </row>
    <row r="818" hidden="1">
      <c r="B818" s="260"/>
      <c r="C818" s="260"/>
      <c r="D818" s="260"/>
      <c r="E818" s="260"/>
      <c r="F818" s="182">
        <v>487.0</v>
      </c>
      <c r="G818" s="172" t="str">
        <f>IFERROR(__xludf.DUMMYFUNCTION("TRIM(REGEXREPLACE(C818, ""[0-9]+[a-f]?\."", """"))"),"")</f>
        <v/>
      </c>
      <c r="H818" s="172" t="str">
        <f>IFERROR(__xludf.DUMMYFUNCTION("TRIM(REGEXREPLACE(D818, ""[0-9]+[a-f]?\."", """"))"),"")</f>
        <v/>
      </c>
      <c r="I818" s="172" t="str">
        <f>IFERROR(__xludf.DUMMYFUNCTION("TRIM(REGEXREPLACE(E818, ""[0-9]+[a-f]?\."", """"))"),"")</f>
        <v/>
      </c>
      <c r="J818" s="172" t="s">
        <v>4013</v>
      </c>
      <c r="K818" s="172" t="s">
        <v>4014</v>
      </c>
      <c r="L818" s="172" t="s">
        <v>4014</v>
      </c>
      <c r="M818" s="172"/>
    </row>
    <row r="819" hidden="1">
      <c r="A819" s="188" t="s">
        <v>68</v>
      </c>
      <c r="B819" s="189" t="s">
        <v>4015</v>
      </c>
      <c r="C819" s="190"/>
      <c r="D819" s="190"/>
      <c r="E819" s="190"/>
      <c r="F819" s="182">
        <v>447.0</v>
      </c>
      <c r="G819" s="172" t="str">
        <f>IFERROR(__xludf.DUMMYFUNCTION("TRIM(REGEXREPLACE(C819, ""[0-9]+[a-f]?\."", """"))"),"")</f>
        <v/>
      </c>
      <c r="H819" s="172" t="str">
        <f>IFERROR(__xludf.DUMMYFUNCTION("TRIM(REGEXREPLACE(D819, ""[0-9]+[a-f]?\."", """"))"),"")</f>
        <v/>
      </c>
      <c r="I819" s="172" t="str">
        <f>IFERROR(__xludf.DUMMYFUNCTION("TRIM(REGEXREPLACE(E819, ""[0-9]+[a-f]?\."", """"))"),"")</f>
        <v/>
      </c>
      <c r="J819" s="172" t="s">
        <v>4019</v>
      </c>
      <c r="K819" s="172" t="s">
        <v>4020</v>
      </c>
      <c r="L819" s="172" t="s">
        <v>4021</v>
      </c>
      <c r="M819" s="172"/>
    </row>
    <row r="820" hidden="1">
      <c r="B820" s="260"/>
      <c r="C820" s="260"/>
      <c r="D820" s="260"/>
      <c r="E820" s="260"/>
      <c r="F820" s="182">
        <v>489.0</v>
      </c>
      <c r="G820" s="172" t="str">
        <f>IFERROR(__xludf.DUMMYFUNCTION("TRIM(REGEXREPLACE(C820, ""[0-9]+[a-f]?\."", """"))"),"")</f>
        <v/>
      </c>
      <c r="H820" s="172" t="str">
        <f>IFERROR(__xludf.DUMMYFUNCTION("TRIM(REGEXREPLACE(D820, ""[0-9]+[a-f]?\."", """"))"),"")</f>
        <v/>
      </c>
      <c r="I820" s="172" t="str">
        <f>IFERROR(__xludf.DUMMYFUNCTION("TRIM(REGEXREPLACE(E820, ""[0-9]+[a-f]?\."", """"))"),"")</f>
        <v/>
      </c>
      <c r="J820" s="172" t="s">
        <v>4022</v>
      </c>
      <c r="K820" s="172" t="s">
        <v>4023</v>
      </c>
      <c r="L820" s="172" t="s">
        <v>4023</v>
      </c>
      <c r="M820" s="172"/>
    </row>
    <row r="821" hidden="1">
      <c r="B821" s="260"/>
      <c r="C821" s="260"/>
      <c r="D821" s="260"/>
      <c r="E821" s="260"/>
      <c r="F821" s="182">
        <v>490.0</v>
      </c>
      <c r="G821" s="172" t="str">
        <f>IFERROR(__xludf.DUMMYFUNCTION("TRIM(REGEXREPLACE(C821, ""[0-9]+[a-f]?\."", """"))"),"")</f>
        <v/>
      </c>
      <c r="H821" s="172" t="str">
        <f>IFERROR(__xludf.DUMMYFUNCTION("TRIM(REGEXREPLACE(D821, ""[0-9]+[a-f]?\."", """"))"),"")</f>
        <v/>
      </c>
      <c r="I821" s="172" t="str">
        <f>IFERROR(__xludf.DUMMYFUNCTION("TRIM(REGEXREPLACE(E821, ""[0-9]+[a-f]?\."", """"))"),"")</f>
        <v/>
      </c>
      <c r="J821" s="172" t="s">
        <v>4025</v>
      </c>
      <c r="K821" s="172" t="s">
        <v>4027</v>
      </c>
      <c r="L821" s="172" t="s">
        <v>4028</v>
      </c>
      <c r="M821" s="172"/>
    </row>
    <row r="822" hidden="1">
      <c r="B822" s="260"/>
      <c r="C822" s="260"/>
      <c r="D822" s="260"/>
      <c r="E822" s="260"/>
      <c r="F822" s="182">
        <v>491.0</v>
      </c>
      <c r="G822" s="172" t="str">
        <f>IFERROR(__xludf.DUMMYFUNCTION("TRIM(REGEXREPLACE(C822, ""[0-9]+[a-f]?\."", """"))"),"")</f>
        <v/>
      </c>
      <c r="H822" s="172" t="str">
        <f>IFERROR(__xludf.DUMMYFUNCTION("TRIM(REGEXREPLACE(D822, ""[0-9]+[a-f]?\."", """"))"),"")</f>
        <v/>
      </c>
      <c r="I822" s="172" t="str">
        <f>IFERROR(__xludf.DUMMYFUNCTION("TRIM(REGEXREPLACE(E822, ""[0-9]+[a-f]?\."", """"))"),"")</f>
        <v/>
      </c>
      <c r="J822" s="172" t="s">
        <v>4030</v>
      </c>
      <c r="K822" s="172" t="s">
        <v>4031</v>
      </c>
      <c r="L822" s="172" t="s">
        <v>4031</v>
      </c>
    </row>
    <row r="823" hidden="1">
      <c r="B823" s="260"/>
      <c r="C823" s="260"/>
      <c r="D823" s="260"/>
      <c r="E823" s="260"/>
      <c r="F823" s="182">
        <v>492.0</v>
      </c>
      <c r="G823" s="172" t="str">
        <f>IFERROR(__xludf.DUMMYFUNCTION("TRIM(REGEXREPLACE(C823, ""[0-9]+[a-f]?\."", """"))"),"")</f>
        <v/>
      </c>
      <c r="H823" s="172" t="str">
        <f>IFERROR(__xludf.DUMMYFUNCTION("TRIM(REGEXREPLACE(D823, ""[0-9]+[a-f]?\."", """"))"),"")</f>
        <v/>
      </c>
      <c r="I823" s="172" t="str">
        <f>IFERROR(__xludf.DUMMYFUNCTION("TRIM(REGEXREPLACE(E823, ""[0-9]+[a-f]?\."", """"))"),"")</f>
        <v/>
      </c>
      <c r="J823" s="172" t="s">
        <v>4034</v>
      </c>
      <c r="K823" s="172" t="s">
        <v>4036</v>
      </c>
      <c r="L823" s="172" t="s">
        <v>4037</v>
      </c>
      <c r="M823" s="172"/>
    </row>
    <row r="824" hidden="1">
      <c r="B824" s="260"/>
      <c r="C824" s="260"/>
      <c r="D824" s="260"/>
      <c r="E824" s="260"/>
      <c r="F824" s="182">
        <v>493.0</v>
      </c>
      <c r="G824" s="172" t="str">
        <f>IFERROR(__xludf.DUMMYFUNCTION("TRIM(REGEXREPLACE(C824, ""[0-9]+[a-f]?\."", """"))"),"")</f>
        <v/>
      </c>
      <c r="H824" s="172" t="str">
        <f>IFERROR(__xludf.DUMMYFUNCTION("TRIM(REGEXREPLACE(D824, ""[0-9]+[a-f]?\."", """"))"),"")</f>
        <v/>
      </c>
      <c r="I824" s="172" t="str">
        <f>IFERROR(__xludf.DUMMYFUNCTION("TRIM(REGEXREPLACE(E824, ""[0-9]+[a-f]?\."", """"))"),"")</f>
        <v/>
      </c>
      <c r="J824" s="172" t="s">
        <v>4038</v>
      </c>
      <c r="K824" s="172" t="s">
        <v>4039</v>
      </c>
      <c r="L824" s="172" t="s">
        <v>4040</v>
      </c>
      <c r="M824" s="172"/>
    </row>
    <row r="825" hidden="1">
      <c r="B825" s="260"/>
      <c r="C825" s="260"/>
      <c r="D825" s="260"/>
      <c r="E825" s="260"/>
      <c r="F825" s="182">
        <v>479.0</v>
      </c>
      <c r="G825" s="172" t="str">
        <f>IFERROR(__xludf.DUMMYFUNCTION("TRIM(REGEXREPLACE(C825, ""[0-9]+[a-f]?\."", """"))"),"")</f>
        <v/>
      </c>
      <c r="H825" s="172" t="str">
        <f>IFERROR(__xludf.DUMMYFUNCTION("TRIM(REGEXREPLACE(D825, ""[0-9]+[a-f]?\."", """"))"),"")</f>
        <v/>
      </c>
      <c r="I825" s="172" t="str">
        <f>IFERROR(__xludf.DUMMYFUNCTION("TRIM(REGEXREPLACE(E825, ""[0-9]+[a-f]?\."", """"))"),"")</f>
        <v/>
      </c>
      <c r="J825" s="172" t="s">
        <v>4043</v>
      </c>
      <c r="K825" s="172" t="s">
        <v>4045</v>
      </c>
      <c r="L825" s="172" t="s">
        <v>4046</v>
      </c>
      <c r="M825" s="172"/>
    </row>
    <row r="826" hidden="1">
      <c r="B826" s="260"/>
      <c r="C826" s="260"/>
      <c r="D826" s="260"/>
      <c r="E826" s="260"/>
      <c r="F826" s="182">
        <v>480.0</v>
      </c>
      <c r="G826" s="172" t="str">
        <f>IFERROR(__xludf.DUMMYFUNCTION("TRIM(REGEXREPLACE(C826, ""[0-9]+[a-f]?\."", """"))"),"")</f>
        <v/>
      </c>
      <c r="H826" s="172" t="str">
        <f>IFERROR(__xludf.DUMMYFUNCTION("TRIM(REGEXREPLACE(D826, ""[0-9]+[a-f]?\."", """"))"),"")</f>
        <v/>
      </c>
      <c r="I826" s="172" t="str">
        <f>IFERROR(__xludf.DUMMYFUNCTION("TRIM(REGEXREPLACE(E826, ""[0-9]+[a-f]?\."", """"))"),"")</f>
        <v/>
      </c>
      <c r="J826" s="172" t="s">
        <v>4047</v>
      </c>
      <c r="K826" s="172" t="s">
        <v>4048</v>
      </c>
      <c r="L826" s="172" t="s">
        <v>4049</v>
      </c>
      <c r="M826" s="172"/>
    </row>
    <row r="827" hidden="1">
      <c r="B827" s="260"/>
      <c r="C827" s="260"/>
      <c r="D827" s="260"/>
      <c r="E827" s="260"/>
      <c r="F827" s="182">
        <v>481.0</v>
      </c>
      <c r="G827" s="172" t="str">
        <f>IFERROR(__xludf.DUMMYFUNCTION("TRIM(REGEXREPLACE(C827, ""[0-9]+[a-f]?\."", """"))"),"")</f>
        <v/>
      </c>
      <c r="H827" s="172" t="str">
        <f>IFERROR(__xludf.DUMMYFUNCTION("TRIM(REGEXREPLACE(D827, ""[0-9]+[a-f]?\."", """"))"),"")</f>
        <v/>
      </c>
      <c r="I827" s="172" t="str">
        <f>IFERROR(__xludf.DUMMYFUNCTION("TRIM(REGEXREPLACE(E827, ""[0-9]+[a-f]?\."", """"))"),"")</f>
        <v/>
      </c>
      <c r="J827" s="172" t="s">
        <v>4050</v>
      </c>
      <c r="K827" s="172" t="s">
        <v>4051</v>
      </c>
      <c r="L827" s="172" t="s">
        <v>4052</v>
      </c>
      <c r="M827" s="172"/>
    </row>
    <row r="828" hidden="1">
      <c r="B828" s="260"/>
      <c r="C828" s="260"/>
      <c r="D828" s="260"/>
      <c r="E828" s="260"/>
      <c r="F828" s="182">
        <v>482.0</v>
      </c>
      <c r="G828" s="172" t="str">
        <f>IFERROR(__xludf.DUMMYFUNCTION("TRIM(REGEXREPLACE(C828, ""[0-9]+[a-f]?\."", """"))"),"")</f>
        <v/>
      </c>
      <c r="H828" s="172" t="str">
        <f>IFERROR(__xludf.DUMMYFUNCTION("TRIM(REGEXREPLACE(D828, ""[0-9]+[a-f]?\."", """"))"),"")</f>
        <v/>
      </c>
      <c r="I828" s="172" t="str">
        <f>IFERROR(__xludf.DUMMYFUNCTION("TRIM(REGEXREPLACE(E828, ""[0-9]+[a-f]?\."", """"))"),"")</f>
        <v/>
      </c>
      <c r="J828" s="172" t="s">
        <v>4053</v>
      </c>
      <c r="K828" s="172" t="s">
        <v>4054</v>
      </c>
      <c r="L828" s="172" t="s">
        <v>4055</v>
      </c>
      <c r="M828" s="172"/>
    </row>
    <row r="829" hidden="1">
      <c r="B829" s="260"/>
      <c r="C829" s="260"/>
      <c r="D829" s="260"/>
      <c r="E829" s="260"/>
      <c r="F829" s="182">
        <v>483.0</v>
      </c>
      <c r="G829" s="172" t="str">
        <f>IFERROR(__xludf.DUMMYFUNCTION("TRIM(REGEXREPLACE(C829, ""[0-9]+[a-f]?\."", """"))"),"")</f>
        <v/>
      </c>
      <c r="H829" s="172" t="str">
        <f>IFERROR(__xludf.DUMMYFUNCTION("TRIM(REGEXREPLACE(D829, ""[0-9]+[a-f]?\."", """"))"),"")</f>
        <v/>
      </c>
      <c r="I829" s="172" t="str">
        <f>IFERROR(__xludf.DUMMYFUNCTION("TRIM(REGEXREPLACE(E829, ""[0-9]+[a-f]?\."", """"))"),"")</f>
        <v/>
      </c>
      <c r="J829" s="172" t="s">
        <v>4056</v>
      </c>
      <c r="K829" s="172" t="s">
        <v>4057</v>
      </c>
      <c r="L829" s="172" t="s">
        <v>4058</v>
      </c>
    </row>
    <row r="830" hidden="1">
      <c r="B830" s="260"/>
      <c r="C830" s="260"/>
      <c r="D830" s="260"/>
      <c r="E830" s="260"/>
      <c r="F830" s="182">
        <v>484.0</v>
      </c>
      <c r="G830" s="172" t="str">
        <f>IFERROR(__xludf.DUMMYFUNCTION("TRIM(REGEXREPLACE(C830, ""[0-9]+[a-f]?\."", """"))"),"")</f>
        <v/>
      </c>
      <c r="H830" s="172" t="str">
        <f>IFERROR(__xludf.DUMMYFUNCTION("TRIM(REGEXREPLACE(D830, ""[0-9]+[a-f]?\."", """"))"),"")</f>
        <v/>
      </c>
      <c r="I830" s="172" t="str">
        <f>IFERROR(__xludf.DUMMYFUNCTION("TRIM(REGEXREPLACE(E830, ""[0-9]+[a-f]?\."", """"))"),"")</f>
        <v/>
      </c>
      <c r="J830" s="172" t="s">
        <v>4063</v>
      </c>
      <c r="K830" s="172" t="s">
        <v>4064</v>
      </c>
      <c r="L830" s="172" t="s">
        <v>4065</v>
      </c>
      <c r="M830" s="172"/>
    </row>
    <row r="831" hidden="1">
      <c r="B831" s="260"/>
      <c r="C831" s="260"/>
      <c r="D831" s="260"/>
      <c r="E831" s="260"/>
      <c r="F831" s="182">
        <v>485.0</v>
      </c>
      <c r="G831" s="172" t="str">
        <f>IFERROR(__xludf.DUMMYFUNCTION("TRIM(REGEXREPLACE(C831, ""[0-9]+[a-f]?\."", """"))"),"")</f>
        <v/>
      </c>
      <c r="H831" s="172" t="str">
        <f>IFERROR(__xludf.DUMMYFUNCTION("TRIM(REGEXREPLACE(D831, ""[0-9]+[a-f]?\."", """"))"),"")</f>
        <v/>
      </c>
      <c r="I831" s="172" t="str">
        <f>IFERROR(__xludf.DUMMYFUNCTION("TRIM(REGEXREPLACE(E831, ""[0-9]+[a-f]?\."", """"))"),"")</f>
        <v/>
      </c>
      <c r="J831" s="172" t="s">
        <v>4066</v>
      </c>
      <c r="K831" s="172" t="s">
        <v>4067</v>
      </c>
      <c r="L831" s="172" t="s">
        <v>4068</v>
      </c>
      <c r="M831" s="172"/>
    </row>
    <row r="832" hidden="1">
      <c r="B832" s="260"/>
      <c r="C832" s="260"/>
      <c r="D832" s="260"/>
      <c r="E832" s="260"/>
      <c r="F832" s="182">
        <v>486.0</v>
      </c>
      <c r="G832" s="172" t="str">
        <f>IFERROR(__xludf.DUMMYFUNCTION("TRIM(REGEXREPLACE(C832, ""[0-9]+[a-f]?\."", """"))"),"")</f>
        <v/>
      </c>
      <c r="H832" s="172" t="str">
        <f>IFERROR(__xludf.DUMMYFUNCTION("TRIM(REGEXREPLACE(D832, ""[0-9]+[a-f]?\."", """"))"),"")</f>
        <v/>
      </c>
      <c r="I832" s="172" t="str">
        <f>IFERROR(__xludf.DUMMYFUNCTION("TRIM(REGEXREPLACE(E832, ""[0-9]+[a-f]?\."", """"))"),"")</f>
        <v/>
      </c>
      <c r="J832" s="172" t="s">
        <v>4071</v>
      </c>
      <c r="K832" s="172" t="s">
        <v>4072</v>
      </c>
      <c r="L832" s="172" t="s">
        <v>4073</v>
      </c>
    </row>
    <row r="833" hidden="1">
      <c r="A833" s="286" t="s">
        <v>1064</v>
      </c>
      <c r="B833" s="289" t="s">
        <v>3768</v>
      </c>
      <c r="C833" s="261" t="s">
        <v>3769</v>
      </c>
      <c r="D833" s="262"/>
      <c r="E833" s="262"/>
      <c r="F833" s="182">
        <v>448.0</v>
      </c>
      <c r="G833" s="172" t="str">
        <f>IFERROR(__xludf.DUMMYFUNCTION("TRIM(REGEXREPLACE(C833, ""[0-9]+[a-f]?\."", """"))"),"Locations")</f>
        <v>Locations</v>
      </c>
      <c r="H833" s="172" t="str">
        <f>IFERROR(__xludf.DUMMYFUNCTION("TRIM(REGEXREPLACE(D833, ""[0-9]+[a-f]?\."", """"))"),"")</f>
        <v/>
      </c>
      <c r="I833" s="172" t="str">
        <f>IFERROR(__xludf.DUMMYFUNCTION("TRIM(REGEXREPLACE(E833, ""[0-9]+[a-f]?\."", """"))"),"")</f>
        <v/>
      </c>
      <c r="J833" s="172" t="s">
        <v>4075</v>
      </c>
      <c r="K833" s="172" t="s">
        <v>4075</v>
      </c>
      <c r="L833" s="172" t="s">
        <v>4075</v>
      </c>
    </row>
    <row r="834" hidden="1">
      <c r="A834" s="281" t="s">
        <v>118</v>
      </c>
      <c r="B834" s="189" t="s">
        <v>4076</v>
      </c>
      <c r="C834" s="190"/>
      <c r="D834" s="190"/>
      <c r="E834" s="190"/>
      <c r="F834" s="182">
        <v>449.0</v>
      </c>
      <c r="G834" s="172" t="str">
        <f>IFERROR(__xludf.DUMMYFUNCTION("TRIM(REGEXREPLACE(C834, ""[0-9]+[a-f]?\."", """"))"),"")</f>
        <v/>
      </c>
      <c r="H834" s="172" t="str">
        <f>IFERROR(__xludf.DUMMYFUNCTION("TRIM(REGEXREPLACE(D834, ""[0-9]+[a-f]?\."", """"))"),"")</f>
        <v/>
      </c>
      <c r="I834" s="172" t="str">
        <f>IFERROR(__xludf.DUMMYFUNCTION("TRIM(REGEXREPLACE(E834, ""[0-9]+[a-f]?\."", """"))"),"")</f>
        <v/>
      </c>
      <c r="J834" s="172" t="s">
        <v>4080</v>
      </c>
      <c r="K834" s="172" t="s">
        <v>4081</v>
      </c>
      <c r="L834" s="172" t="s">
        <v>4082</v>
      </c>
    </row>
    <row r="835" hidden="1">
      <c r="A835" s="281" t="s">
        <v>68</v>
      </c>
      <c r="B835" s="266" t="s">
        <v>4083</v>
      </c>
      <c r="C835" s="190"/>
      <c r="D835" s="190"/>
      <c r="E835" s="190"/>
      <c r="F835" s="182">
        <v>450.0</v>
      </c>
      <c r="G835" s="172" t="str">
        <f>IFERROR(__xludf.DUMMYFUNCTION("TRIM(REGEXREPLACE(C835, ""[0-9]+[a-f]?\."", """"))"),"")</f>
        <v/>
      </c>
      <c r="H835" s="172" t="str">
        <f>IFERROR(__xludf.DUMMYFUNCTION("TRIM(REGEXREPLACE(D835, ""[0-9]+[a-f]?\."", """"))"),"")</f>
        <v/>
      </c>
      <c r="I835" s="172" t="str">
        <f>IFERROR(__xludf.DUMMYFUNCTION("TRIM(REGEXREPLACE(E835, ""[0-9]+[a-f]?\."", """"))"),"")</f>
        <v/>
      </c>
      <c r="J835" s="172" t="s">
        <v>4084</v>
      </c>
      <c r="K835" s="172" t="s">
        <v>4085</v>
      </c>
      <c r="L835" s="172" t="s">
        <v>4086</v>
      </c>
      <c r="M835" s="172"/>
    </row>
    <row r="836" hidden="1">
      <c r="A836" s="281" t="s">
        <v>68</v>
      </c>
      <c r="B836" s="266" t="s">
        <v>4087</v>
      </c>
      <c r="C836" s="190"/>
      <c r="D836" s="190"/>
      <c r="E836" s="190"/>
      <c r="F836" s="182">
        <v>451.0</v>
      </c>
      <c r="G836" s="172" t="str">
        <f>IFERROR(__xludf.DUMMYFUNCTION("TRIM(REGEXREPLACE(C836, ""[0-9]+[a-f]?\."", """"))"),"")</f>
        <v/>
      </c>
      <c r="H836" s="172" t="str">
        <f>IFERROR(__xludf.DUMMYFUNCTION("TRIM(REGEXREPLACE(D836, ""[0-9]+[a-f]?\."", """"))"),"")</f>
        <v/>
      </c>
      <c r="I836" s="172" t="str">
        <f>IFERROR(__xludf.DUMMYFUNCTION("TRIM(REGEXREPLACE(E836, ""[0-9]+[a-f]?\."", """"))"),"")</f>
        <v/>
      </c>
      <c r="J836" s="172" t="s">
        <v>4091</v>
      </c>
      <c r="K836" s="172" t="s">
        <v>4092</v>
      </c>
      <c r="L836" s="172" t="s">
        <v>4093</v>
      </c>
      <c r="M836" s="172"/>
    </row>
    <row r="837" hidden="1">
      <c r="A837" s="281" t="s">
        <v>68</v>
      </c>
      <c r="B837" s="266" t="s">
        <v>4094</v>
      </c>
      <c r="C837" s="190"/>
      <c r="D837" s="190"/>
      <c r="E837" s="190"/>
      <c r="F837" s="182">
        <v>452.0</v>
      </c>
      <c r="G837" s="172" t="str">
        <f>IFERROR(__xludf.DUMMYFUNCTION("TRIM(REGEXREPLACE(C837, ""[0-9]+[a-f]?\."", """"))"),"")</f>
        <v/>
      </c>
      <c r="H837" s="172" t="str">
        <f>IFERROR(__xludf.DUMMYFUNCTION("TRIM(REGEXREPLACE(D837, ""[0-9]+[a-f]?\."", """"))"),"")</f>
        <v/>
      </c>
      <c r="I837" s="172" t="str">
        <f>IFERROR(__xludf.DUMMYFUNCTION("TRIM(REGEXREPLACE(E837, ""[0-9]+[a-f]?\."", """"))"),"")</f>
        <v/>
      </c>
      <c r="J837" s="172" t="s">
        <v>4095</v>
      </c>
      <c r="K837" s="172" t="s">
        <v>4096</v>
      </c>
      <c r="L837" s="172" t="s">
        <v>4097</v>
      </c>
    </row>
    <row r="838" hidden="1">
      <c r="A838" s="281" t="s">
        <v>68</v>
      </c>
      <c r="B838" s="266" t="s">
        <v>4098</v>
      </c>
      <c r="C838" s="190"/>
      <c r="D838" s="190"/>
      <c r="E838" s="190"/>
      <c r="F838" s="182">
        <v>453.0</v>
      </c>
      <c r="G838" s="172" t="str">
        <f>IFERROR(__xludf.DUMMYFUNCTION("TRIM(REGEXREPLACE(C838, ""[0-9]+[a-f]?\."", """"))"),"")</f>
        <v/>
      </c>
      <c r="H838" s="172" t="str">
        <f>IFERROR(__xludf.DUMMYFUNCTION("TRIM(REGEXREPLACE(D838, ""[0-9]+[a-f]?\."", """"))"),"")</f>
        <v/>
      </c>
      <c r="I838" s="172" t="str">
        <f>IFERROR(__xludf.DUMMYFUNCTION("TRIM(REGEXREPLACE(E838, ""[0-9]+[a-f]?\."", """"))"),"")</f>
        <v/>
      </c>
      <c r="J838" s="172" t="s">
        <v>4101</v>
      </c>
      <c r="K838" s="172" t="s">
        <v>4103</v>
      </c>
      <c r="L838" s="172" t="s">
        <v>4104</v>
      </c>
    </row>
    <row r="839" hidden="1">
      <c r="A839" s="281" t="s">
        <v>68</v>
      </c>
      <c r="B839" s="266" t="s">
        <v>4105</v>
      </c>
      <c r="C839" s="190"/>
      <c r="D839" s="190"/>
      <c r="E839" s="190"/>
      <c r="F839" s="182">
        <v>454.0</v>
      </c>
      <c r="G839" s="172" t="str">
        <f>IFERROR(__xludf.DUMMYFUNCTION("TRIM(REGEXREPLACE(C839, ""[0-9]+[a-f]?\."", """"))"),"")</f>
        <v/>
      </c>
      <c r="H839" s="172" t="str">
        <f>IFERROR(__xludf.DUMMYFUNCTION("TRIM(REGEXREPLACE(D839, ""[0-9]+[a-f]?\."", """"))"),"")</f>
        <v/>
      </c>
      <c r="I839" s="172" t="str">
        <f>IFERROR(__xludf.DUMMYFUNCTION("TRIM(REGEXREPLACE(E839, ""[0-9]+[a-f]?\."", """"))"),"")</f>
        <v/>
      </c>
      <c r="J839" s="172" t="s">
        <v>4106</v>
      </c>
      <c r="K839" s="172" t="s">
        <v>4107</v>
      </c>
      <c r="L839" s="172" t="s">
        <v>4108</v>
      </c>
      <c r="M839" s="172"/>
    </row>
    <row r="840" hidden="1">
      <c r="A840" s="290"/>
      <c r="B840" s="280"/>
      <c r="C840" s="174"/>
      <c r="D840" s="174"/>
      <c r="E840" s="174"/>
      <c r="F840" s="182">
        <v>455.0</v>
      </c>
      <c r="G840" s="172" t="str">
        <f>IFERROR(__xludf.DUMMYFUNCTION("TRIM(REGEXREPLACE(C840, ""[0-9]+[a-f]?\."", """"))"),"")</f>
        <v/>
      </c>
      <c r="H840" s="172" t="str">
        <f>IFERROR(__xludf.DUMMYFUNCTION("TRIM(REGEXREPLACE(D840, ""[0-9]+[a-f]?\."", """"))"),"")</f>
        <v/>
      </c>
      <c r="I840" s="172" t="str">
        <f>IFERROR(__xludf.DUMMYFUNCTION("TRIM(REGEXREPLACE(E840, ""[0-9]+[a-f]?\."", """"))"),"")</f>
        <v/>
      </c>
      <c r="J840" s="172" t="s">
        <v>4112</v>
      </c>
      <c r="K840" s="172" t="s">
        <v>4113</v>
      </c>
      <c r="L840" s="172" t="s">
        <v>4113</v>
      </c>
    </row>
    <row r="841" hidden="1">
      <c r="A841" s="281" t="s">
        <v>68</v>
      </c>
      <c r="B841" s="266" t="s">
        <v>4114</v>
      </c>
      <c r="C841" s="217" t="s">
        <v>4115</v>
      </c>
      <c r="D841" s="190"/>
      <c r="E841" s="190"/>
      <c r="F841" s="182">
        <v>456.0</v>
      </c>
      <c r="G841" s="172" t="str">
        <f>IFERROR(__xludf.DUMMYFUNCTION("TRIM(REGEXREPLACE(C841, ""[0-9]+[a-f]?\."", """"))"),"list of most recent to beginning of period locations")</f>
        <v>list of most recent to beginning of period locations</v>
      </c>
      <c r="H841" s="172" t="str">
        <f>IFERROR(__xludf.DUMMYFUNCTION("TRIM(REGEXREPLACE(D841, ""[0-9]+[a-f]?\."", """"))"),"")</f>
        <v/>
      </c>
      <c r="I841" s="172" t="str">
        <f>IFERROR(__xludf.DUMMYFUNCTION("TRIM(REGEXREPLACE(E841, ""[0-9]+[a-f]?\."", """"))"),"")</f>
        <v/>
      </c>
      <c r="J841" s="172" t="s">
        <v>4116</v>
      </c>
      <c r="K841" s="172" t="s">
        <v>4117</v>
      </c>
      <c r="L841" s="172" t="s">
        <v>4118</v>
      </c>
      <c r="M841" s="172"/>
    </row>
    <row r="842" hidden="1">
      <c r="A842" s="281" t="s">
        <v>68</v>
      </c>
      <c r="B842" s="266" t="s">
        <v>4119</v>
      </c>
      <c r="C842" s="217" t="s">
        <v>4120</v>
      </c>
      <c r="D842" s="190"/>
      <c r="E842" s="190"/>
      <c r="F842" s="182">
        <v>457.0</v>
      </c>
      <c r="G842" s="172" t="str">
        <f>IFERROR(__xludf.DUMMYFUNCTION("TRIM(REGEXREPLACE(C842, ""[0-9]+[a-f]?\."", """"))"),"list of locations countries")</f>
        <v>list of locations countries</v>
      </c>
      <c r="H842" s="172" t="str">
        <f>IFERROR(__xludf.DUMMYFUNCTION("TRIM(REGEXREPLACE(D842, ""[0-9]+[a-f]?\."", """"))"),"")</f>
        <v/>
      </c>
      <c r="I842" s="172" t="str">
        <f>IFERROR(__xludf.DUMMYFUNCTION("TRIM(REGEXREPLACE(E842, ""[0-9]+[a-f]?\."", """"))"),"")</f>
        <v/>
      </c>
      <c r="J842" s="172" t="s">
        <v>4121</v>
      </c>
      <c r="K842" s="172" t="s">
        <v>4122</v>
      </c>
      <c r="L842" s="172" t="s">
        <v>4123</v>
      </c>
      <c r="M842" s="172"/>
    </row>
    <row r="843" hidden="1">
      <c r="A843" s="281" t="s">
        <v>68</v>
      </c>
      <c r="B843" s="266" t="s">
        <v>4124</v>
      </c>
      <c r="C843" s="190"/>
      <c r="D843" s="190"/>
      <c r="E843" s="190"/>
      <c r="F843" s="182">
        <v>458.0</v>
      </c>
      <c r="G843" s="172" t="str">
        <f>IFERROR(__xludf.DUMMYFUNCTION("TRIM(REGEXREPLACE(C843, ""[0-9]+[a-f]?\."", """"))"),"")</f>
        <v/>
      </c>
      <c r="H843" s="172" t="str">
        <f>IFERROR(__xludf.DUMMYFUNCTION("TRIM(REGEXREPLACE(D843, ""[0-9]+[a-f]?\."", """"))"),"")</f>
        <v/>
      </c>
      <c r="I843" s="172" t="str">
        <f>IFERROR(__xludf.DUMMYFUNCTION("TRIM(REGEXREPLACE(E843, ""[0-9]+[a-f]?\."", """"))"),"")</f>
        <v/>
      </c>
      <c r="J843" s="172" t="s">
        <v>4125</v>
      </c>
      <c r="K843" s="172" t="s">
        <v>4126</v>
      </c>
      <c r="L843" s="172" t="s">
        <v>4127</v>
      </c>
    </row>
    <row r="844" hidden="1">
      <c r="A844" s="281" t="s">
        <v>68</v>
      </c>
      <c r="B844" s="266" t="s">
        <v>4130</v>
      </c>
      <c r="C844" s="190"/>
      <c r="D844" s="190"/>
      <c r="E844" s="190"/>
      <c r="F844" s="182">
        <v>459.0</v>
      </c>
      <c r="G844" s="172" t="str">
        <f>IFERROR(__xludf.DUMMYFUNCTION("TRIM(REGEXREPLACE(C844, ""[0-9]+[a-f]?\."", """"))"),"")</f>
        <v/>
      </c>
      <c r="H844" s="172" t="str">
        <f>IFERROR(__xludf.DUMMYFUNCTION("TRIM(REGEXREPLACE(D844, ""[0-9]+[a-f]?\."", """"))"),"")</f>
        <v/>
      </c>
      <c r="I844" s="172" t="str">
        <f>IFERROR(__xludf.DUMMYFUNCTION("TRIM(REGEXREPLACE(E844, ""[0-9]+[a-f]?\."", """"))"),"")</f>
        <v/>
      </c>
      <c r="J844" s="172" t="s">
        <v>4133</v>
      </c>
      <c r="K844" s="172" t="s">
        <v>4134</v>
      </c>
      <c r="L844" s="172" t="s">
        <v>4135</v>
      </c>
    </row>
    <row r="845" hidden="1">
      <c r="A845" s="281" t="s">
        <v>68</v>
      </c>
      <c r="B845" s="266" t="s">
        <v>4136</v>
      </c>
      <c r="C845" s="190"/>
      <c r="D845" s="190"/>
      <c r="E845" s="190"/>
      <c r="F845" s="182">
        <v>460.0</v>
      </c>
      <c r="G845" s="172" t="str">
        <f>IFERROR(__xludf.DUMMYFUNCTION("TRIM(REGEXREPLACE(C845, ""[0-9]+[a-f]?\."", """"))"),"")</f>
        <v/>
      </c>
      <c r="H845" s="172" t="str">
        <f>IFERROR(__xludf.DUMMYFUNCTION("TRIM(REGEXREPLACE(D845, ""[0-9]+[a-f]?\."", """"))"),"")</f>
        <v/>
      </c>
      <c r="I845" s="172" t="str">
        <f>IFERROR(__xludf.DUMMYFUNCTION("TRIM(REGEXREPLACE(E845, ""[0-9]+[a-f]?\."", """"))"),"")</f>
        <v/>
      </c>
      <c r="J845" s="172" t="s">
        <v>4137</v>
      </c>
      <c r="K845" s="172" t="s">
        <v>4138</v>
      </c>
      <c r="L845" s="172" t="s">
        <v>4139</v>
      </c>
    </row>
    <row r="846" hidden="1">
      <c r="A846" s="281" t="s">
        <v>68</v>
      </c>
      <c r="B846" s="266" t="s">
        <v>4142</v>
      </c>
      <c r="C846" s="190"/>
      <c r="D846" s="190"/>
      <c r="E846" s="190"/>
      <c r="F846" s="182">
        <v>461.0</v>
      </c>
      <c r="G846" s="172" t="str">
        <f>IFERROR(__xludf.DUMMYFUNCTION("TRIM(REGEXREPLACE(C846, ""[0-9]+[a-f]?\."", """"))"),"")</f>
        <v/>
      </c>
      <c r="H846" s="172" t="str">
        <f>IFERROR(__xludf.DUMMYFUNCTION("TRIM(REGEXREPLACE(D846, ""[0-9]+[a-f]?\."", """"))"),"")</f>
        <v/>
      </c>
      <c r="I846" s="172" t="str">
        <f>IFERROR(__xludf.DUMMYFUNCTION("TRIM(REGEXREPLACE(E846, ""[0-9]+[a-f]?\."", """"))"),"")</f>
        <v/>
      </c>
      <c r="J846" s="172" t="s">
        <v>4144</v>
      </c>
      <c r="K846" s="172" t="s">
        <v>4145</v>
      </c>
      <c r="L846" s="172" t="s">
        <v>4146</v>
      </c>
      <c r="M846" s="172"/>
    </row>
    <row r="847" hidden="1">
      <c r="A847" s="281" t="s">
        <v>68</v>
      </c>
      <c r="B847" s="266" t="s">
        <v>4147</v>
      </c>
      <c r="C847" s="190"/>
      <c r="D847" s="190"/>
      <c r="E847" s="190"/>
      <c r="F847" s="182">
        <v>462.0</v>
      </c>
      <c r="G847" s="172" t="str">
        <f>IFERROR(__xludf.DUMMYFUNCTION("TRIM(REGEXREPLACE(C847, ""[0-9]+[a-f]?\."", """"))"),"")</f>
        <v/>
      </c>
      <c r="H847" s="172" t="str">
        <f>IFERROR(__xludf.DUMMYFUNCTION("TRIM(REGEXREPLACE(D847, ""[0-9]+[a-f]?\."", """"))"),"")</f>
        <v/>
      </c>
      <c r="I847" s="172" t="str">
        <f>IFERROR(__xludf.DUMMYFUNCTION("TRIM(REGEXREPLACE(E847, ""[0-9]+[a-f]?\."", """"))"),"")</f>
        <v/>
      </c>
      <c r="J847" s="172" t="s">
        <v>4149</v>
      </c>
      <c r="K847" s="172" t="s">
        <v>4151</v>
      </c>
      <c r="L847" s="172" t="s">
        <v>4153</v>
      </c>
      <c r="M847" s="172"/>
    </row>
    <row r="848" hidden="1">
      <c r="B848" s="260"/>
      <c r="C848" s="260"/>
      <c r="D848" s="260"/>
      <c r="E848" s="260"/>
      <c r="F848" s="182">
        <v>499.0</v>
      </c>
      <c r="G848" s="172" t="str">
        <f>IFERROR(__xludf.DUMMYFUNCTION("TRIM(REGEXREPLACE(C848, ""[0-9]+[a-f]?\."", """"))"),"")</f>
        <v/>
      </c>
      <c r="H848" s="172" t="str">
        <f>IFERROR(__xludf.DUMMYFUNCTION("TRIM(REGEXREPLACE(D848, ""[0-9]+[a-f]?\."", """"))"),"")</f>
        <v/>
      </c>
      <c r="I848" s="172" t="str">
        <f>IFERROR(__xludf.DUMMYFUNCTION("TRIM(REGEXREPLACE(E848, ""[0-9]+[a-f]?\."", """"))"),"")</f>
        <v/>
      </c>
      <c r="J848" s="172" t="s">
        <v>4154</v>
      </c>
      <c r="K848" s="172" t="s">
        <v>4155</v>
      </c>
      <c r="L848" s="172" t="s">
        <v>4156</v>
      </c>
      <c r="M848" s="172"/>
    </row>
    <row r="849" hidden="1">
      <c r="A849" s="281" t="s">
        <v>68</v>
      </c>
      <c r="B849" s="266" t="s">
        <v>4157</v>
      </c>
      <c r="C849" s="190"/>
      <c r="D849" s="190"/>
      <c r="E849" s="190"/>
      <c r="F849" s="182">
        <v>463.0</v>
      </c>
      <c r="G849" s="172" t="str">
        <f>IFERROR(__xludf.DUMMYFUNCTION("TRIM(REGEXREPLACE(C849, ""[0-9]+[a-f]?\."", """"))"),"")</f>
        <v/>
      </c>
      <c r="H849" s="172" t="str">
        <f>IFERROR(__xludf.DUMMYFUNCTION("TRIM(REGEXREPLACE(D849, ""[0-9]+[a-f]?\."", """"))"),"")</f>
        <v/>
      </c>
      <c r="I849" s="172" t="str">
        <f>IFERROR(__xludf.DUMMYFUNCTION("TRIM(REGEXREPLACE(E849, ""[0-9]+[a-f]?\."", """"))"),"")</f>
        <v/>
      </c>
      <c r="J849" s="172" t="s">
        <v>4161</v>
      </c>
      <c r="K849" s="172" t="s">
        <v>4162</v>
      </c>
      <c r="L849" s="172" t="s">
        <v>4163</v>
      </c>
      <c r="M849" s="172"/>
    </row>
    <row r="850" hidden="1">
      <c r="A850" s="281" t="s">
        <v>68</v>
      </c>
      <c r="B850" s="266" t="s">
        <v>4165</v>
      </c>
      <c r="C850" s="190"/>
      <c r="D850" s="190"/>
      <c r="E850" s="190"/>
      <c r="F850" s="182">
        <v>464.0</v>
      </c>
      <c r="G850" s="172" t="str">
        <f>IFERROR(__xludf.DUMMYFUNCTION("TRIM(REGEXREPLACE(C850, ""[0-9]+[a-f]?\."", """"))"),"")</f>
        <v/>
      </c>
      <c r="H850" s="172" t="str">
        <f>IFERROR(__xludf.DUMMYFUNCTION("TRIM(REGEXREPLACE(D850, ""[0-9]+[a-f]?\."", """"))"),"")</f>
        <v/>
      </c>
      <c r="I850" s="172" t="str">
        <f>IFERROR(__xludf.DUMMYFUNCTION("TRIM(REGEXREPLACE(E850, ""[0-9]+[a-f]?\."", """"))"),"")</f>
        <v/>
      </c>
      <c r="J850" s="172" t="s">
        <v>4166</v>
      </c>
      <c r="K850" s="172" t="s">
        <v>4167</v>
      </c>
      <c r="L850" s="172" t="s">
        <v>4168</v>
      </c>
      <c r="M850" s="172"/>
    </row>
    <row r="851" hidden="1">
      <c r="A851" s="281" t="s">
        <v>68</v>
      </c>
      <c r="B851" s="266" t="s">
        <v>4169</v>
      </c>
      <c r="C851" s="190"/>
      <c r="D851" s="190"/>
      <c r="E851" s="190"/>
      <c r="F851" s="182">
        <v>465.0</v>
      </c>
      <c r="G851" s="172" t="str">
        <f>IFERROR(__xludf.DUMMYFUNCTION("TRIM(REGEXREPLACE(C851, ""[0-9]+[a-f]?\."", """"))"),"")</f>
        <v/>
      </c>
      <c r="H851" s="172" t="str">
        <f>IFERROR(__xludf.DUMMYFUNCTION("TRIM(REGEXREPLACE(D851, ""[0-9]+[a-f]?\."", """"))"),"")</f>
        <v/>
      </c>
      <c r="I851" s="172" t="str">
        <f>IFERROR(__xludf.DUMMYFUNCTION("TRIM(REGEXREPLACE(E851, ""[0-9]+[a-f]?\."", """"))"),"")</f>
        <v/>
      </c>
      <c r="J851" s="172" t="s">
        <v>4170</v>
      </c>
      <c r="K851" s="172" t="s">
        <v>4172</v>
      </c>
      <c r="L851" s="172" t="s">
        <v>4173</v>
      </c>
    </row>
    <row r="852" hidden="1">
      <c r="A852" s="281" t="s">
        <v>68</v>
      </c>
      <c r="B852" s="266" t="s">
        <v>4175</v>
      </c>
      <c r="C852" s="190"/>
      <c r="D852" s="190"/>
      <c r="E852" s="190"/>
      <c r="F852" s="182">
        <v>466.0</v>
      </c>
      <c r="G852" s="172" t="str">
        <f>IFERROR(__xludf.DUMMYFUNCTION("TRIM(REGEXREPLACE(C852, ""[0-9]+[a-f]?\."", """"))"),"")</f>
        <v/>
      </c>
      <c r="H852" s="172" t="str">
        <f>IFERROR(__xludf.DUMMYFUNCTION("TRIM(REGEXREPLACE(D852, ""[0-9]+[a-f]?\."", """"))"),"")</f>
        <v/>
      </c>
      <c r="I852" s="172" t="str">
        <f>IFERROR(__xludf.DUMMYFUNCTION("TRIM(REGEXREPLACE(E852, ""[0-9]+[a-f]?\."", """"))"),"")</f>
        <v/>
      </c>
      <c r="J852" s="172" t="s">
        <v>4176</v>
      </c>
      <c r="K852" s="172" t="s">
        <v>4177</v>
      </c>
      <c r="L852" s="172" t="s">
        <v>4178</v>
      </c>
    </row>
    <row r="853" hidden="1">
      <c r="A853" s="281" t="s">
        <v>68</v>
      </c>
      <c r="B853" s="266" t="s">
        <v>4179</v>
      </c>
      <c r="C853" s="190"/>
      <c r="D853" s="190"/>
      <c r="E853" s="190"/>
      <c r="F853" s="182">
        <v>467.0</v>
      </c>
      <c r="G853" s="172" t="str">
        <f>IFERROR(__xludf.DUMMYFUNCTION("TRIM(REGEXREPLACE(C853, ""[0-9]+[a-f]?\."", """"))"),"")</f>
        <v/>
      </c>
      <c r="H853" s="172" t="str">
        <f>IFERROR(__xludf.DUMMYFUNCTION("TRIM(REGEXREPLACE(D853, ""[0-9]+[a-f]?\."", """"))"),"")</f>
        <v/>
      </c>
      <c r="I853" s="172" t="str">
        <f>IFERROR(__xludf.DUMMYFUNCTION("TRIM(REGEXREPLACE(E853, ""[0-9]+[a-f]?\."", """"))"),"")</f>
        <v/>
      </c>
      <c r="J853" s="172" t="s">
        <v>4180</v>
      </c>
      <c r="K853" s="172" t="s">
        <v>4181</v>
      </c>
      <c r="L853" s="172" t="s">
        <v>4182</v>
      </c>
    </row>
    <row r="854" hidden="1">
      <c r="A854" s="281" t="s">
        <v>68</v>
      </c>
      <c r="B854" s="266" t="s">
        <v>4183</v>
      </c>
      <c r="C854" s="190"/>
      <c r="D854" s="190"/>
      <c r="E854" s="190"/>
      <c r="F854" s="182">
        <v>468.0</v>
      </c>
      <c r="G854" s="172" t="str">
        <f>IFERROR(__xludf.DUMMYFUNCTION("TRIM(REGEXREPLACE(C854, ""[0-9]+[a-f]?\."", """"))"),"")</f>
        <v/>
      </c>
      <c r="H854" s="172" t="str">
        <f>IFERROR(__xludf.DUMMYFUNCTION("TRIM(REGEXREPLACE(D854, ""[0-9]+[a-f]?\."", """"))"),"")</f>
        <v/>
      </c>
      <c r="I854" s="172" t="str">
        <f>IFERROR(__xludf.DUMMYFUNCTION("TRIM(REGEXREPLACE(E854, ""[0-9]+[a-f]?\."", """"))"),"")</f>
        <v/>
      </c>
      <c r="J854" s="172" t="s">
        <v>4184</v>
      </c>
      <c r="K854" s="172" t="s">
        <v>4185</v>
      </c>
      <c r="L854" s="172" t="s">
        <v>4186</v>
      </c>
      <c r="M854" s="172"/>
    </row>
    <row r="855" hidden="1">
      <c r="A855" s="281" t="s">
        <v>68</v>
      </c>
      <c r="B855" s="266" t="s">
        <v>4187</v>
      </c>
      <c r="C855" s="190"/>
      <c r="D855" s="190"/>
      <c r="E855" s="190"/>
      <c r="F855" s="182">
        <v>469.0</v>
      </c>
      <c r="G855" s="172" t="str">
        <f>IFERROR(__xludf.DUMMYFUNCTION("TRIM(REGEXREPLACE(C855, ""[0-9]+[a-f]?\."", """"))"),"")</f>
        <v/>
      </c>
      <c r="H855" s="172" t="str">
        <f>IFERROR(__xludf.DUMMYFUNCTION("TRIM(REGEXREPLACE(D855, ""[0-9]+[a-f]?\."", """"))"),"")</f>
        <v/>
      </c>
      <c r="I855" s="172" t="str">
        <f>IFERROR(__xludf.DUMMYFUNCTION("TRIM(REGEXREPLACE(E855, ""[0-9]+[a-f]?\."", """"))"),"")</f>
        <v/>
      </c>
      <c r="J855" s="172" t="s">
        <v>4188</v>
      </c>
      <c r="K855" s="172" t="s">
        <v>4190</v>
      </c>
      <c r="L855" s="172" t="s">
        <v>4191</v>
      </c>
      <c r="M855" s="172"/>
    </row>
    <row r="856" hidden="1">
      <c r="A856" s="281" t="s">
        <v>68</v>
      </c>
      <c r="B856" s="266" t="s">
        <v>4194</v>
      </c>
      <c r="C856" s="190"/>
      <c r="D856" s="190"/>
      <c r="E856" s="190"/>
      <c r="F856" s="182">
        <v>470.0</v>
      </c>
      <c r="G856" s="172" t="str">
        <f>IFERROR(__xludf.DUMMYFUNCTION("TRIM(REGEXREPLACE(C856, ""[0-9]+[a-f]?\."", """"))"),"")</f>
        <v/>
      </c>
      <c r="H856" s="172" t="str">
        <f>IFERROR(__xludf.DUMMYFUNCTION("TRIM(REGEXREPLACE(D856, ""[0-9]+[a-f]?\."", """"))"),"")</f>
        <v/>
      </c>
      <c r="I856" s="172" t="str">
        <f>IFERROR(__xludf.DUMMYFUNCTION("TRIM(REGEXREPLACE(E856, ""[0-9]+[a-f]?\."", """"))"),"")</f>
        <v/>
      </c>
      <c r="J856" s="172" t="s">
        <v>4196</v>
      </c>
      <c r="K856" s="172" t="s">
        <v>4197</v>
      </c>
      <c r="L856" s="172" t="s">
        <v>4198</v>
      </c>
      <c r="M856" s="172"/>
    </row>
    <row r="857" hidden="1">
      <c r="A857" s="281" t="s">
        <v>68</v>
      </c>
      <c r="B857" s="266" t="s">
        <v>4199</v>
      </c>
      <c r="C857" s="190"/>
      <c r="D857" s="190"/>
      <c r="E857" s="190"/>
      <c r="F857" s="182">
        <v>471.0</v>
      </c>
      <c r="G857" s="172" t="str">
        <f>IFERROR(__xludf.DUMMYFUNCTION("TRIM(REGEXREPLACE(C857, ""[0-9]+[a-f]?\."", """"))"),"")</f>
        <v/>
      </c>
      <c r="H857" s="172" t="str">
        <f>IFERROR(__xludf.DUMMYFUNCTION("TRIM(REGEXREPLACE(D857, ""[0-9]+[a-f]?\."", """"))"),"")</f>
        <v/>
      </c>
      <c r="I857" s="172" t="str">
        <f>IFERROR(__xludf.DUMMYFUNCTION("TRIM(REGEXREPLACE(E857, ""[0-9]+[a-f]?\."", """"))"),"")</f>
        <v/>
      </c>
      <c r="J857" s="172" t="s">
        <v>4200</v>
      </c>
      <c r="K857" s="172" t="s">
        <v>4201</v>
      </c>
      <c r="L857" s="172" t="s">
        <v>4202</v>
      </c>
    </row>
    <row r="858" hidden="1">
      <c r="A858" s="281" t="s">
        <v>68</v>
      </c>
      <c r="B858" s="266" t="s">
        <v>4206</v>
      </c>
      <c r="C858" s="190"/>
      <c r="D858" s="190"/>
      <c r="E858" s="190"/>
      <c r="F858" s="182">
        <v>472.0</v>
      </c>
      <c r="G858" s="172" t="str">
        <f>IFERROR(__xludf.DUMMYFUNCTION("TRIM(REGEXREPLACE(C858, ""[0-9]+[a-f]?\."", """"))"),"")</f>
        <v/>
      </c>
      <c r="H858" s="172" t="str">
        <f>IFERROR(__xludf.DUMMYFUNCTION("TRIM(REGEXREPLACE(D858, ""[0-9]+[a-f]?\."", """"))"),"")</f>
        <v/>
      </c>
      <c r="I858" s="172" t="str">
        <f>IFERROR(__xludf.DUMMYFUNCTION("TRIM(REGEXREPLACE(E858, ""[0-9]+[a-f]?\."", """"))"),"")</f>
        <v/>
      </c>
      <c r="J858" s="172" t="s">
        <v>4207</v>
      </c>
      <c r="K858" s="172" t="s">
        <v>4208</v>
      </c>
      <c r="L858" s="172" t="s">
        <v>4209</v>
      </c>
    </row>
    <row r="859" hidden="1">
      <c r="A859" s="281" t="s">
        <v>68</v>
      </c>
      <c r="B859" s="266" t="s">
        <v>4210</v>
      </c>
      <c r="C859" s="190"/>
      <c r="D859" s="190"/>
      <c r="E859" s="190"/>
      <c r="F859" s="182">
        <v>473.0</v>
      </c>
      <c r="G859" s="172" t="str">
        <f>IFERROR(__xludf.DUMMYFUNCTION("TRIM(REGEXREPLACE(C859, ""[0-9]+[a-f]?\."", """"))"),"")</f>
        <v/>
      </c>
      <c r="H859" s="172" t="str">
        <f>IFERROR(__xludf.DUMMYFUNCTION("TRIM(REGEXREPLACE(D859, ""[0-9]+[a-f]?\."", """"))"),"")</f>
        <v/>
      </c>
      <c r="I859" s="172" t="str">
        <f>IFERROR(__xludf.DUMMYFUNCTION("TRIM(REGEXREPLACE(E859, ""[0-9]+[a-f]?\."", """"))"),"")</f>
        <v/>
      </c>
      <c r="J859" s="172" t="s">
        <v>4214</v>
      </c>
      <c r="K859" s="172" t="s">
        <v>4215</v>
      </c>
      <c r="L859" s="172" t="s">
        <v>4216</v>
      </c>
    </row>
    <row r="860" hidden="1">
      <c r="A860" s="281" t="s">
        <v>68</v>
      </c>
      <c r="B860" s="266" t="s">
        <v>4217</v>
      </c>
      <c r="C860" s="190"/>
      <c r="D860" s="190"/>
      <c r="E860" s="190"/>
      <c r="F860" s="182">
        <v>474.0</v>
      </c>
      <c r="G860" s="172" t="str">
        <f>IFERROR(__xludf.DUMMYFUNCTION("TRIM(REGEXREPLACE(C860, ""[0-9]+[a-f]?\."", """"))"),"")</f>
        <v/>
      </c>
      <c r="H860" s="172" t="str">
        <f>IFERROR(__xludf.DUMMYFUNCTION("TRIM(REGEXREPLACE(D860, ""[0-9]+[a-f]?\."", """"))"),"")</f>
        <v/>
      </c>
      <c r="I860" s="172" t="str">
        <f>IFERROR(__xludf.DUMMYFUNCTION("TRIM(REGEXREPLACE(E860, ""[0-9]+[a-f]?\."", """"))"),"")</f>
        <v/>
      </c>
      <c r="J860" s="172" t="s">
        <v>4218</v>
      </c>
      <c r="K860" s="172" t="s">
        <v>4219</v>
      </c>
      <c r="L860" s="172" t="s">
        <v>4220</v>
      </c>
      <c r="M860" s="172"/>
    </row>
    <row r="861" hidden="1">
      <c r="A861" s="281" t="s">
        <v>68</v>
      </c>
      <c r="B861" s="266" t="s">
        <v>4223</v>
      </c>
      <c r="C861" s="190"/>
      <c r="D861" s="190"/>
      <c r="E861" s="190"/>
      <c r="F861" s="182">
        <v>475.0</v>
      </c>
      <c r="G861" s="172" t="str">
        <f>IFERROR(__xludf.DUMMYFUNCTION("TRIM(REGEXREPLACE(C861, ""[0-9]+[a-f]?\."", """"))"),"")</f>
        <v/>
      </c>
      <c r="H861" s="172" t="str">
        <f>IFERROR(__xludf.DUMMYFUNCTION("TRIM(REGEXREPLACE(D861, ""[0-9]+[a-f]?\."", """"))"),"")</f>
        <v/>
      </c>
      <c r="I861" s="172" t="str">
        <f>IFERROR(__xludf.DUMMYFUNCTION("TRIM(REGEXREPLACE(E861, ""[0-9]+[a-f]?\."", """"))"),"")</f>
        <v/>
      </c>
      <c r="J861" s="172" t="s">
        <v>4225</v>
      </c>
      <c r="K861" s="172" t="s">
        <v>4226</v>
      </c>
      <c r="L861" s="172" t="s">
        <v>4227</v>
      </c>
      <c r="M861" s="172"/>
    </row>
    <row r="862" hidden="1">
      <c r="B862" s="260"/>
      <c r="C862" s="260"/>
      <c r="D862" s="260"/>
      <c r="E862" s="260"/>
      <c r="F862" s="182">
        <v>510.0</v>
      </c>
      <c r="G862" s="172" t="str">
        <f>IFERROR(__xludf.DUMMYFUNCTION("TRIM(REGEXREPLACE(C862, ""[0-9]+[a-f]?\."", """"))"),"")</f>
        <v/>
      </c>
      <c r="H862" s="172" t="str">
        <f>IFERROR(__xludf.DUMMYFUNCTION("TRIM(REGEXREPLACE(D862, ""[0-9]+[a-f]?\."", """"))"),"")</f>
        <v/>
      </c>
      <c r="I862" s="172" t="str">
        <f>IFERROR(__xludf.DUMMYFUNCTION("TRIM(REGEXREPLACE(E862, ""[0-9]+[a-f]?\."", """"))"),"")</f>
        <v/>
      </c>
      <c r="J862" s="172" t="s">
        <v>4229</v>
      </c>
      <c r="K862" s="172" t="s">
        <v>4231</v>
      </c>
      <c r="L862" s="172" t="s">
        <v>4233</v>
      </c>
      <c r="M862" s="172"/>
    </row>
    <row r="863" hidden="1"/>
    <row r="864" hidden="1">
      <c r="B864" s="260"/>
      <c r="C864" s="260"/>
      <c r="D864" s="260"/>
      <c r="E864" s="260"/>
      <c r="F864" s="182">
        <v>518.0</v>
      </c>
      <c r="G864" s="172" t="str">
        <f>IFERROR(__xludf.DUMMYFUNCTION("TRIM(REGEXREPLACE(C864, ""[0-9]+[a-f]?\."", """"))"),"")</f>
        <v/>
      </c>
      <c r="H864" s="172" t="str">
        <f>IFERROR(__xludf.DUMMYFUNCTION("TRIM(REGEXREPLACE(D864, ""[0-9]+[a-f]?\."", """"))"),"")</f>
        <v/>
      </c>
      <c r="I864" s="172" t="str">
        <f>IFERROR(__xludf.DUMMYFUNCTION("TRIM(REGEXREPLACE(E864, ""[0-9]+[a-f]?\."", """"))"),"")</f>
        <v/>
      </c>
      <c r="J864" s="172" t="s">
        <v>4234</v>
      </c>
      <c r="K864" s="172" t="s">
        <v>4235</v>
      </c>
      <c r="L864" s="172" t="s">
        <v>4236</v>
      </c>
    </row>
    <row r="865" hidden="1">
      <c r="A865" s="281" t="s">
        <v>68</v>
      </c>
      <c r="B865" s="266" t="s">
        <v>4237</v>
      </c>
      <c r="C865" s="190"/>
      <c r="D865" s="190"/>
      <c r="E865" s="190"/>
      <c r="F865" s="182">
        <v>476.0</v>
      </c>
      <c r="G865" s="172" t="str">
        <f>IFERROR(__xludf.DUMMYFUNCTION("TRIM(REGEXREPLACE(C865, ""[0-9]+[a-f]?\."", """"))"),"")</f>
        <v/>
      </c>
      <c r="H865" s="172" t="str">
        <f>IFERROR(__xludf.DUMMYFUNCTION("TRIM(REGEXREPLACE(D865, ""[0-9]+[a-f]?\."", """"))"),"")</f>
        <v/>
      </c>
      <c r="I865" s="172" t="str">
        <f>IFERROR(__xludf.DUMMYFUNCTION("TRIM(REGEXREPLACE(E865, ""[0-9]+[a-f]?\."", """"))"),"")</f>
        <v/>
      </c>
      <c r="J865" s="172" t="s">
        <v>4238</v>
      </c>
      <c r="K865" s="172" t="s">
        <v>4239</v>
      </c>
      <c r="L865" s="172" t="s">
        <v>4240</v>
      </c>
      <c r="M865" s="172"/>
    </row>
    <row r="866" hidden="1">
      <c r="A866" s="281" t="s">
        <v>68</v>
      </c>
      <c r="B866" s="266" t="s">
        <v>4241</v>
      </c>
      <c r="C866" s="190"/>
      <c r="D866" s="190"/>
      <c r="E866" s="190"/>
      <c r="F866" s="182">
        <v>477.0</v>
      </c>
      <c r="G866" s="172" t="str">
        <f>IFERROR(__xludf.DUMMYFUNCTION("TRIM(REGEXREPLACE(C866, ""[0-9]+[a-f]?\."", """"))"),"")</f>
        <v/>
      </c>
      <c r="H866" s="172" t="str">
        <f>IFERROR(__xludf.DUMMYFUNCTION("TRIM(REGEXREPLACE(D866, ""[0-9]+[a-f]?\."", """"))"),"")</f>
        <v/>
      </c>
      <c r="I866" s="172" t="str">
        <f>IFERROR(__xludf.DUMMYFUNCTION("TRIM(REGEXREPLACE(E866, ""[0-9]+[a-f]?\."", """"))"),"")</f>
        <v/>
      </c>
      <c r="J866" s="172" t="s">
        <v>4242</v>
      </c>
      <c r="K866" s="172" t="s">
        <v>4243</v>
      </c>
      <c r="L866" s="172" t="s">
        <v>4244</v>
      </c>
      <c r="M866" s="172"/>
    </row>
    <row r="867" hidden="1">
      <c r="A867" s="281" t="s">
        <v>68</v>
      </c>
      <c r="B867" s="266" t="s">
        <v>4245</v>
      </c>
      <c r="C867" s="190"/>
      <c r="D867" s="190"/>
      <c r="E867" s="190"/>
      <c r="F867" s="182">
        <v>478.0</v>
      </c>
      <c r="G867" s="172" t="str">
        <f>IFERROR(__xludf.DUMMYFUNCTION("TRIM(REGEXREPLACE(C867, ""[0-9]+[a-f]?\."", """"))"),"")</f>
        <v/>
      </c>
      <c r="H867" s="172" t="str">
        <f>IFERROR(__xludf.DUMMYFUNCTION("TRIM(REGEXREPLACE(D867, ""[0-9]+[a-f]?\."", """"))"),"")</f>
        <v/>
      </c>
      <c r="I867" s="172" t="str">
        <f>IFERROR(__xludf.DUMMYFUNCTION("TRIM(REGEXREPLACE(E867, ""[0-9]+[a-f]?\."", """"))"),"")</f>
        <v/>
      </c>
      <c r="J867" s="172" t="s">
        <v>4247</v>
      </c>
      <c r="K867" s="172" t="s">
        <v>4249</v>
      </c>
      <c r="L867" s="172" t="s">
        <v>4251</v>
      </c>
      <c r="M867" s="172"/>
    </row>
    <row r="868" hidden="1">
      <c r="A868" s="281" t="s">
        <v>68</v>
      </c>
      <c r="B868" s="266" t="s">
        <v>4253</v>
      </c>
      <c r="C868" s="190"/>
      <c r="D868" s="190"/>
      <c r="E868" s="190"/>
      <c r="F868" s="182">
        <v>479.0</v>
      </c>
      <c r="G868" s="172" t="str">
        <f>IFERROR(__xludf.DUMMYFUNCTION("TRIM(REGEXREPLACE(C868, ""[0-9]+[a-f]?\."", """"))"),"")</f>
        <v/>
      </c>
      <c r="H868" s="172" t="str">
        <f>IFERROR(__xludf.DUMMYFUNCTION("TRIM(REGEXREPLACE(D868, ""[0-9]+[a-f]?\."", """"))"),"")</f>
        <v/>
      </c>
      <c r="I868" s="172" t="str">
        <f>IFERROR(__xludf.DUMMYFUNCTION("TRIM(REGEXREPLACE(E868, ""[0-9]+[a-f]?\."", """"))"),"")</f>
        <v/>
      </c>
      <c r="J868" s="172" t="s">
        <v>4254</v>
      </c>
      <c r="K868" s="172" t="s">
        <v>4255</v>
      </c>
      <c r="L868" s="172" t="s">
        <v>4046</v>
      </c>
      <c r="M868" s="172"/>
    </row>
    <row r="869" hidden="1">
      <c r="B869" s="260"/>
      <c r="C869" s="260"/>
      <c r="D869" s="260"/>
      <c r="E869" s="260"/>
      <c r="F869" s="182">
        <v>515.0</v>
      </c>
      <c r="G869" s="172" t="str">
        <f>IFERROR(__xludf.DUMMYFUNCTION("TRIM(REGEXREPLACE(C869, ""[0-9]+[a-f]?\."", """"))"),"")</f>
        <v/>
      </c>
      <c r="H869" s="172" t="str">
        <f>IFERROR(__xludf.DUMMYFUNCTION("TRIM(REGEXREPLACE(D869, ""[0-9]+[a-f]?\."", """"))"),"")</f>
        <v/>
      </c>
      <c r="I869" s="172" t="str">
        <f>IFERROR(__xludf.DUMMYFUNCTION("TRIM(REGEXREPLACE(E869, ""[0-9]+[a-f]?\."", """"))"),"")</f>
        <v/>
      </c>
      <c r="J869" s="172" t="s">
        <v>4259</v>
      </c>
      <c r="K869" s="172" t="s">
        <v>4260</v>
      </c>
      <c r="L869" s="172" t="s">
        <v>4261</v>
      </c>
      <c r="M869" s="172"/>
    </row>
    <row r="870" hidden="1">
      <c r="B870" s="260"/>
      <c r="C870" s="260"/>
      <c r="D870" s="260"/>
      <c r="E870" s="260"/>
      <c r="F870" s="182">
        <v>513.0</v>
      </c>
      <c r="G870" s="172" t="str">
        <f>IFERROR(__xludf.DUMMYFUNCTION("TRIM(REGEXREPLACE(C870, ""[0-9]+[a-f]?\."", """"))"),"")</f>
        <v/>
      </c>
      <c r="H870" s="172" t="str">
        <f>IFERROR(__xludf.DUMMYFUNCTION("TRIM(REGEXREPLACE(D870, ""[0-9]+[a-f]?\."", """"))"),"")</f>
        <v/>
      </c>
      <c r="I870" s="172" t="str">
        <f>IFERROR(__xludf.DUMMYFUNCTION("TRIM(REGEXREPLACE(E870, ""[0-9]+[a-f]?\."", """"))"),"")</f>
        <v/>
      </c>
      <c r="J870" s="172" t="s">
        <v>4262</v>
      </c>
      <c r="K870" s="172" t="s">
        <v>4263</v>
      </c>
      <c r="L870" s="172" t="s">
        <v>4264</v>
      </c>
      <c r="M870" s="172"/>
    </row>
    <row r="871" hidden="1">
      <c r="B871" s="260"/>
      <c r="C871" s="260"/>
      <c r="D871" s="260"/>
      <c r="E871" s="260"/>
      <c r="F871" s="182">
        <v>516.0</v>
      </c>
      <c r="G871" s="172" t="str">
        <f>IFERROR(__xludf.DUMMYFUNCTION("TRIM(REGEXREPLACE(C871, ""[0-9]+[a-f]?\."", """"))"),"")</f>
        <v/>
      </c>
      <c r="H871" s="172" t="str">
        <f>IFERROR(__xludf.DUMMYFUNCTION("TRIM(REGEXREPLACE(D871, ""[0-9]+[a-f]?\."", """"))"),"")</f>
        <v/>
      </c>
      <c r="I871" s="172" t="str">
        <f>IFERROR(__xludf.DUMMYFUNCTION("TRIM(REGEXREPLACE(E871, ""[0-9]+[a-f]?\."", """"))"),"")</f>
        <v/>
      </c>
      <c r="J871" s="172" t="s">
        <v>4265</v>
      </c>
      <c r="K871" s="172" t="s">
        <v>4267</v>
      </c>
      <c r="L871" s="172" t="s">
        <v>4269</v>
      </c>
      <c r="M871" s="172"/>
    </row>
    <row r="872" hidden="1">
      <c r="B872" s="260"/>
      <c r="C872" s="260"/>
      <c r="D872" s="260"/>
      <c r="E872" s="260"/>
      <c r="F872" s="182">
        <v>514.0</v>
      </c>
      <c r="G872" s="172" t="str">
        <f>IFERROR(__xludf.DUMMYFUNCTION("TRIM(REGEXREPLACE(C872, ""[0-9]+[a-f]?\."", """"))"),"")</f>
        <v/>
      </c>
      <c r="H872" s="172" t="str">
        <f>IFERROR(__xludf.DUMMYFUNCTION("TRIM(REGEXREPLACE(D872, ""[0-9]+[a-f]?\."", """"))"),"")</f>
        <v/>
      </c>
      <c r="I872" s="172" t="str">
        <f>IFERROR(__xludf.DUMMYFUNCTION("TRIM(REGEXREPLACE(E872, ""[0-9]+[a-f]?\."", """"))"),"")</f>
        <v/>
      </c>
      <c r="J872" s="172" t="s">
        <v>4271</v>
      </c>
      <c r="K872" s="172" t="s">
        <v>4272</v>
      </c>
      <c r="L872" s="172" t="s">
        <v>4273</v>
      </c>
      <c r="M872" s="172"/>
    </row>
    <row r="873" hidden="1">
      <c r="B873" s="260"/>
      <c r="C873" s="260"/>
      <c r="D873" s="260"/>
      <c r="E873" s="260"/>
      <c r="F873" s="182">
        <v>515.0</v>
      </c>
      <c r="G873" s="172" t="str">
        <f>IFERROR(__xludf.DUMMYFUNCTION("TRIM(REGEXREPLACE(C873, ""[0-9]+[a-f]?\."", """"))"),"")</f>
        <v/>
      </c>
      <c r="H873" s="172" t="str">
        <f>IFERROR(__xludf.DUMMYFUNCTION("TRIM(REGEXREPLACE(D873, ""[0-9]+[a-f]?\."", """"))"),"")</f>
        <v/>
      </c>
      <c r="I873" s="172" t="str">
        <f>IFERROR(__xludf.DUMMYFUNCTION("TRIM(REGEXREPLACE(E873, ""[0-9]+[a-f]?\."", """"))"),"")</f>
        <v/>
      </c>
      <c r="J873" s="172" t="s">
        <v>4274</v>
      </c>
      <c r="K873" s="172" t="s">
        <v>4275</v>
      </c>
      <c r="L873" s="172" t="s">
        <v>4276</v>
      </c>
      <c r="M873" s="172"/>
    </row>
    <row r="874" hidden="1">
      <c r="B874" s="260"/>
      <c r="C874" s="260"/>
      <c r="D874" s="260"/>
      <c r="E874" s="260"/>
      <c r="F874" s="182">
        <v>516.0</v>
      </c>
      <c r="G874" s="172" t="str">
        <f>IFERROR(__xludf.DUMMYFUNCTION("TRIM(REGEXREPLACE(C874, ""[0-9]+[a-f]?\."", """"))"),"")</f>
        <v/>
      </c>
      <c r="H874" s="172" t="str">
        <f>IFERROR(__xludf.DUMMYFUNCTION("TRIM(REGEXREPLACE(D874, ""[0-9]+[a-f]?\."", """"))"),"")</f>
        <v/>
      </c>
      <c r="I874" s="172" t="str">
        <f>IFERROR(__xludf.DUMMYFUNCTION("TRIM(REGEXREPLACE(E874, ""[0-9]+[a-f]?\."", """"))"),"")</f>
        <v/>
      </c>
      <c r="J874" s="172" t="s">
        <v>4277</v>
      </c>
      <c r="K874" s="172" t="s">
        <v>4278</v>
      </c>
      <c r="L874" s="172" t="s">
        <v>4280</v>
      </c>
      <c r="M874" s="172"/>
    </row>
    <row r="875" hidden="1"/>
    <row r="876" hidden="1">
      <c r="B876" s="260"/>
      <c r="C876" s="260"/>
      <c r="D876" s="260"/>
      <c r="E876" s="260"/>
      <c r="F876" s="182">
        <v>517.0</v>
      </c>
      <c r="G876" s="172" t="str">
        <f>IFERROR(__xludf.DUMMYFUNCTION("TRIM(REGEXREPLACE(C876, ""[0-9]+[a-f]?\."", """"))"),"")</f>
        <v/>
      </c>
      <c r="H876" s="172" t="str">
        <f>IFERROR(__xludf.DUMMYFUNCTION("TRIM(REGEXREPLACE(D876, ""[0-9]+[a-f]?\."", """"))"),"")</f>
        <v/>
      </c>
      <c r="I876" s="172" t="str">
        <f>IFERROR(__xludf.DUMMYFUNCTION("TRIM(REGEXREPLACE(E876, ""[0-9]+[a-f]?\."", """"))"),"")</f>
        <v/>
      </c>
      <c r="J876" s="172" t="s">
        <v>4283</v>
      </c>
      <c r="K876" s="172" t="s">
        <v>4284</v>
      </c>
      <c r="L876" s="172" t="s">
        <v>4284</v>
      </c>
    </row>
    <row r="877" hidden="1">
      <c r="B877" s="260"/>
      <c r="C877" s="260"/>
      <c r="D877" s="260"/>
      <c r="E877" s="260"/>
      <c r="F877" s="182">
        <v>518.0</v>
      </c>
      <c r="G877" s="172" t="str">
        <f>IFERROR(__xludf.DUMMYFUNCTION("TRIM(REGEXREPLACE(C877, ""[0-9]+[a-f]?\."", """"))"),"")</f>
        <v/>
      </c>
      <c r="H877" s="172" t="str">
        <f>IFERROR(__xludf.DUMMYFUNCTION("TRIM(REGEXREPLACE(D877, ""[0-9]+[a-f]?\."", """"))"),"")</f>
        <v/>
      </c>
      <c r="I877" s="172" t="str">
        <f>IFERROR(__xludf.DUMMYFUNCTION("TRIM(REGEXREPLACE(E877, ""[0-9]+[a-f]?\."", """"))"),"")</f>
        <v/>
      </c>
      <c r="J877" s="172" t="s">
        <v>4285</v>
      </c>
      <c r="K877" s="172" t="s">
        <v>4286</v>
      </c>
      <c r="L877" s="172" t="s">
        <v>4286</v>
      </c>
      <c r="M877" s="172"/>
    </row>
    <row r="878" hidden="1">
      <c r="A878" s="281" t="s">
        <v>68</v>
      </c>
      <c r="B878" s="266" t="s">
        <v>4287</v>
      </c>
      <c r="C878" s="190"/>
      <c r="D878" s="190"/>
      <c r="E878" s="190"/>
      <c r="F878" s="182">
        <v>480.0</v>
      </c>
      <c r="G878" s="172" t="str">
        <f>IFERROR(__xludf.DUMMYFUNCTION("TRIM(REGEXREPLACE(C878, ""[0-9]+[a-f]?\."", """"))"),"")</f>
        <v/>
      </c>
      <c r="H878" s="172" t="str">
        <f>IFERROR(__xludf.DUMMYFUNCTION("TRIM(REGEXREPLACE(D878, ""[0-9]+[a-f]?\."", """"))"),"")</f>
        <v/>
      </c>
      <c r="I878" s="172" t="str">
        <f>IFERROR(__xludf.DUMMYFUNCTION("TRIM(REGEXREPLACE(E878, ""[0-9]+[a-f]?\."", """"))"),"")</f>
        <v/>
      </c>
      <c r="J878" s="172" t="s">
        <v>4291</v>
      </c>
      <c r="K878" s="172" t="s">
        <v>4292</v>
      </c>
      <c r="L878" s="172" t="s">
        <v>4293</v>
      </c>
    </row>
    <row r="879" hidden="1">
      <c r="A879" s="281" t="s">
        <v>68</v>
      </c>
      <c r="B879" s="266" t="s">
        <v>4294</v>
      </c>
      <c r="C879" s="190"/>
      <c r="D879" s="190"/>
      <c r="E879" s="190"/>
      <c r="F879" s="182">
        <v>481.0</v>
      </c>
      <c r="G879" s="172" t="str">
        <f>IFERROR(__xludf.DUMMYFUNCTION("TRIM(REGEXREPLACE(C879, ""[0-9]+[a-f]?\."", """"))"),"")</f>
        <v/>
      </c>
      <c r="H879" s="172" t="str">
        <f>IFERROR(__xludf.DUMMYFUNCTION("TRIM(REGEXREPLACE(D879, ""[0-9]+[a-f]?\."", """"))"),"")</f>
        <v/>
      </c>
      <c r="I879" s="172" t="str">
        <f>IFERROR(__xludf.DUMMYFUNCTION("TRIM(REGEXREPLACE(E879, ""[0-9]+[a-f]?\."", """"))"),"")</f>
        <v/>
      </c>
      <c r="J879" s="172" t="s">
        <v>4295</v>
      </c>
      <c r="K879" s="172" t="s">
        <v>4296</v>
      </c>
      <c r="L879" s="172" t="s">
        <v>4297</v>
      </c>
    </row>
    <row r="880" hidden="1">
      <c r="A880" s="281" t="s">
        <v>68</v>
      </c>
      <c r="B880" s="266" t="s">
        <v>4298</v>
      </c>
      <c r="C880" s="190"/>
      <c r="D880" s="190"/>
      <c r="E880" s="190"/>
      <c r="F880" s="182">
        <v>482.0</v>
      </c>
      <c r="G880" s="172" t="str">
        <f>IFERROR(__xludf.DUMMYFUNCTION("TRIM(REGEXREPLACE(C880, ""[0-9]+[a-f]?\."", """"))"),"")</f>
        <v/>
      </c>
      <c r="H880" s="172" t="str">
        <f>IFERROR(__xludf.DUMMYFUNCTION("TRIM(REGEXREPLACE(D880, ""[0-9]+[a-f]?\."", """"))"),"")</f>
        <v/>
      </c>
      <c r="I880" s="172" t="str">
        <f>IFERROR(__xludf.DUMMYFUNCTION("TRIM(REGEXREPLACE(E880, ""[0-9]+[a-f]?\."", """"))"),"")</f>
        <v/>
      </c>
      <c r="J880" s="172" t="s">
        <v>4299</v>
      </c>
      <c r="K880" s="172" t="s">
        <v>4300</v>
      </c>
      <c r="L880" s="172" t="s">
        <v>4301</v>
      </c>
      <c r="M880" s="172"/>
    </row>
    <row r="881" hidden="1">
      <c r="A881" s="281" t="s">
        <v>68</v>
      </c>
      <c r="B881" s="266" t="s">
        <v>4302</v>
      </c>
      <c r="C881" s="190"/>
      <c r="D881" s="190"/>
      <c r="E881" s="190"/>
      <c r="F881" s="182">
        <v>483.0</v>
      </c>
      <c r="G881" s="172" t="str">
        <f>IFERROR(__xludf.DUMMYFUNCTION("TRIM(REGEXREPLACE(C881, ""[0-9]+[a-f]?\."", """"))"),"")</f>
        <v/>
      </c>
      <c r="H881" s="172" t="str">
        <f>IFERROR(__xludf.DUMMYFUNCTION("TRIM(REGEXREPLACE(D881, ""[0-9]+[a-f]?\."", """"))"),"")</f>
        <v/>
      </c>
      <c r="I881" s="172" t="str">
        <f>IFERROR(__xludf.DUMMYFUNCTION("TRIM(REGEXREPLACE(E881, ""[0-9]+[a-f]?\."", """"))"),"")</f>
        <v/>
      </c>
      <c r="J881" s="172" t="s">
        <v>4303</v>
      </c>
      <c r="K881" s="172" t="s">
        <v>4304</v>
      </c>
      <c r="L881" s="172" t="s">
        <v>4058</v>
      </c>
    </row>
    <row r="882" hidden="1">
      <c r="A882" s="281" t="s">
        <v>68</v>
      </c>
      <c r="B882" s="266" t="s">
        <v>4305</v>
      </c>
      <c r="C882" s="190"/>
      <c r="D882" s="190"/>
      <c r="E882" s="190"/>
      <c r="F882" s="182">
        <v>484.0</v>
      </c>
      <c r="G882" s="172" t="str">
        <f>IFERROR(__xludf.DUMMYFUNCTION("TRIM(REGEXREPLACE(C882, ""[0-9]+[a-f]?\."", """"))"),"")</f>
        <v/>
      </c>
      <c r="H882" s="172" t="str">
        <f>IFERROR(__xludf.DUMMYFUNCTION("TRIM(REGEXREPLACE(D882, ""[0-9]+[a-f]?\."", """"))"),"")</f>
        <v/>
      </c>
      <c r="I882" s="172" t="str">
        <f>IFERROR(__xludf.DUMMYFUNCTION("TRIM(REGEXREPLACE(E882, ""[0-9]+[a-f]?\."", """"))"),"")</f>
        <v/>
      </c>
      <c r="J882" s="172" t="s">
        <v>4306</v>
      </c>
      <c r="K882" s="172" t="s">
        <v>4307</v>
      </c>
      <c r="L882" s="172" t="s">
        <v>4309</v>
      </c>
      <c r="M882" s="172"/>
    </row>
    <row r="883" hidden="1">
      <c r="B883" s="260"/>
      <c r="C883" s="260"/>
      <c r="D883" s="260"/>
      <c r="E883" s="260"/>
      <c r="F883" s="182">
        <v>523.0</v>
      </c>
      <c r="G883" s="172" t="str">
        <f>IFERROR(__xludf.DUMMYFUNCTION("TRIM(REGEXREPLACE(C883, ""[0-9]+[a-f]?\."", """"))"),"")</f>
        <v/>
      </c>
      <c r="H883" s="172" t="str">
        <f>IFERROR(__xludf.DUMMYFUNCTION("TRIM(REGEXREPLACE(D883, ""[0-9]+[a-f]?\."", """"))"),"")</f>
        <v/>
      </c>
      <c r="I883" s="172" t="str">
        <f>IFERROR(__xludf.DUMMYFUNCTION("TRIM(REGEXREPLACE(E883, ""[0-9]+[a-f]?\."", """"))"),"")</f>
        <v/>
      </c>
      <c r="J883" s="172" t="s">
        <v>4313</v>
      </c>
      <c r="K883" s="172" t="s">
        <v>4314</v>
      </c>
      <c r="L883" s="172" t="s">
        <v>4315</v>
      </c>
    </row>
    <row r="884" hidden="1">
      <c r="B884" s="260"/>
      <c r="C884" s="260"/>
      <c r="D884" s="260"/>
      <c r="E884" s="260"/>
      <c r="F884" s="182">
        <v>519.0</v>
      </c>
      <c r="G884" s="172" t="str">
        <f>IFERROR(__xludf.DUMMYFUNCTION("TRIM(REGEXREPLACE(C884, ""[0-9]+[a-f]?\."", """"))"),"")</f>
        <v/>
      </c>
      <c r="H884" s="172" t="str">
        <f>IFERROR(__xludf.DUMMYFUNCTION("TRIM(REGEXREPLACE(D884, ""[0-9]+[a-f]?\."", """"))"),"")</f>
        <v/>
      </c>
      <c r="I884" s="172" t="str">
        <f>IFERROR(__xludf.DUMMYFUNCTION("TRIM(REGEXREPLACE(E884, ""[0-9]+[a-f]?\."", """"))"),"")</f>
        <v/>
      </c>
      <c r="J884" s="172" t="s">
        <v>4316</v>
      </c>
      <c r="K884" s="172" t="s">
        <v>4317</v>
      </c>
      <c r="L884" s="172" t="s">
        <v>4318</v>
      </c>
    </row>
    <row r="885" hidden="1">
      <c r="B885" s="260"/>
      <c r="C885" s="260"/>
      <c r="D885" s="260"/>
      <c r="E885" s="260"/>
      <c r="F885" s="182">
        <v>520.0</v>
      </c>
      <c r="G885" s="172" t="str">
        <f>IFERROR(__xludf.DUMMYFUNCTION("TRIM(REGEXREPLACE(C885, ""[0-9]+[a-f]?\."", """"))"),"")</f>
        <v/>
      </c>
      <c r="H885" s="172" t="str">
        <f>IFERROR(__xludf.DUMMYFUNCTION("TRIM(REGEXREPLACE(D885, ""[0-9]+[a-f]?\."", """"))"),"")</f>
        <v/>
      </c>
      <c r="I885" s="172" t="str">
        <f>IFERROR(__xludf.DUMMYFUNCTION("TRIM(REGEXREPLACE(E885, ""[0-9]+[a-f]?\."", """"))"),"")</f>
        <v/>
      </c>
      <c r="J885" s="172" t="s">
        <v>4322</v>
      </c>
      <c r="K885" s="172" t="s">
        <v>4323</v>
      </c>
      <c r="L885" s="172" t="s">
        <v>4324</v>
      </c>
      <c r="M885" s="172"/>
    </row>
    <row r="886" hidden="1">
      <c r="A886" s="281" t="s">
        <v>68</v>
      </c>
      <c r="B886" s="266" t="s">
        <v>4325</v>
      </c>
      <c r="C886" s="190"/>
      <c r="D886" s="190"/>
      <c r="E886" s="190"/>
      <c r="F886" s="182">
        <v>485.0</v>
      </c>
      <c r="G886" s="172" t="str">
        <f>IFERROR(__xludf.DUMMYFUNCTION("TRIM(REGEXREPLACE(C886, ""[0-9]+[a-f]?\."", """"))"),"")</f>
        <v/>
      </c>
      <c r="H886" s="172" t="str">
        <f>IFERROR(__xludf.DUMMYFUNCTION("TRIM(REGEXREPLACE(D886, ""[0-9]+[a-f]?\."", """"))"),"")</f>
        <v/>
      </c>
      <c r="I886" s="172" t="str">
        <f>IFERROR(__xludf.DUMMYFUNCTION("TRIM(REGEXREPLACE(E886, ""[0-9]+[a-f]?\."", """"))"),"")</f>
        <v/>
      </c>
      <c r="J886" s="172" t="s">
        <v>4326</v>
      </c>
      <c r="K886" s="172" t="s">
        <v>4327</v>
      </c>
      <c r="L886" s="172" t="s">
        <v>4328</v>
      </c>
    </row>
    <row r="887" hidden="1">
      <c r="A887" s="281" t="s">
        <v>68</v>
      </c>
      <c r="B887" s="266" t="s">
        <v>4329</v>
      </c>
      <c r="C887" s="190"/>
      <c r="D887" s="190"/>
      <c r="E887" s="190"/>
      <c r="F887" s="182">
        <v>486.0</v>
      </c>
      <c r="G887" s="172" t="str">
        <f>IFERROR(__xludf.DUMMYFUNCTION("TRIM(REGEXREPLACE(C887, ""[0-9]+[a-f]?\."", """"))"),"")</f>
        <v/>
      </c>
      <c r="H887" s="172" t="str">
        <f>IFERROR(__xludf.DUMMYFUNCTION("TRIM(REGEXREPLACE(D887, ""[0-9]+[a-f]?\."", """"))"),"")</f>
        <v/>
      </c>
      <c r="I887" s="172" t="str">
        <f>IFERROR(__xludf.DUMMYFUNCTION("TRIM(REGEXREPLACE(E887, ""[0-9]+[a-f]?\."", """"))"),"")</f>
        <v/>
      </c>
      <c r="J887" s="172" t="s">
        <v>4331</v>
      </c>
      <c r="K887" s="172" t="s">
        <v>4332</v>
      </c>
      <c r="L887" s="172" t="s">
        <v>4333</v>
      </c>
    </row>
    <row r="888" hidden="1">
      <c r="A888" s="281" t="s">
        <v>68</v>
      </c>
      <c r="B888" s="266" t="s">
        <v>4334</v>
      </c>
      <c r="C888" s="190"/>
      <c r="D888" s="190"/>
      <c r="E888" s="190"/>
      <c r="F888" s="182">
        <v>487.0</v>
      </c>
      <c r="G888" s="172" t="str">
        <f>IFERROR(__xludf.DUMMYFUNCTION("TRIM(REGEXREPLACE(C888, ""[0-9]+[a-f]?\."", """"))"),"")</f>
        <v/>
      </c>
      <c r="H888" s="172" t="str">
        <f>IFERROR(__xludf.DUMMYFUNCTION("TRIM(REGEXREPLACE(D888, ""[0-9]+[a-f]?\."", """"))"),"")</f>
        <v/>
      </c>
      <c r="I888" s="172" t="str">
        <f>IFERROR(__xludf.DUMMYFUNCTION("TRIM(REGEXREPLACE(E888, ""[0-9]+[a-f]?\."", """"))"),"")</f>
        <v/>
      </c>
      <c r="J888" s="172" t="s">
        <v>4335</v>
      </c>
      <c r="K888" s="172" t="s">
        <v>4336</v>
      </c>
      <c r="L888" s="172" t="s">
        <v>4337</v>
      </c>
      <c r="M888" s="172"/>
    </row>
    <row r="889" hidden="1">
      <c r="B889" s="260"/>
      <c r="C889" s="260"/>
      <c r="D889" s="260"/>
      <c r="E889" s="260"/>
      <c r="F889" s="182">
        <v>527.0</v>
      </c>
      <c r="G889" s="172" t="str">
        <f>IFERROR(__xludf.DUMMYFUNCTION("TRIM(REGEXREPLACE(C889, ""[0-9]+[a-f]?\."", """"))"),"")</f>
        <v/>
      </c>
      <c r="H889" s="172" t="str">
        <f>IFERROR(__xludf.DUMMYFUNCTION("TRIM(REGEXREPLACE(D889, ""[0-9]+[a-f]?\."", """"))"),"")</f>
        <v/>
      </c>
      <c r="I889" s="172" t="str">
        <f>IFERROR(__xludf.DUMMYFUNCTION("TRIM(REGEXREPLACE(E889, ""[0-9]+[a-f]?\."", """"))"),"")</f>
        <v/>
      </c>
      <c r="J889" s="172" t="s">
        <v>4341</v>
      </c>
      <c r="K889" s="172" t="s">
        <v>4342</v>
      </c>
      <c r="L889" s="172" t="s">
        <v>4343</v>
      </c>
      <c r="M889" s="172"/>
    </row>
    <row r="890" hidden="1">
      <c r="B890" s="260"/>
      <c r="C890" s="260"/>
      <c r="D890" s="260"/>
      <c r="E890" s="260"/>
      <c r="F890" s="182">
        <v>528.0</v>
      </c>
      <c r="G890" s="172" t="str">
        <f>IFERROR(__xludf.DUMMYFUNCTION("TRIM(REGEXREPLACE(C890, ""[0-9]+[a-f]?\."", """"))"),"")</f>
        <v/>
      </c>
      <c r="H890" s="172" t="str">
        <f>IFERROR(__xludf.DUMMYFUNCTION("TRIM(REGEXREPLACE(D890, ""[0-9]+[a-f]?\."", """"))"),"")</f>
        <v/>
      </c>
      <c r="I890" s="172" t="str">
        <f>IFERROR(__xludf.DUMMYFUNCTION("TRIM(REGEXREPLACE(E890, ""[0-9]+[a-f]?\."", """"))"),"")</f>
        <v/>
      </c>
      <c r="J890" s="172" t="s">
        <v>4344</v>
      </c>
      <c r="K890" s="172" t="s">
        <v>4345</v>
      </c>
      <c r="L890" s="172" t="s">
        <v>4347</v>
      </c>
      <c r="M890" s="172"/>
    </row>
    <row r="891" hidden="1">
      <c r="B891" s="260"/>
      <c r="C891" s="260"/>
      <c r="D891" s="260"/>
      <c r="E891" s="260"/>
      <c r="F891" s="182">
        <v>524.0</v>
      </c>
      <c r="G891" s="172" t="str">
        <f>IFERROR(__xludf.DUMMYFUNCTION("TRIM(REGEXREPLACE(C891, ""[0-9]+[a-f]?\."", """"))"),"")</f>
        <v/>
      </c>
      <c r="H891" s="172" t="str">
        <f>IFERROR(__xludf.DUMMYFUNCTION("TRIM(REGEXREPLACE(D891, ""[0-9]+[a-f]?\."", """"))"),"")</f>
        <v/>
      </c>
      <c r="I891" s="172" t="str">
        <f>IFERROR(__xludf.DUMMYFUNCTION("TRIM(REGEXREPLACE(E891, ""[0-9]+[a-f]?\."", """"))"),"")</f>
        <v/>
      </c>
      <c r="J891" s="172" t="s">
        <v>4350</v>
      </c>
      <c r="K891" s="172" t="s">
        <v>4351</v>
      </c>
      <c r="L891" s="172" t="s">
        <v>4352</v>
      </c>
      <c r="M891" s="172"/>
    </row>
    <row r="892" hidden="1">
      <c r="B892" s="260"/>
      <c r="C892" s="260"/>
      <c r="D892" s="260"/>
      <c r="E892" s="260"/>
      <c r="F892" s="182">
        <v>525.0</v>
      </c>
      <c r="G892" s="172" t="str">
        <f>IFERROR(__xludf.DUMMYFUNCTION("TRIM(REGEXREPLACE(C892, ""[0-9]+[a-f]?\."", """"))"),"")</f>
        <v/>
      </c>
      <c r="H892" s="172" t="str">
        <f>IFERROR(__xludf.DUMMYFUNCTION("TRIM(REGEXREPLACE(D892, ""[0-9]+[a-f]?\."", """"))"),"")</f>
        <v/>
      </c>
      <c r="I892" s="172" t="str">
        <f>IFERROR(__xludf.DUMMYFUNCTION("TRIM(REGEXREPLACE(E892, ""[0-9]+[a-f]?\."", """"))"),"")</f>
        <v/>
      </c>
      <c r="J892" s="172" t="s">
        <v>4353</v>
      </c>
      <c r="K892" s="172" t="s">
        <v>4354</v>
      </c>
      <c r="L892" s="172" t="s">
        <v>4355</v>
      </c>
      <c r="M892" s="172"/>
    </row>
    <row r="893" hidden="1">
      <c r="A893" s="281" t="s">
        <v>68</v>
      </c>
      <c r="B893" s="266" t="s">
        <v>4356</v>
      </c>
      <c r="C893" s="190"/>
      <c r="D893" s="190"/>
      <c r="E893" s="190"/>
      <c r="F893" s="182">
        <v>488.0</v>
      </c>
      <c r="G893" s="172" t="str">
        <f>IFERROR(__xludf.DUMMYFUNCTION("TRIM(REGEXREPLACE(C893, ""[0-9]+[a-f]?\."", """"))"),"")</f>
        <v/>
      </c>
      <c r="H893" s="172" t="str">
        <f>IFERROR(__xludf.DUMMYFUNCTION("TRIM(REGEXREPLACE(D893, ""[0-9]+[a-f]?\."", """"))"),"")</f>
        <v/>
      </c>
      <c r="I893" s="172" t="str">
        <f>IFERROR(__xludf.DUMMYFUNCTION("TRIM(REGEXREPLACE(E893, ""[0-9]+[a-f]?\."", """"))"),"")</f>
        <v/>
      </c>
      <c r="J893" s="172" t="s">
        <v>4357</v>
      </c>
      <c r="K893" s="172" t="s">
        <v>4358</v>
      </c>
      <c r="L893" s="172" t="s">
        <v>4359</v>
      </c>
    </row>
    <row r="894" hidden="1">
      <c r="A894" s="281" t="s">
        <v>68</v>
      </c>
      <c r="B894" s="266" t="s">
        <v>4360</v>
      </c>
      <c r="C894" s="190"/>
      <c r="D894" s="190"/>
      <c r="E894" s="190"/>
      <c r="F894" s="182">
        <v>489.0</v>
      </c>
      <c r="G894" s="172" t="str">
        <f>IFERROR(__xludf.DUMMYFUNCTION("TRIM(REGEXREPLACE(C894, ""[0-9]+[a-f]?\."", """"))"),"")</f>
        <v/>
      </c>
      <c r="H894" s="172" t="str">
        <f>IFERROR(__xludf.DUMMYFUNCTION("TRIM(REGEXREPLACE(D894, ""[0-9]+[a-f]?\."", """"))"),"")</f>
        <v/>
      </c>
      <c r="I894" s="172" t="str">
        <f>IFERROR(__xludf.DUMMYFUNCTION("TRIM(REGEXREPLACE(E894, ""[0-9]+[a-f]?\."", """"))"),"")</f>
        <v/>
      </c>
      <c r="J894" s="172" t="s">
        <v>4361</v>
      </c>
      <c r="K894" s="172" t="s">
        <v>4362</v>
      </c>
      <c r="L894" s="172" t="s">
        <v>4363</v>
      </c>
    </row>
    <row r="895" hidden="1">
      <c r="A895" s="281" t="s">
        <v>68</v>
      </c>
      <c r="B895" s="266" t="s">
        <v>4364</v>
      </c>
      <c r="C895" s="190"/>
      <c r="D895" s="190"/>
      <c r="E895" s="190"/>
      <c r="F895" s="182">
        <v>490.0</v>
      </c>
      <c r="G895" s="172" t="str">
        <f>IFERROR(__xludf.DUMMYFUNCTION("TRIM(REGEXREPLACE(C895, ""[0-9]+[a-f]?\."", """"))"),"")</f>
        <v/>
      </c>
      <c r="H895" s="172" t="str">
        <f>IFERROR(__xludf.DUMMYFUNCTION("TRIM(REGEXREPLACE(D895, ""[0-9]+[a-f]?\."", """"))"),"")</f>
        <v/>
      </c>
      <c r="I895" s="172" t="str">
        <f>IFERROR(__xludf.DUMMYFUNCTION("TRIM(REGEXREPLACE(E895, ""[0-9]+[a-f]?\."", """"))"),"")</f>
        <v/>
      </c>
      <c r="J895" s="172" t="s">
        <v>4369</v>
      </c>
      <c r="K895" s="172" t="s">
        <v>4370</v>
      </c>
      <c r="L895" s="172" t="s">
        <v>4371</v>
      </c>
    </row>
    <row r="896" hidden="1">
      <c r="A896" s="281" t="s">
        <v>68</v>
      </c>
      <c r="B896" s="266" t="s">
        <v>4372</v>
      </c>
      <c r="C896" s="190"/>
      <c r="D896" s="190"/>
      <c r="E896" s="190"/>
      <c r="F896" s="182">
        <v>491.0</v>
      </c>
      <c r="G896" s="172" t="str">
        <f>IFERROR(__xludf.DUMMYFUNCTION("TRIM(REGEXREPLACE(C896, ""[0-9]+[a-f]?\."", """"))"),"")</f>
        <v/>
      </c>
      <c r="H896" s="172" t="str">
        <f>IFERROR(__xludf.DUMMYFUNCTION("TRIM(REGEXREPLACE(D896, ""[0-9]+[a-f]?\."", """"))"),"")</f>
        <v/>
      </c>
      <c r="I896" s="172" t="str">
        <f>IFERROR(__xludf.DUMMYFUNCTION("TRIM(REGEXREPLACE(E896, ""[0-9]+[a-f]?\."", """"))"),"")</f>
        <v/>
      </c>
      <c r="J896" s="172" t="s">
        <v>4373</v>
      </c>
      <c r="K896" s="172" t="s">
        <v>4374</v>
      </c>
      <c r="L896" s="172" t="s">
        <v>4375</v>
      </c>
    </row>
    <row r="897" hidden="1">
      <c r="A897" s="281" t="s">
        <v>68</v>
      </c>
      <c r="B897" s="266" t="s">
        <v>4376</v>
      </c>
      <c r="C897" s="190"/>
      <c r="D897" s="190"/>
      <c r="E897" s="190"/>
      <c r="F897" s="182">
        <v>492.0</v>
      </c>
      <c r="G897" s="172" t="str">
        <f>IFERROR(__xludf.DUMMYFUNCTION("TRIM(REGEXREPLACE(C897, ""[0-9]+[a-f]?\."", """"))"),"")</f>
        <v/>
      </c>
      <c r="H897" s="172" t="str">
        <f>IFERROR(__xludf.DUMMYFUNCTION("TRIM(REGEXREPLACE(D897, ""[0-9]+[a-f]?\."", """"))"),"")</f>
        <v/>
      </c>
      <c r="I897" s="172" t="str">
        <f>IFERROR(__xludf.DUMMYFUNCTION("TRIM(REGEXREPLACE(E897, ""[0-9]+[a-f]?\."", """"))"),"")</f>
        <v/>
      </c>
      <c r="J897" s="172" t="s">
        <v>4380</v>
      </c>
      <c r="K897" s="172" t="s">
        <v>4381</v>
      </c>
      <c r="L897" s="172" t="s">
        <v>4382</v>
      </c>
    </row>
    <row r="898" hidden="1">
      <c r="A898" s="281" t="s">
        <v>68</v>
      </c>
      <c r="B898" s="266" t="s">
        <v>4383</v>
      </c>
      <c r="C898" s="190"/>
      <c r="D898" s="190"/>
      <c r="E898" s="190"/>
      <c r="F898" s="182">
        <v>493.0</v>
      </c>
      <c r="G898" s="172" t="str">
        <f>IFERROR(__xludf.DUMMYFUNCTION("TRIM(REGEXREPLACE(C898, ""[0-9]+[a-f]?\."", """"))"),"")</f>
        <v/>
      </c>
      <c r="H898" s="172" t="str">
        <f>IFERROR(__xludf.DUMMYFUNCTION("TRIM(REGEXREPLACE(D898, ""[0-9]+[a-f]?\."", """"))"),"")</f>
        <v/>
      </c>
      <c r="I898" s="172" t="str">
        <f>IFERROR(__xludf.DUMMYFUNCTION("TRIM(REGEXREPLACE(E898, ""[0-9]+[a-f]?\."", """"))"),"")</f>
        <v/>
      </c>
      <c r="J898" s="172" t="s">
        <v>4384</v>
      </c>
      <c r="K898" s="172" t="s">
        <v>4385</v>
      </c>
      <c r="L898" s="172" t="s">
        <v>4386</v>
      </c>
    </row>
    <row r="899" hidden="1">
      <c r="A899" s="281" t="s">
        <v>118</v>
      </c>
      <c r="B899" s="189" t="s">
        <v>4388</v>
      </c>
      <c r="C899" s="190"/>
      <c r="D899" s="190"/>
      <c r="E899" s="190"/>
      <c r="F899" s="182">
        <v>494.0</v>
      </c>
      <c r="G899" s="172" t="str">
        <f>IFERROR(__xludf.DUMMYFUNCTION("TRIM(REGEXREPLACE(C899, ""[0-9]+[a-f]?\."", """"))"),"")</f>
        <v/>
      </c>
      <c r="H899" s="172" t="str">
        <f>IFERROR(__xludf.DUMMYFUNCTION("TRIM(REGEXREPLACE(D899, ""[0-9]+[a-f]?\."", """"))"),"")</f>
        <v/>
      </c>
      <c r="I899" s="172" t="str">
        <f>IFERROR(__xludf.DUMMYFUNCTION("TRIM(REGEXREPLACE(E899, ""[0-9]+[a-f]?\."", """"))"),"")</f>
        <v/>
      </c>
      <c r="J899" s="172" t="s">
        <v>4390</v>
      </c>
      <c r="K899" s="172" t="s">
        <v>4391</v>
      </c>
      <c r="L899" s="172" t="s">
        <v>4392</v>
      </c>
    </row>
    <row r="900" hidden="1">
      <c r="B900" s="260"/>
      <c r="C900" s="260"/>
      <c r="D900" s="260"/>
      <c r="E900" s="260"/>
      <c r="F900" s="182">
        <v>537.0</v>
      </c>
      <c r="G900" s="172" t="str">
        <f>IFERROR(__xludf.DUMMYFUNCTION("TRIM(REGEXREPLACE(C900, ""[0-9]+[a-f]?\."", """"))"),"")</f>
        <v/>
      </c>
      <c r="H900" s="172" t="str">
        <f>IFERROR(__xludf.DUMMYFUNCTION("TRIM(REGEXREPLACE(D900, ""[0-9]+[a-f]?\."", """"))"),"")</f>
        <v/>
      </c>
      <c r="I900" s="172" t="str">
        <f>IFERROR(__xludf.DUMMYFUNCTION("TRIM(REGEXREPLACE(E900, ""[0-9]+[a-f]?\."", """"))"),"")</f>
        <v/>
      </c>
      <c r="J900" s="172" t="s">
        <v>4393</v>
      </c>
      <c r="K900" s="172" t="s">
        <v>4394</v>
      </c>
      <c r="L900" s="172" t="s">
        <v>4395</v>
      </c>
    </row>
    <row r="901" hidden="1">
      <c r="B901" s="260"/>
      <c r="C901" s="260"/>
      <c r="D901" s="260"/>
      <c r="E901" s="260"/>
      <c r="F901" s="182">
        <v>538.0</v>
      </c>
      <c r="G901" s="172" t="str">
        <f>IFERROR(__xludf.DUMMYFUNCTION("TRIM(REGEXREPLACE(C901, ""[0-9]+[a-f]?\."", """"))"),"")</f>
        <v/>
      </c>
      <c r="H901" s="172" t="str">
        <f>IFERROR(__xludf.DUMMYFUNCTION("TRIM(REGEXREPLACE(D901, ""[0-9]+[a-f]?\."", """"))"),"")</f>
        <v/>
      </c>
      <c r="I901" s="172" t="str">
        <f>IFERROR(__xludf.DUMMYFUNCTION("TRIM(REGEXREPLACE(E901, ""[0-9]+[a-f]?\."", """"))"),"")</f>
        <v/>
      </c>
      <c r="J901" s="172" t="s">
        <v>4396</v>
      </c>
      <c r="K901" s="172" t="s">
        <v>4397</v>
      </c>
      <c r="L901" s="172" t="s">
        <v>4400</v>
      </c>
    </row>
    <row r="902" hidden="1">
      <c r="B902" s="260"/>
      <c r="C902" s="260"/>
      <c r="D902" s="260"/>
      <c r="E902" s="260"/>
      <c r="F902" s="182">
        <v>539.0</v>
      </c>
      <c r="G902" s="172" t="str">
        <f>IFERROR(__xludf.DUMMYFUNCTION("TRIM(REGEXREPLACE(C902, ""[0-9]+[a-f]?\."", """"))"),"")</f>
        <v/>
      </c>
      <c r="H902" s="172" t="str">
        <f>IFERROR(__xludf.DUMMYFUNCTION("TRIM(REGEXREPLACE(D902, ""[0-9]+[a-f]?\."", """"))"),"")</f>
        <v/>
      </c>
      <c r="I902" s="172" t="str">
        <f>IFERROR(__xludf.DUMMYFUNCTION("TRIM(REGEXREPLACE(E902, ""[0-9]+[a-f]?\."", """"))"),"")</f>
        <v/>
      </c>
      <c r="J902" s="172" t="s">
        <v>4402</v>
      </c>
      <c r="K902" s="172" t="s">
        <v>4403</v>
      </c>
      <c r="L902" s="172" t="s">
        <v>4404</v>
      </c>
    </row>
    <row r="903" hidden="1">
      <c r="B903" s="260"/>
      <c r="C903" s="260"/>
      <c r="D903" s="260"/>
      <c r="E903" s="260"/>
      <c r="F903" s="182">
        <v>528.0</v>
      </c>
      <c r="G903" s="172" t="str">
        <f>IFERROR(__xludf.DUMMYFUNCTION("TRIM(REGEXREPLACE(C903, ""[0-9]+[a-f]?\."", """"))"),"")</f>
        <v/>
      </c>
      <c r="H903" s="172" t="str">
        <f>IFERROR(__xludf.DUMMYFUNCTION("TRIM(REGEXREPLACE(D903, ""[0-9]+[a-f]?\."", """"))"),"")</f>
        <v/>
      </c>
      <c r="I903" s="172" t="str">
        <f>IFERROR(__xludf.DUMMYFUNCTION("TRIM(REGEXREPLACE(E903, ""[0-9]+[a-f]?\."", """"))"),"")</f>
        <v/>
      </c>
      <c r="J903" s="172" t="s">
        <v>4408</v>
      </c>
      <c r="K903" s="172" t="s">
        <v>4409</v>
      </c>
      <c r="L903" s="172" t="s">
        <v>4409</v>
      </c>
      <c r="M903" s="172"/>
    </row>
    <row r="904" hidden="1">
      <c r="B904" s="260"/>
      <c r="C904" s="260"/>
      <c r="D904" s="260"/>
      <c r="E904" s="260"/>
      <c r="F904" s="182">
        <v>529.0</v>
      </c>
      <c r="G904" s="172" t="str">
        <f>IFERROR(__xludf.DUMMYFUNCTION("TRIM(REGEXREPLACE(C904, ""[0-9]+[a-f]?\."", """"))"),"")</f>
        <v/>
      </c>
      <c r="H904" s="172" t="str">
        <f>IFERROR(__xludf.DUMMYFUNCTION("TRIM(REGEXREPLACE(D904, ""[0-9]+[a-f]?\."", """"))"),"")</f>
        <v/>
      </c>
      <c r="I904" s="172" t="str">
        <f>IFERROR(__xludf.DUMMYFUNCTION("TRIM(REGEXREPLACE(E904, ""[0-9]+[a-f]?\."", """"))"),"")</f>
        <v/>
      </c>
      <c r="J904" s="172" t="s">
        <v>4410</v>
      </c>
      <c r="K904" s="172" t="s">
        <v>4411</v>
      </c>
      <c r="L904" s="172" t="s">
        <v>4412</v>
      </c>
      <c r="M904" s="172"/>
    </row>
    <row r="905" hidden="1">
      <c r="B905" s="260"/>
      <c r="C905" s="260"/>
      <c r="D905" s="260"/>
      <c r="E905" s="260"/>
      <c r="F905" s="182">
        <v>530.0</v>
      </c>
      <c r="G905" s="172" t="str">
        <f>IFERROR(__xludf.DUMMYFUNCTION("TRIM(REGEXREPLACE(C905, ""[0-9]+[a-f]?\."", """"))"),"")</f>
        <v/>
      </c>
      <c r="H905" s="172" t="str">
        <f>IFERROR(__xludf.DUMMYFUNCTION("TRIM(REGEXREPLACE(D905, ""[0-9]+[a-f]?\."", """"))"),"")</f>
        <v/>
      </c>
      <c r="I905" s="172" t="str">
        <f>IFERROR(__xludf.DUMMYFUNCTION("TRIM(REGEXREPLACE(E905, ""[0-9]+[a-f]?\."", """"))"),"")</f>
        <v/>
      </c>
      <c r="J905" s="172" t="s">
        <v>4413</v>
      </c>
      <c r="K905" s="172" t="s">
        <v>4414</v>
      </c>
      <c r="L905" s="172" t="s">
        <v>4415</v>
      </c>
    </row>
    <row r="906" hidden="1">
      <c r="B906" s="260"/>
      <c r="C906" s="260"/>
      <c r="D906" s="260"/>
      <c r="E906" s="260"/>
      <c r="F906" s="182">
        <v>531.0</v>
      </c>
      <c r="G906" s="172" t="str">
        <f>IFERROR(__xludf.DUMMYFUNCTION("TRIM(REGEXREPLACE(C906, ""[0-9]+[a-f]?\."", """"))"),"")</f>
        <v/>
      </c>
      <c r="H906" s="172" t="str">
        <f>IFERROR(__xludf.DUMMYFUNCTION("TRIM(REGEXREPLACE(D906, ""[0-9]+[a-f]?\."", """"))"),"")</f>
        <v/>
      </c>
      <c r="I906" s="172" t="str">
        <f>IFERROR(__xludf.DUMMYFUNCTION("TRIM(REGEXREPLACE(E906, ""[0-9]+[a-f]?\."", """"))"),"")</f>
        <v/>
      </c>
      <c r="J906" s="172" t="s">
        <v>4416</v>
      </c>
      <c r="K906" s="172" t="s">
        <v>4417</v>
      </c>
      <c r="L906" s="172" t="s">
        <v>4418</v>
      </c>
      <c r="M906" s="172"/>
    </row>
    <row r="907" hidden="1">
      <c r="B907" s="260"/>
      <c r="C907" s="260"/>
      <c r="D907" s="260"/>
      <c r="E907" s="260"/>
      <c r="F907" s="182">
        <v>532.0</v>
      </c>
      <c r="G907" s="172" t="str">
        <f>IFERROR(__xludf.DUMMYFUNCTION("TRIM(REGEXREPLACE(C907, ""[0-9]+[a-f]?\."", """"))"),"")</f>
        <v/>
      </c>
      <c r="H907" s="172" t="str">
        <f>IFERROR(__xludf.DUMMYFUNCTION("TRIM(REGEXREPLACE(D907, ""[0-9]+[a-f]?\."", """"))"),"")</f>
        <v/>
      </c>
      <c r="I907" s="172" t="str">
        <f>IFERROR(__xludf.DUMMYFUNCTION("TRIM(REGEXREPLACE(E907, ""[0-9]+[a-f]?\."", """"))"),"")</f>
        <v/>
      </c>
      <c r="J907" s="172" t="s">
        <v>4419</v>
      </c>
      <c r="K907" s="172" t="s">
        <v>4420</v>
      </c>
      <c r="L907" s="172" t="s">
        <v>4422</v>
      </c>
    </row>
    <row r="908" hidden="1">
      <c r="C908" s="260"/>
      <c r="F908" s="182">
        <v>544.0</v>
      </c>
      <c r="G908" s="172" t="str">
        <f>IFERROR(__xludf.DUMMYFUNCTION("TRIM(REGEXREPLACE(C908, ""[0-9]+[a-f]?\."", """"))"),"")</f>
        <v/>
      </c>
      <c r="H908" s="172" t="str">
        <f>IFERROR(__xludf.DUMMYFUNCTION("TRIM(REGEXREPLACE(D908, ""[0-9]+[a-f]?\."", """"))"),"")</f>
        <v/>
      </c>
      <c r="I908" s="172" t="str">
        <f>IFERROR(__xludf.DUMMYFUNCTION("TRIM(REGEXREPLACE(E908, ""[0-9]+[a-f]?\."", """"))"),"")</f>
        <v/>
      </c>
      <c r="J908" s="172" t="s">
        <v>4426</v>
      </c>
      <c r="K908" s="172" t="s">
        <v>4427</v>
      </c>
      <c r="L908" s="172" t="s">
        <v>4428</v>
      </c>
      <c r="M908" s="172"/>
    </row>
    <row r="909" hidden="1">
      <c r="B909" s="260"/>
      <c r="C909" s="260"/>
      <c r="D909" s="260"/>
      <c r="E909" s="260"/>
      <c r="F909" s="182">
        <v>533.0</v>
      </c>
      <c r="G909" s="172" t="str">
        <f>IFERROR(__xludf.DUMMYFUNCTION("TRIM(REGEXREPLACE(C909, ""[0-9]+[a-f]?\."", """"))"),"")</f>
        <v/>
      </c>
      <c r="H909" s="172" t="str">
        <f>IFERROR(__xludf.DUMMYFUNCTION("TRIM(REGEXREPLACE(D909, ""[0-9]+[a-f]?\."", """"))"),"")</f>
        <v/>
      </c>
      <c r="I909" s="172" t="str">
        <f>IFERROR(__xludf.DUMMYFUNCTION("TRIM(REGEXREPLACE(E909, ""[0-9]+[a-f]?\."", """"))"),"")</f>
        <v/>
      </c>
      <c r="J909" s="172" t="s">
        <v>4429</v>
      </c>
      <c r="K909" s="172" t="s">
        <v>4430</v>
      </c>
      <c r="L909" s="172" t="s">
        <v>4431</v>
      </c>
      <c r="M909" s="172"/>
    </row>
    <row r="910" hidden="1">
      <c r="B910" s="260"/>
      <c r="C910" s="260"/>
      <c r="D910" s="260"/>
      <c r="E910" s="260"/>
      <c r="F910" s="182">
        <v>534.0</v>
      </c>
      <c r="G910" s="172" t="str">
        <f>IFERROR(__xludf.DUMMYFUNCTION("TRIM(REGEXREPLACE(C910, ""[0-9]+[a-f]?\."", """"))"),"")</f>
        <v/>
      </c>
      <c r="H910" s="172" t="str">
        <f>IFERROR(__xludf.DUMMYFUNCTION("TRIM(REGEXREPLACE(D910, ""[0-9]+[a-f]?\."", """"))"),"")</f>
        <v/>
      </c>
      <c r="I910" s="172" t="str">
        <f>IFERROR(__xludf.DUMMYFUNCTION("TRIM(REGEXREPLACE(E910, ""[0-9]+[a-f]?\."", """"))"),"")</f>
        <v/>
      </c>
      <c r="J910" s="172" t="s">
        <v>4434</v>
      </c>
      <c r="K910" s="172" t="s">
        <v>4435</v>
      </c>
      <c r="L910" s="172" t="s">
        <v>4436</v>
      </c>
      <c r="M910" s="172"/>
    </row>
    <row r="911" hidden="1">
      <c r="B911" s="260"/>
      <c r="C911" s="260"/>
      <c r="D911" s="260"/>
      <c r="E911" s="260"/>
      <c r="F911" s="182">
        <v>535.0</v>
      </c>
      <c r="G911" s="172" t="str">
        <f>IFERROR(__xludf.DUMMYFUNCTION("TRIM(REGEXREPLACE(C911, ""[0-9]+[a-f]?\."", """"))"),"")</f>
        <v/>
      </c>
      <c r="H911" s="172" t="str">
        <f>IFERROR(__xludf.DUMMYFUNCTION("TRIM(REGEXREPLACE(D911, ""[0-9]+[a-f]?\."", """"))"),"")</f>
        <v/>
      </c>
      <c r="I911" s="172" t="str">
        <f>IFERROR(__xludf.DUMMYFUNCTION("TRIM(REGEXREPLACE(E911, ""[0-9]+[a-f]?\."", """"))"),"")</f>
        <v/>
      </c>
      <c r="J911" s="172" t="s">
        <v>4437</v>
      </c>
      <c r="K911" s="172" t="s">
        <v>4438</v>
      </c>
      <c r="L911" s="172" t="s">
        <v>4439</v>
      </c>
      <c r="M911" s="172"/>
    </row>
    <row r="912" hidden="1">
      <c r="B912" s="260"/>
      <c r="C912" s="260"/>
      <c r="D912" s="260"/>
      <c r="E912" s="260"/>
      <c r="F912" s="182">
        <v>544.0</v>
      </c>
      <c r="G912" s="172" t="str">
        <f>IFERROR(__xludf.DUMMYFUNCTION("TRIM(REGEXREPLACE(C912, ""[0-9]+[a-f]?\."", """"))"),"")</f>
        <v/>
      </c>
      <c r="H912" s="172" t="str">
        <f>IFERROR(__xludf.DUMMYFUNCTION("TRIM(REGEXREPLACE(D912, ""[0-9]+[a-f]?\."", """"))"),"")</f>
        <v/>
      </c>
      <c r="I912" s="172" t="str">
        <f>IFERROR(__xludf.DUMMYFUNCTION("TRIM(REGEXREPLACE(E912, ""[0-9]+[a-f]?\."", """"))"),"")</f>
        <v/>
      </c>
      <c r="J912" s="172" t="s">
        <v>4441</v>
      </c>
      <c r="K912" s="172" t="s">
        <v>4443</v>
      </c>
      <c r="L912" s="172" t="s">
        <v>4444</v>
      </c>
    </row>
    <row r="913" hidden="1">
      <c r="C913" s="260"/>
      <c r="F913" s="182">
        <v>549.0</v>
      </c>
      <c r="G913" s="172" t="str">
        <f>IFERROR(__xludf.DUMMYFUNCTION("TRIM(REGEXREPLACE(C913, ""[0-9]+[a-f]?\."", """"))"),"")</f>
        <v/>
      </c>
      <c r="H913" s="172" t="str">
        <f>IFERROR(__xludf.DUMMYFUNCTION("TRIM(REGEXREPLACE(D913, ""[0-9]+[a-f]?\."", """"))"),"")</f>
        <v/>
      </c>
      <c r="I913" s="172" t="str">
        <f>IFERROR(__xludf.DUMMYFUNCTION("TRIM(REGEXREPLACE(E913, ""[0-9]+[a-f]?\."", """"))"),"")</f>
        <v/>
      </c>
      <c r="J913" s="172" t="s">
        <v>4445</v>
      </c>
      <c r="K913" s="172" t="s">
        <v>4446</v>
      </c>
      <c r="L913" s="172" t="s">
        <v>4447</v>
      </c>
      <c r="M913" s="172"/>
    </row>
    <row r="914" hidden="1">
      <c r="C914" s="260"/>
      <c r="F914" s="182">
        <v>550.0</v>
      </c>
      <c r="G914" s="172" t="str">
        <f>IFERROR(__xludf.DUMMYFUNCTION("TRIM(REGEXREPLACE(C914, ""[0-9]+[a-f]?\."", """"))"),"")</f>
        <v/>
      </c>
      <c r="H914" s="172" t="str">
        <f>IFERROR(__xludf.DUMMYFUNCTION("TRIM(REGEXREPLACE(D914, ""[0-9]+[a-f]?\."", """"))"),"")</f>
        <v/>
      </c>
      <c r="I914" s="172" t="str">
        <f>IFERROR(__xludf.DUMMYFUNCTION("TRIM(REGEXREPLACE(E914, ""[0-9]+[a-f]?\."", """"))"),"")</f>
        <v/>
      </c>
      <c r="J914" s="172" t="s">
        <v>4448</v>
      </c>
      <c r="K914" s="172" t="s">
        <v>4449</v>
      </c>
      <c r="L914" s="172" t="s">
        <v>4450</v>
      </c>
      <c r="M914" s="172"/>
    </row>
    <row r="915">
      <c r="A915" s="291" t="s">
        <v>41</v>
      </c>
      <c r="B915" s="292" t="s">
        <v>4453</v>
      </c>
      <c r="C915" s="208" t="s">
        <v>4454</v>
      </c>
      <c r="D915" s="208" t="s">
        <v>4455</v>
      </c>
      <c r="E915" s="208" t="s">
        <v>4456</v>
      </c>
      <c r="F915" s="182">
        <v>122.0</v>
      </c>
      <c r="G915" s="172" t="str">
        <f>IFERROR(__xludf.DUMMYFUNCTION("TRIM(REGEXREPLACE(C915, ""[0-9]+[a-f]?\."", """"))"),"EUMERATOR: We will now ask about the trips that the respondent made in ${period}. If the respondent returned to ${pm_beginning_location} at the end of the period, we will not ask about their return journey.")</f>
        <v>EUMERATOR: We will now ask about the trips that the respondent made in ${period}. If the respondent returned to ${pm_beginning_location} at the end of the period, we will not ask about their return journey.</v>
      </c>
      <c r="H915" s="172" t="str">
        <f>IFERROR(__xludf.DUMMYFUNCTION("TRIM(REGEXREPLACE(D915, ""[0-9]+[a-f]?\."", """"))"),"ENQUETEUR : Nous allons maintenant poser des questions sur les déplacements effectués par le répondant en ${period_french}. Si le répondant est revenu à ${pm_beginning_location} à la fin de la période, nous ne poserons pas de questions sur son voyage reto"&amp;"ur.")</f>
        <v>ENQUETEUR : Nous allons maintenant poser des questions sur les déplacements effectués par le répondant en ${period_french}. Si le répondant est revenu à ${pm_beginning_location} à la fin de la période, nous ne poserons pas de questions sur son voyage retour.</v>
      </c>
      <c r="I915" s="172" t="str">
        <f>IFERROR(__xludf.DUMMYFUNCTION("TRIM(REGEXREPLACE(E915, ""[0-9]+[a-f]?\."", """"))"),"Ɗan bincike: Yanzu za mu yi tambaya game da tafiye-tafiyen da mai bada amsa ya yi a ${period_hausa}. Idan mai bada amsa ya koma ${pm_beginning_location} a ƙarshen lokacin, ba za mu yi tambaya game da tafiya ta dawowa ba.")</f>
        <v>Ɗan bincike: Yanzu za mu yi tambaya game da tafiye-tafiyen da mai bada amsa ya yi a ${period_hausa}. Idan mai bada amsa ya koma ${pm_beginning_location} a ƙarshen lokacin, ba za mu yi tambaya game da tafiya ta dawowa ba.</v>
      </c>
      <c r="J915" s="172" t="str">
        <f t="shared" ref="J915:L915" si="122">$F915 &amp; ". " &amp;G915</f>
        <v>122. EUMERATOR: We will now ask about the trips that the respondent made in ${period}. If the respondent returned to ${pm_beginning_location} at the end of the period, we will not ask about their return journey.</v>
      </c>
      <c r="K915" s="172" t="str">
        <f t="shared" si="122"/>
        <v>122. ENQUETEUR : Nous allons maintenant poser des questions sur les déplacements effectués par le répondant en ${period_french}. Si le répondant est revenu à ${pm_beginning_location} à la fin de la période, nous ne poserons pas de questions sur son voyage retour.</v>
      </c>
      <c r="L915" s="172" t="str">
        <f t="shared" si="122"/>
        <v>122. Ɗan bincike: Yanzu za mu yi tambaya game da tafiye-tafiyen da mai bada amsa ya yi a ${period_hausa}. Idan mai bada amsa ya koma ${pm_beginning_location} a ƙarshen lokacin, ba za mu yi tambaya game da tafiya ta dawowa ba.</v>
      </c>
    </row>
    <row r="916" hidden="1">
      <c r="A916" s="269"/>
      <c r="B916" s="270"/>
      <c r="C916" s="174"/>
      <c r="D916" s="174"/>
      <c r="E916" s="174"/>
      <c r="F916" s="182">
        <v>496.0</v>
      </c>
      <c r="G916" s="172" t="str">
        <f>IFERROR(__xludf.DUMMYFUNCTION("TRIM(REGEXREPLACE(C916, ""[0-9]+[a-f]?\."", """"))"),"")</f>
        <v/>
      </c>
      <c r="H916" s="172" t="str">
        <f>IFERROR(__xludf.DUMMYFUNCTION("TRIM(REGEXREPLACE(D916, ""[0-9]+[a-f]?\."", """"))"),"")</f>
        <v/>
      </c>
      <c r="I916" s="172" t="str">
        <f>IFERROR(__xludf.DUMMYFUNCTION("TRIM(REGEXREPLACE(E916, ""[0-9]+[a-f]?\."", """"))"),"")</f>
        <v/>
      </c>
      <c r="J916" s="172" t="s">
        <v>4459</v>
      </c>
      <c r="K916" s="172" t="s">
        <v>4460</v>
      </c>
      <c r="L916" s="172" t="s">
        <v>4461</v>
      </c>
      <c r="M916" s="172"/>
    </row>
    <row r="917" hidden="1">
      <c r="A917" s="188" t="s">
        <v>68</v>
      </c>
      <c r="B917" s="189" t="s">
        <v>4463</v>
      </c>
      <c r="C917" s="265"/>
      <c r="D917" s="265"/>
      <c r="E917" s="265"/>
      <c r="F917" s="182">
        <v>497.0</v>
      </c>
      <c r="G917" s="172" t="str">
        <f>IFERROR(__xludf.DUMMYFUNCTION("TRIM(REGEXREPLACE(C917, ""[0-9]+[a-f]?\."", """"))"),"")</f>
        <v/>
      </c>
      <c r="H917" s="172" t="str">
        <f>IFERROR(__xludf.DUMMYFUNCTION("TRIM(REGEXREPLACE(D917, ""[0-9]+[a-f]?\."", """"))"),"")</f>
        <v/>
      </c>
      <c r="I917" s="172" t="str">
        <f>IFERROR(__xludf.DUMMYFUNCTION("TRIM(REGEXREPLACE(E917, ""[0-9]+[a-f]?\."", """"))"),"")</f>
        <v/>
      </c>
      <c r="J917" s="172" t="s">
        <v>4465</v>
      </c>
      <c r="K917" s="172" t="s">
        <v>4466</v>
      </c>
      <c r="L917" s="172" t="s">
        <v>4467</v>
      </c>
    </row>
    <row r="918" hidden="1">
      <c r="A918" s="188" t="s">
        <v>68</v>
      </c>
      <c r="B918" s="189" t="s">
        <v>4468</v>
      </c>
      <c r="C918" s="265"/>
      <c r="D918" s="265"/>
      <c r="E918" s="265"/>
      <c r="F918" s="182">
        <v>498.0</v>
      </c>
      <c r="G918" s="172" t="str">
        <f>IFERROR(__xludf.DUMMYFUNCTION("TRIM(REGEXREPLACE(C918, ""[0-9]+[a-f]?\."", """"))"),"")</f>
        <v/>
      </c>
      <c r="H918" s="172" t="str">
        <f>IFERROR(__xludf.DUMMYFUNCTION("TRIM(REGEXREPLACE(D918, ""[0-9]+[a-f]?\."", """"))"),"")</f>
        <v/>
      </c>
      <c r="I918" s="172" t="str">
        <f>IFERROR(__xludf.DUMMYFUNCTION("TRIM(REGEXREPLACE(E918, ""[0-9]+[a-f]?\."", """"))"),"")</f>
        <v/>
      </c>
      <c r="J918" s="172" t="s">
        <v>4471</v>
      </c>
      <c r="K918" s="172" t="s">
        <v>4472</v>
      </c>
      <c r="L918" s="172" t="s">
        <v>4473</v>
      </c>
      <c r="M918" s="172"/>
    </row>
    <row r="919" hidden="1">
      <c r="A919" s="188" t="s">
        <v>68</v>
      </c>
      <c r="B919" s="189" t="s">
        <v>4474</v>
      </c>
      <c r="C919" s="265"/>
      <c r="D919" s="265"/>
      <c r="E919" s="265"/>
      <c r="F919" s="182">
        <v>499.0</v>
      </c>
      <c r="G919" s="172" t="str">
        <f>IFERROR(__xludf.DUMMYFUNCTION("TRIM(REGEXREPLACE(C919, ""[0-9]+[a-f]?\."", """"))"),"")</f>
        <v/>
      </c>
      <c r="H919" s="172" t="str">
        <f>IFERROR(__xludf.DUMMYFUNCTION("TRIM(REGEXREPLACE(D919, ""[0-9]+[a-f]?\."", """"))"),"")</f>
        <v/>
      </c>
      <c r="I919" s="172" t="str">
        <f>IFERROR(__xludf.DUMMYFUNCTION("TRIM(REGEXREPLACE(E919, ""[0-9]+[a-f]?\."", """"))"),"")</f>
        <v/>
      </c>
      <c r="J919" s="172" t="s">
        <v>4475</v>
      </c>
      <c r="K919" s="172" t="s">
        <v>4476</v>
      </c>
      <c r="L919" s="172" t="s">
        <v>4477</v>
      </c>
    </row>
    <row r="920" hidden="1">
      <c r="B920" s="260"/>
      <c r="C920" s="260"/>
      <c r="D920" s="260"/>
      <c r="E920" s="260"/>
      <c r="F920" s="182">
        <v>548.0</v>
      </c>
      <c r="G920" s="172" t="str">
        <f>IFERROR(__xludf.DUMMYFUNCTION("TRIM(REGEXREPLACE(C920, ""[0-9]+[a-f]?\."", """"))"),"")</f>
        <v/>
      </c>
      <c r="H920" s="172" t="str">
        <f>IFERROR(__xludf.DUMMYFUNCTION("TRIM(REGEXREPLACE(D920, ""[0-9]+[a-f]?\."", """"))"),"")</f>
        <v/>
      </c>
      <c r="I920" s="172" t="str">
        <f>IFERROR(__xludf.DUMMYFUNCTION("TRIM(REGEXREPLACE(E920, ""[0-9]+[a-f]?\."", """"))"),"")</f>
        <v/>
      </c>
      <c r="J920" s="172" t="s">
        <v>4480</v>
      </c>
      <c r="K920" s="172" t="s">
        <v>4481</v>
      </c>
      <c r="L920" s="172" t="s">
        <v>4482</v>
      </c>
      <c r="M920" s="172"/>
    </row>
    <row r="921" hidden="1">
      <c r="B921" s="260"/>
      <c r="C921" s="260"/>
      <c r="D921" s="260"/>
      <c r="E921" s="260"/>
      <c r="F921" s="182">
        <v>549.0</v>
      </c>
      <c r="G921" s="172" t="str">
        <f>IFERROR(__xludf.DUMMYFUNCTION("TRIM(REGEXREPLACE(C921, ""[0-9]+[a-f]?\."", """"))"),"")</f>
        <v/>
      </c>
      <c r="H921" s="172" t="str">
        <f>IFERROR(__xludf.DUMMYFUNCTION("TRIM(REGEXREPLACE(D921, ""[0-9]+[a-f]?\."", """"))"),"")</f>
        <v/>
      </c>
      <c r="I921" s="172" t="str">
        <f>IFERROR(__xludf.DUMMYFUNCTION("TRIM(REGEXREPLACE(E921, ""[0-9]+[a-f]?\."", """"))"),"")</f>
        <v/>
      </c>
      <c r="J921" s="172" t="s">
        <v>4483</v>
      </c>
      <c r="K921" s="172" t="s">
        <v>4484</v>
      </c>
      <c r="L921" s="172" t="s">
        <v>4485</v>
      </c>
      <c r="M921" s="172"/>
    </row>
    <row r="922" hidden="1">
      <c r="B922" s="260"/>
      <c r="C922" s="260"/>
      <c r="D922" s="260"/>
      <c r="E922" s="260"/>
      <c r="F922" s="182">
        <v>538.0</v>
      </c>
      <c r="G922" s="172" t="str">
        <f>IFERROR(__xludf.DUMMYFUNCTION("TRIM(REGEXREPLACE(C922, ""[0-9]+[a-f]?\."", """"))"),"")</f>
        <v/>
      </c>
      <c r="H922" s="172" t="str">
        <f>IFERROR(__xludf.DUMMYFUNCTION("TRIM(REGEXREPLACE(D922, ""[0-9]+[a-f]?\."", """"))"),"")</f>
        <v/>
      </c>
      <c r="I922" s="172" t="str">
        <f>IFERROR(__xludf.DUMMYFUNCTION("TRIM(REGEXREPLACE(E922, ""[0-9]+[a-f]?\."", """"))"),"")</f>
        <v/>
      </c>
      <c r="J922" s="172" t="s">
        <v>4486</v>
      </c>
      <c r="K922" s="172" t="s">
        <v>4487</v>
      </c>
      <c r="L922" s="172" t="s">
        <v>4488</v>
      </c>
    </row>
    <row r="923" hidden="1">
      <c r="A923" s="188" t="s">
        <v>68</v>
      </c>
      <c r="B923" s="189" t="s">
        <v>4489</v>
      </c>
      <c r="C923" s="265"/>
      <c r="D923" s="265"/>
      <c r="E923" s="265"/>
      <c r="F923" s="182">
        <v>500.0</v>
      </c>
      <c r="G923" s="172" t="str">
        <f>IFERROR(__xludf.DUMMYFUNCTION("TRIM(REGEXREPLACE(C923, ""[0-9]+[a-f]?\."", """"))"),"")</f>
        <v/>
      </c>
      <c r="H923" s="172" t="str">
        <f>IFERROR(__xludf.DUMMYFUNCTION("TRIM(REGEXREPLACE(D923, ""[0-9]+[a-f]?\."", """"))"),"")</f>
        <v/>
      </c>
      <c r="I923" s="172" t="str">
        <f>IFERROR(__xludf.DUMMYFUNCTION("TRIM(REGEXREPLACE(E923, ""[0-9]+[a-f]?\."", """"))"),"")</f>
        <v/>
      </c>
      <c r="J923" s="172" t="s">
        <v>4490</v>
      </c>
      <c r="K923" s="172" t="s">
        <v>4491</v>
      </c>
      <c r="L923" s="172" t="s">
        <v>4492</v>
      </c>
    </row>
    <row r="924">
      <c r="A924" s="282" t="s">
        <v>353</v>
      </c>
      <c r="B924" s="249" t="s">
        <v>4493</v>
      </c>
      <c r="C924" s="216" t="s">
        <v>4494</v>
      </c>
      <c r="D924" s="216" t="s">
        <v>4495</v>
      </c>
      <c r="E924" s="216" t="s">
        <v>4496</v>
      </c>
      <c r="F924" s="182">
        <v>123.0</v>
      </c>
      <c r="G924" s="172" t="str">
        <f>IFERROR(__xludf.DUMMYFUNCTION("TRIM(REGEXREPLACE(C924, ""[0-9]+[a-f]?\."", """"))"),"Based on your answers it sounds like you started in ${pm_new_location7} and traveled to ${pm_new_location6} since ${period}, is that correct?")</f>
        <v>Based on your answers it sounds like you started in ${pm_new_location7} and traveled to ${pm_new_location6} since ${period}, is that correct?</v>
      </c>
      <c r="H924" s="172" t="str">
        <f>IFERROR(__xludf.DUMMYFUNCTION("TRIM(REGEXREPLACE(D924, ""[0-9]+[a-f]?\."", """"))"),"D'après vos réponses, il semble que vous ayez commencé à ${pm_new_location7} et que vous vous soyez rendu à ${pm_new_location6} depuis ${period_french}, n'est-ce pas ?")</f>
        <v>D'après vos réponses, il semble que vous ayez commencé à ${pm_new_location7} et que vous vous soyez rendu à ${pm_new_location6} depuis ${period_french}, n'est-ce pas ?</v>
      </c>
      <c r="I924" s="172" t="str">
        <f>IFERROR(__xludf.DUMMYFUNCTION("TRIM(REGEXREPLACE(E924, ""[0-9]+[a-f]?\."", """"))"),"Dangance da amsoshinku ina jin kamar kun fara a ${pm_new_location7} kuma kuka yi tafiya zuwa ${pm_new_location6} lokacin ${period_hausa}, daidai ne?")</f>
        <v>Dangance da amsoshinku ina jin kamar kun fara a ${pm_new_location7} kuma kuka yi tafiya zuwa ${pm_new_location6} lokacin ${period_hausa}, daidai ne?</v>
      </c>
      <c r="J924" s="172" t="str">
        <f t="shared" ref="J924:L924" si="123">$F924 &amp; ". " &amp;G924</f>
        <v>123. Based on your answers it sounds like you started in ${pm_new_location7} and traveled to ${pm_new_location6} since ${period}, is that correct?</v>
      </c>
      <c r="K924" s="172" t="str">
        <f t="shared" si="123"/>
        <v>123. D'après vos réponses, il semble que vous ayez commencé à ${pm_new_location7} et que vous vous soyez rendu à ${pm_new_location6} depuis ${period_french}, n'est-ce pas ?</v>
      </c>
      <c r="L924" s="172" t="str">
        <f t="shared" si="123"/>
        <v>123. Dangance da amsoshinku ina jin kamar kun fara a ${pm_new_location7} kuma kuka yi tafiya zuwa ${pm_new_location6} lokacin ${period_hausa}, daidai ne?</v>
      </c>
      <c r="M924" s="172"/>
    </row>
    <row r="925" hidden="1">
      <c r="C925" s="260"/>
      <c r="F925" s="182">
        <v>556.0</v>
      </c>
      <c r="G925" s="172" t="str">
        <f>IFERROR(__xludf.DUMMYFUNCTION("TRIM(REGEXREPLACE(C925, ""[0-9]+[a-f]?\."", """"))"),"")</f>
        <v/>
      </c>
      <c r="H925" s="172" t="str">
        <f>IFERROR(__xludf.DUMMYFUNCTION("TRIM(REGEXREPLACE(D925, ""[0-9]+[a-f]?\."", """"))"),"")</f>
        <v/>
      </c>
      <c r="I925" s="172" t="str">
        <f>IFERROR(__xludf.DUMMYFUNCTION("TRIM(REGEXREPLACE(E925, ""[0-9]+[a-f]?\."", """"))"),"")</f>
        <v/>
      </c>
      <c r="J925" s="172" t="s">
        <v>4497</v>
      </c>
      <c r="K925" s="172" t="s">
        <v>4498</v>
      </c>
      <c r="L925" s="172" t="s">
        <v>4500</v>
      </c>
      <c r="M925" s="172"/>
    </row>
    <row r="926" hidden="1">
      <c r="C926" s="260"/>
      <c r="F926" s="182">
        <v>557.0</v>
      </c>
      <c r="G926" s="172" t="str">
        <f>IFERROR(__xludf.DUMMYFUNCTION("TRIM(REGEXREPLACE(C926, ""[0-9]+[a-f]?\."", """"))"),"")</f>
        <v/>
      </c>
      <c r="H926" s="172" t="str">
        <f>IFERROR(__xludf.DUMMYFUNCTION("TRIM(REGEXREPLACE(D926, ""[0-9]+[a-f]?\."", """"))"),"")</f>
        <v/>
      </c>
      <c r="I926" s="172" t="str">
        <f>IFERROR(__xludf.DUMMYFUNCTION("TRIM(REGEXREPLACE(E926, ""[0-9]+[a-f]?\."", """"))"),"")</f>
        <v/>
      </c>
      <c r="J926" s="172" t="s">
        <v>4502</v>
      </c>
      <c r="K926" s="172" t="s">
        <v>4503</v>
      </c>
      <c r="L926" s="172" t="s">
        <v>4504</v>
      </c>
      <c r="M926" s="172"/>
    </row>
    <row r="927" hidden="1">
      <c r="C927" s="260"/>
      <c r="F927" s="182">
        <v>558.0</v>
      </c>
      <c r="G927" s="172" t="str">
        <f>IFERROR(__xludf.DUMMYFUNCTION("TRIM(REGEXREPLACE(C927, ""[0-9]+[a-f]?\."", """"))"),"")</f>
        <v/>
      </c>
      <c r="H927" s="172" t="str">
        <f>IFERROR(__xludf.DUMMYFUNCTION("TRIM(REGEXREPLACE(D927, ""[0-9]+[a-f]?\."", """"))"),"")</f>
        <v/>
      </c>
      <c r="I927" s="172" t="str">
        <f>IFERROR(__xludf.DUMMYFUNCTION("TRIM(REGEXREPLACE(E927, ""[0-9]+[a-f]?\."", """"))"),"")</f>
        <v/>
      </c>
      <c r="J927" s="172" t="s">
        <v>4505</v>
      </c>
      <c r="K927" s="172" t="s">
        <v>4506</v>
      </c>
      <c r="L927" s="172" t="s">
        <v>4507</v>
      </c>
    </row>
    <row r="928" hidden="1">
      <c r="C928" s="260"/>
      <c r="F928" s="182">
        <v>559.0</v>
      </c>
      <c r="G928" s="172" t="str">
        <f>IFERROR(__xludf.DUMMYFUNCTION("TRIM(REGEXREPLACE(C928, ""[0-9]+[a-f]?\."", """"))"),"")</f>
        <v/>
      </c>
      <c r="H928" s="172" t="str">
        <f>IFERROR(__xludf.DUMMYFUNCTION("TRIM(REGEXREPLACE(D928, ""[0-9]+[a-f]?\."", """"))"),"")</f>
        <v/>
      </c>
      <c r="I928" s="172" t="str">
        <f>IFERROR(__xludf.DUMMYFUNCTION("TRIM(REGEXREPLACE(E928, ""[0-9]+[a-f]?\."", """"))"),"")</f>
        <v/>
      </c>
      <c r="J928" s="172" t="s">
        <v>4508</v>
      </c>
      <c r="K928" s="172" t="s">
        <v>4509</v>
      </c>
      <c r="L928" s="172" t="s">
        <v>4510</v>
      </c>
      <c r="M928" s="172"/>
    </row>
    <row r="929">
      <c r="A929" s="282" t="s">
        <v>353</v>
      </c>
      <c r="B929" s="249" t="s">
        <v>4511</v>
      </c>
      <c r="C929" s="216" t="s">
        <v>4512</v>
      </c>
      <c r="D929" s="216" t="s">
        <v>4514</v>
      </c>
      <c r="E929" s="216" t="s">
        <v>4515</v>
      </c>
      <c r="F929" s="182">
        <v>124.0</v>
      </c>
      <c r="G929" s="172" t="str">
        <f>IFERROR(__xludf.DUMMYFUNCTION("TRIM(REGEXREPLACE(C929, ""[0-9]+[a-f]?\."", """"))"),"Based on your answers it sounds like you started in ${pm_new_location6} and traveled to ${pm_new_location5} since ${period}, is that correct?")</f>
        <v>Based on your answers it sounds like you started in ${pm_new_location6} and traveled to ${pm_new_location5} since ${period}, is that correct?</v>
      </c>
      <c r="H929" s="172" t="str">
        <f>IFERROR(__xludf.DUMMYFUNCTION("TRIM(REGEXREPLACE(D929, ""[0-9]+[a-f]?\."", """"))"),"D'après vos réponses, il semble que vous ayez commencé à ${pm_new_location6} et que vous vous soyez rendu à ${pm_new_location5} depuis ${period_french}, n'est-ce pas ?")</f>
        <v>D'après vos réponses, il semble que vous ayez commencé à ${pm_new_location6} et que vous vous soyez rendu à ${pm_new_location5} depuis ${period_french}, n'est-ce pas ?</v>
      </c>
      <c r="I929" s="172" t="str">
        <f>IFERROR(__xludf.DUMMYFUNCTION("TRIM(REGEXREPLACE(E929, ""[0-9]+[a-f]?\."", """"))"),"Dangance da amsoshinku ina jin kamar kun fara a ${pm_new_location6} kuma kuka yi tafiya zuwa ${pm_new_location5} lokacin ${period_hausa}, daidai ne?")</f>
        <v>Dangance da amsoshinku ina jin kamar kun fara a ${pm_new_location6} kuma kuka yi tafiya zuwa ${pm_new_location5} lokacin ${period_hausa}, daidai ne?</v>
      </c>
      <c r="J929" s="172" t="str">
        <f t="shared" ref="J929:L929" si="124">$F929 &amp; ". " &amp;G929</f>
        <v>124. Based on your answers it sounds like you started in ${pm_new_location6} and traveled to ${pm_new_location5} since ${period}, is that correct?</v>
      </c>
      <c r="K929" s="172" t="str">
        <f t="shared" si="124"/>
        <v>124. D'après vos réponses, il semble que vous ayez commencé à ${pm_new_location6} et que vous vous soyez rendu à ${pm_new_location5} depuis ${period_french}, n'est-ce pas ?</v>
      </c>
      <c r="L929" s="172" t="str">
        <f t="shared" si="124"/>
        <v>124. Dangance da amsoshinku ina jin kamar kun fara a ${pm_new_location6} kuma kuka yi tafiya zuwa ${pm_new_location5} lokacin ${period_hausa}, daidai ne?</v>
      </c>
    </row>
    <row r="930">
      <c r="A930" s="282" t="s">
        <v>353</v>
      </c>
      <c r="B930" s="249" t="s">
        <v>4517</v>
      </c>
      <c r="C930" s="216" t="s">
        <v>4518</v>
      </c>
      <c r="D930" s="216" t="s">
        <v>4519</v>
      </c>
      <c r="E930" s="216" t="s">
        <v>4520</v>
      </c>
      <c r="F930" s="182">
        <v>125.0</v>
      </c>
      <c r="G930" s="172" t="str">
        <f>IFERROR(__xludf.DUMMYFUNCTION("TRIM(REGEXREPLACE(C930, ""[0-9]+[a-f]?\."", """"))"),"Based on your answers it sounds like you started in ${pm_new_location5} and traveled to ${pm_new_location4} since ${period}, is that correct?")</f>
        <v>Based on your answers it sounds like you started in ${pm_new_location5} and traveled to ${pm_new_location4} since ${period}, is that correct?</v>
      </c>
      <c r="H930" s="172" t="str">
        <f>IFERROR(__xludf.DUMMYFUNCTION("TRIM(REGEXREPLACE(D930, ""[0-9]+[a-f]?\."", """"))"),"D'après vos réponses, il semble que vous ayez commencé à ${pm_new_location5} et que vous vous soyez rendu à ${pm_new_location4} depuis ${period_french}, n'est-ce pas ?")</f>
        <v>D'après vos réponses, il semble que vous ayez commencé à ${pm_new_location5} et que vous vous soyez rendu à ${pm_new_location4} depuis ${period_french}, n'est-ce pas ?</v>
      </c>
      <c r="I930" s="172" t="str">
        <f>IFERROR(__xludf.DUMMYFUNCTION("TRIM(REGEXREPLACE(E930, ""[0-9]+[a-f]?\."", """"))"),"Dangance da amsoshinku ina jin kamar kun fara a ${pm_new_location5} kuma kuka yi tafiya zuwa ${pm_new_location4} lokacin ${period_hausa}, daidai ne?")</f>
        <v>Dangance da amsoshinku ina jin kamar kun fara a ${pm_new_location5} kuma kuka yi tafiya zuwa ${pm_new_location4} lokacin ${period_hausa}, daidai ne?</v>
      </c>
      <c r="J930" s="172" t="str">
        <f t="shared" ref="J930:L930" si="125">$F930 &amp; ". " &amp;G930</f>
        <v>125. Based on your answers it sounds like you started in ${pm_new_location5} and traveled to ${pm_new_location4} since ${period}, is that correct?</v>
      </c>
      <c r="K930" s="172" t="str">
        <f t="shared" si="125"/>
        <v>125. D'après vos réponses, il semble que vous ayez commencé à ${pm_new_location5} et que vous vous soyez rendu à ${pm_new_location4} depuis ${period_french}, n'est-ce pas ?</v>
      </c>
      <c r="L930" s="172" t="str">
        <f t="shared" si="125"/>
        <v>125. Dangance da amsoshinku ina jin kamar kun fara a ${pm_new_location5} kuma kuka yi tafiya zuwa ${pm_new_location4} lokacin ${period_hausa}, daidai ne?</v>
      </c>
      <c r="M930" s="172"/>
    </row>
    <row r="931">
      <c r="A931" s="282" t="s">
        <v>353</v>
      </c>
      <c r="B931" s="249" t="s">
        <v>4523</v>
      </c>
      <c r="C931" s="216" t="s">
        <v>4524</v>
      </c>
      <c r="D931" s="216" t="s">
        <v>4525</v>
      </c>
      <c r="E931" s="216" t="s">
        <v>4526</v>
      </c>
      <c r="F931" s="182">
        <v>126.0</v>
      </c>
      <c r="G931" s="172" t="str">
        <f>IFERROR(__xludf.DUMMYFUNCTION("TRIM(REGEXREPLACE(C931, ""[0-9]+[a-f]?\."", """"))"),"Based on your answers it sounds like you started in ${pm_new_location4} and traveled to ${pm_new_location3} since ${period}, is that correct?")</f>
        <v>Based on your answers it sounds like you started in ${pm_new_location4} and traveled to ${pm_new_location3} since ${period}, is that correct?</v>
      </c>
      <c r="H931" s="172" t="str">
        <f>IFERROR(__xludf.DUMMYFUNCTION("TRIM(REGEXREPLACE(D931, ""[0-9]+[a-f]?\."", """"))"),"D'après vos réponses, il semble que vous ayez commencé à ${pm_new_location4} et que vous vous soyez rendu à ${pm_new_location3} depuis ${period_french}, n'est-ce pas ?")</f>
        <v>D'après vos réponses, il semble que vous ayez commencé à ${pm_new_location4} et que vous vous soyez rendu à ${pm_new_location3} depuis ${period_french}, n'est-ce pas ?</v>
      </c>
      <c r="I931" s="172" t="str">
        <f>IFERROR(__xludf.DUMMYFUNCTION("TRIM(REGEXREPLACE(E931, ""[0-9]+[a-f]?\."", """"))"),"Dangance da amsoshinku ina jin kamar kun fara a ${pm_new_location4} kuma kuka yi tafiya zuwa ${pm_new_location3} lokacin ${period_hausa}, daidai ne?")</f>
        <v>Dangance da amsoshinku ina jin kamar kun fara a ${pm_new_location4} kuma kuka yi tafiya zuwa ${pm_new_location3} lokacin ${period_hausa}, daidai ne?</v>
      </c>
      <c r="J931" s="172" t="str">
        <f t="shared" ref="J931:L931" si="126">$F931 &amp; ". " &amp;G931</f>
        <v>126. Based on your answers it sounds like you started in ${pm_new_location4} and traveled to ${pm_new_location3} since ${period}, is that correct?</v>
      </c>
      <c r="K931" s="172" t="str">
        <f t="shared" si="126"/>
        <v>126. D'après vos réponses, il semble que vous ayez commencé à ${pm_new_location4} et que vous vous soyez rendu à ${pm_new_location3} depuis ${period_french}, n'est-ce pas ?</v>
      </c>
      <c r="L931" s="172" t="str">
        <f t="shared" si="126"/>
        <v>126. Dangance da amsoshinku ina jin kamar kun fara a ${pm_new_location4} kuma kuka yi tafiya zuwa ${pm_new_location3} lokacin ${period_hausa}, daidai ne?</v>
      </c>
    </row>
    <row r="932">
      <c r="A932" s="282" t="s">
        <v>353</v>
      </c>
      <c r="B932" s="249" t="s">
        <v>4529</v>
      </c>
      <c r="C932" s="216" t="s">
        <v>4531</v>
      </c>
      <c r="D932" s="216" t="s">
        <v>4532</v>
      </c>
      <c r="E932" s="216" t="s">
        <v>4533</v>
      </c>
      <c r="F932" s="182">
        <v>127.0</v>
      </c>
      <c r="G932" s="172" t="str">
        <f>IFERROR(__xludf.DUMMYFUNCTION("TRIM(REGEXREPLACE(C932, ""[0-9]+[a-f]?\."", """"))"),"Based on your answers it sounds like you started in ${pm_new_location3} and traveled to ${pm_new_location2} since ${period}, is that correct?")</f>
        <v>Based on your answers it sounds like you started in ${pm_new_location3} and traveled to ${pm_new_location2} since ${period}, is that correct?</v>
      </c>
      <c r="H932" s="172" t="str">
        <f>IFERROR(__xludf.DUMMYFUNCTION("TRIM(REGEXREPLACE(D932, ""[0-9]+[a-f]?\."", """"))"),"D'après vos réponses, il semble que vous ayez commencé à ${pm_new_location3} et que vous vous soyez rendu à ${pm_new_location2} depuis ${period_french}, n'est-ce pas ?")</f>
        <v>D'après vos réponses, il semble que vous ayez commencé à ${pm_new_location3} et que vous vous soyez rendu à ${pm_new_location2} depuis ${period_french}, n'est-ce pas ?</v>
      </c>
      <c r="I932" s="172" t="str">
        <f>IFERROR(__xludf.DUMMYFUNCTION("TRIM(REGEXREPLACE(E932, ""[0-9]+[a-f]?\."", """"))"),"Dangance da amsoshinku ina jin kamar kun fara a ${pm_new_location3} kuma kuka yi tafiya zuwa ${pm_new_location2} lokacin ${period_hausa}, daidai ne?")</f>
        <v>Dangance da amsoshinku ina jin kamar kun fara a ${pm_new_location3} kuma kuka yi tafiya zuwa ${pm_new_location2} lokacin ${period_hausa}, daidai ne?</v>
      </c>
      <c r="J932" s="172" t="str">
        <f t="shared" ref="J932:L932" si="127">$F932 &amp; ". " &amp;G932</f>
        <v>127. Based on your answers it sounds like you started in ${pm_new_location3} and traveled to ${pm_new_location2} since ${period}, is that correct?</v>
      </c>
      <c r="K932" s="172" t="str">
        <f t="shared" si="127"/>
        <v>127. D'après vos réponses, il semble que vous ayez commencé à ${pm_new_location3} et que vous vous soyez rendu à ${pm_new_location2} depuis ${period_french}, n'est-ce pas ?</v>
      </c>
      <c r="L932" s="172" t="str">
        <f t="shared" si="127"/>
        <v>127. Dangance da amsoshinku ina jin kamar kun fara a ${pm_new_location3} kuma kuka yi tafiya zuwa ${pm_new_location2} lokacin ${period_hausa}, daidai ne?</v>
      </c>
      <c r="M932" s="172"/>
    </row>
    <row r="933">
      <c r="A933" s="282" t="s">
        <v>353</v>
      </c>
      <c r="B933" s="249" t="s">
        <v>4534</v>
      </c>
      <c r="C933" s="216" t="s">
        <v>4536</v>
      </c>
      <c r="D933" s="216" t="s">
        <v>4537</v>
      </c>
      <c r="E933" s="216" t="s">
        <v>4538</v>
      </c>
      <c r="F933" s="182">
        <v>128.0</v>
      </c>
      <c r="G933" s="172" t="str">
        <f>IFERROR(__xludf.DUMMYFUNCTION("TRIM(REGEXREPLACE(C933, ""[0-9]+[a-f]?\."", """"))"),"Based on your answers it sounds like you started in ${pm_new_location2} and traveled to ${pm_new_location1} since ${period}, is that correct?")</f>
        <v>Based on your answers it sounds like you started in ${pm_new_location2} and traveled to ${pm_new_location1} since ${period}, is that correct?</v>
      </c>
      <c r="H933" s="172" t="str">
        <f>IFERROR(__xludf.DUMMYFUNCTION("TRIM(REGEXREPLACE(D933, ""[0-9]+[a-f]?\."", """"))"),"D'après vos réponses, il semble que vous ayez commencé à ${pm_new_location2} et que vous vous soyez rendu à ${pm_new_location1} depuis ${period_french}, n'est-ce pas ?")</f>
        <v>D'après vos réponses, il semble que vous ayez commencé à ${pm_new_location2} et que vous vous soyez rendu à ${pm_new_location1} depuis ${period_french}, n'est-ce pas ?</v>
      </c>
      <c r="I933" s="172" t="str">
        <f>IFERROR(__xludf.DUMMYFUNCTION("TRIM(REGEXREPLACE(E933, ""[0-9]+[a-f]?\."", """"))"),"Dangance da amsoshinku ina jin kamar kun fara a ${pm_new_location2} kuma kuka yi tafiya zuwa ${pm_new_location1} lokacin ${period_hausa}, daidai ne?")</f>
        <v>Dangance da amsoshinku ina jin kamar kun fara a ${pm_new_location2} kuma kuka yi tafiya zuwa ${pm_new_location1} lokacin ${period_hausa}, daidai ne?</v>
      </c>
      <c r="J933" s="172" t="str">
        <f t="shared" ref="J933:L933" si="128">$F933 &amp; ". " &amp;G933</f>
        <v>128. Based on your answers it sounds like you started in ${pm_new_location2} and traveled to ${pm_new_location1} since ${period}, is that correct?</v>
      </c>
      <c r="K933" s="172" t="str">
        <f t="shared" si="128"/>
        <v>128. D'après vos réponses, il semble que vous ayez commencé à ${pm_new_location2} et que vous vous soyez rendu à ${pm_new_location1} depuis ${period_french}, n'est-ce pas ?</v>
      </c>
      <c r="L933" s="172" t="str">
        <f t="shared" si="128"/>
        <v>128. Dangance da amsoshinku ina jin kamar kun fara a ${pm_new_location2} kuma kuka yi tafiya zuwa ${pm_new_location1} lokacin ${period_hausa}, daidai ne?</v>
      </c>
      <c r="M933" s="172"/>
    </row>
    <row r="934" hidden="1">
      <c r="A934" s="286" t="s">
        <v>1042</v>
      </c>
      <c r="B934" s="287" t="s">
        <v>4540</v>
      </c>
      <c r="C934" s="256" t="s">
        <v>4541</v>
      </c>
      <c r="D934" s="257"/>
      <c r="E934" s="256" t="s">
        <v>4542</v>
      </c>
      <c r="F934" s="182">
        <v>507.0</v>
      </c>
      <c r="G934" s="172" t="str">
        <f>IFERROR(__xludf.DUMMYFUNCTION("TRIM(REGEXREPLACE(C934, ""[0-9]+[a-f]?\."", """"))"),"Transits")</f>
        <v>Transits</v>
      </c>
      <c r="H934" s="172" t="str">
        <f>IFERROR(__xludf.DUMMYFUNCTION("TRIM(REGEXREPLACE(D934, ""[0-9]+[a-f]?\."", """"))"),"")</f>
        <v/>
      </c>
      <c r="I934" s="172" t="str">
        <f>IFERROR(__xludf.DUMMYFUNCTION("TRIM(REGEXREPLACE(E934, ""[0-9]+[a-f]?\."", """"))"),"Hanya")</f>
        <v>Hanya</v>
      </c>
      <c r="J934" s="172" t="s">
        <v>4545</v>
      </c>
      <c r="K934" s="172" t="s">
        <v>4546</v>
      </c>
      <c r="L934" s="172" t="s">
        <v>4547</v>
      </c>
    </row>
    <row r="935" hidden="1">
      <c r="A935" s="281" t="s">
        <v>68</v>
      </c>
      <c r="B935" s="266" t="s">
        <v>4548</v>
      </c>
      <c r="C935" s="190"/>
      <c r="D935" s="190"/>
      <c r="E935" s="190"/>
      <c r="F935" s="182">
        <v>508.0</v>
      </c>
      <c r="G935" s="172" t="str">
        <f>IFERROR(__xludf.DUMMYFUNCTION("TRIM(REGEXREPLACE(C935, ""[0-9]+[a-f]?\."", """"))"),"")</f>
        <v/>
      </c>
      <c r="H935" s="172" t="str">
        <f>IFERROR(__xludf.DUMMYFUNCTION("TRIM(REGEXREPLACE(D935, ""[0-9]+[a-f]?\."", """"))"),"")</f>
        <v/>
      </c>
      <c r="I935" s="172" t="str">
        <f>IFERROR(__xludf.DUMMYFUNCTION("TRIM(REGEXREPLACE(E935, ""[0-9]+[a-f]?\."", """"))"),"")</f>
        <v/>
      </c>
      <c r="J935" s="172" t="s">
        <v>4549</v>
      </c>
      <c r="K935" s="172" t="s">
        <v>4550</v>
      </c>
      <c r="L935" s="172" t="s">
        <v>4551</v>
      </c>
    </row>
    <row r="936" hidden="1">
      <c r="C936" s="260"/>
      <c r="D936" s="260"/>
      <c r="E936" s="260"/>
      <c r="F936" s="182">
        <v>555.0</v>
      </c>
      <c r="G936" s="172" t="str">
        <f>IFERROR(__xludf.DUMMYFUNCTION("TRIM(REGEXREPLACE(C936, ""[0-9]+[a-f]?\."", """"))"),"")</f>
        <v/>
      </c>
      <c r="H936" s="172" t="str">
        <f>IFERROR(__xludf.DUMMYFUNCTION("TRIM(REGEXREPLACE(D936, ""[0-9]+[a-f]?\."", """"))"),"")</f>
        <v/>
      </c>
      <c r="I936" s="172" t="str">
        <f>IFERROR(__xludf.DUMMYFUNCTION("TRIM(REGEXREPLACE(E936, ""[0-9]+[a-f]?\."", """"))"),"")</f>
        <v/>
      </c>
      <c r="J936" s="172" t="s">
        <v>4552</v>
      </c>
      <c r="K936" s="172" t="s">
        <v>4553</v>
      </c>
      <c r="L936" s="172" t="s">
        <v>4554</v>
      </c>
      <c r="M936" s="172"/>
    </row>
    <row r="937" hidden="1">
      <c r="C937" s="260"/>
      <c r="D937" s="260"/>
      <c r="E937" s="260"/>
      <c r="F937" s="182">
        <v>556.0</v>
      </c>
      <c r="G937" s="172" t="str">
        <f>IFERROR(__xludf.DUMMYFUNCTION("TRIM(REGEXREPLACE(C937, ""[0-9]+[a-f]?\."", """"))"),"")</f>
        <v/>
      </c>
      <c r="H937" s="172" t="str">
        <f>IFERROR(__xludf.DUMMYFUNCTION("TRIM(REGEXREPLACE(D937, ""[0-9]+[a-f]?\."", """"))"),"")</f>
        <v/>
      </c>
      <c r="I937" s="172" t="str">
        <f>IFERROR(__xludf.DUMMYFUNCTION("TRIM(REGEXREPLACE(E937, ""[0-9]+[a-f]?\."", """"))"),"")</f>
        <v/>
      </c>
      <c r="J937" s="172" t="s">
        <v>4555</v>
      </c>
      <c r="K937" s="172" t="s">
        <v>4556</v>
      </c>
      <c r="L937" s="172" t="s">
        <v>4557</v>
      </c>
      <c r="M937" s="172"/>
    </row>
    <row r="938" hidden="1">
      <c r="A938" s="281" t="s">
        <v>68</v>
      </c>
      <c r="B938" s="266" t="s">
        <v>4558</v>
      </c>
      <c r="C938" s="190"/>
      <c r="D938" s="190"/>
      <c r="E938" s="190"/>
      <c r="F938" s="182">
        <v>509.0</v>
      </c>
      <c r="G938" s="172" t="str">
        <f>IFERROR(__xludf.DUMMYFUNCTION("TRIM(REGEXREPLACE(C938, ""[0-9]+[a-f]?\."", """"))"),"")</f>
        <v/>
      </c>
      <c r="H938" s="172" t="str">
        <f>IFERROR(__xludf.DUMMYFUNCTION("TRIM(REGEXREPLACE(D938, ""[0-9]+[a-f]?\."", """"))"),"")</f>
        <v/>
      </c>
      <c r="I938" s="172" t="str">
        <f>IFERROR(__xludf.DUMMYFUNCTION("TRIM(REGEXREPLACE(E938, ""[0-9]+[a-f]?\."", """"))"),"")</f>
        <v/>
      </c>
      <c r="J938" s="172" t="s">
        <v>4559</v>
      </c>
      <c r="K938" s="172" t="s">
        <v>4560</v>
      </c>
      <c r="L938" s="172" t="s">
        <v>4561</v>
      </c>
      <c r="M938" s="172"/>
    </row>
    <row r="939" hidden="1">
      <c r="A939" s="281" t="s">
        <v>68</v>
      </c>
      <c r="B939" s="266" t="s">
        <v>4562</v>
      </c>
      <c r="C939" s="190"/>
      <c r="D939" s="190"/>
      <c r="E939" s="190"/>
      <c r="F939" s="182">
        <v>510.0</v>
      </c>
      <c r="G939" s="172" t="str">
        <f>IFERROR(__xludf.DUMMYFUNCTION("TRIM(REGEXREPLACE(C939, ""[0-9]+[a-f]?\."", """"))"),"")</f>
        <v/>
      </c>
      <c r="H939" s="172" t="str">
        <f>IFERROR(__xludf.DUMMYFUNCTION("TRIM(REGEXREPLACE(D939, ""[0-9]+[a-f]?\."", """"))"),"")</f>
        <v/>
      </c>
      <c r="I939" s="172" t="str">
        <f>IFERROR(__xludf.DUMMYFUNCTION("TRIM(REGEXREPLACE(E939, ""[0-9]+[a-f]?\."", """"))"),"")</f>
        <v/>
      </c>
      <c r="J939" s="172" t="s">
        <v>4563</v>
      </c>
      <c r="K939" s="172" t="s">
        <v>4564</v>
      </c>
      <c r="L939" s="172" t="s">
        <v>4565</v>
      </c>
    </row>
    <row r="940" hidden="1">
      <c r="A940" s="281" t="s">
        <v>68</v>
      </c>
      <c r="B940" s="266" t="s">
        <v>4566</v>
      </c>
      <c r="C940" s="190"/>
      <c r="D940" s="190"/>
      <c r="E940" s="190"/>
      <c r="F940" s="182">
        <v>511.0</v>
      </c>
      <c r="G940" s="172" t="str">
        <f>IFERROR(__xludf.DUMMYFUNCTION("TRIM(REGEXREPLACE(C940, ""[0-9]+[a-f]?\."", """"))"),"")</f>
        <v/>
      </c>
      <c r="H940" s="172" t="str">
        <f>IFERROR(__xludf.DUMMYFUNCTION("TRIM(REGEXREPLACE(D940, ""[0-9]+[a-f]?\."", """"))"),"")</f>
        <v/>
      </c>
      <c r="I940" s="172" t="str">
        <f>IFERROR(__xludf.DUMMYFUNCTION("TRIM(REGEXREPLACE(E940, ""[0-9]+[a-f]?\."", """"))"),"")</f>
        <v/>
      </c>
      <c r="J940" s="172" t="s">
        <v>4567</v>
      </c>
      <c r="K940" s="172" t="s">
        <v>4568</v>
      </c>
      <c r="L940" s="172" t="s">
        <v>4569</v>
      </c>
      <c r="M940" s="172"/>
    </row>
    <row r="941" hidden="1">
      <c r="B941" s="260"/>
      <c r="C941" s="260"/>
      <c r="D941" s="260"/>
      <c r="E941" s="260"/>
      <c r="F941" s="182">
        <v>545.0</v>
      </c>
      <c r="G941" s="172" t="str">
        <f>IFERROR(__xludf.DUMMYFUNCTION("TRIM(REGEXREPLACE(C941, ""[0-9]+[a-f]?\."", """"))"),"")</f>
        <v/>
      </c>
      <c r="H941" s="172" t="str">
        <f>IFERROR(__xludf.DUMMYFUNCTION("TRIM(REGEXREPLACE(D941, ""[0-9]+[a-f]?\."", """"))"),"")</f>
        <v/>
      </c>
      <c r="I941" s="172" t="str">
        <f>IFERROR(__xludf.DUMMYFUNCTION("TRIM(REGEXREPLACE(E941, ""[0-9]+[a-f]?\."", """"))"),"")</f>
        <v/>
      </c>
      <c r="J941" s="172" t="s">
        <v>4571</v>
      </c>
      <c r="K941" s="172" t="s">
        <v>4573</v>
      </c>
      <c r="L941" s="172" t="s">
        <v>4574</v>
      </c>
    </row>
    <row r="942" hidden="1">
      <c r="C942" s="260"/>
      <c r="D942" s="260"/>
      <c r="E942" s="260"/>
      <c r="F942" s="182">
        <v>561.0</v>
      </c>
      <c r="G942" s="172" t="str">
        <f>IFERROR(__xludf.DUMMYFUNCTION("TRIM(REGEXREPLACE(C942, ""[0-9]+[a-f]?\."", """"))"),"")</f>
        <v/>
      </c>
      <c r="H942" s="172" t="str">
        <f>IFERROR(__xludf.DUMMYFUNCTION("TRIM(REGEXREPLACE(D942, ""[0-9]+[a-f]?\."", """"))"),"")</f>
        <v/>
      </c>
      <c r="I942" s="172" t="str">
        <f>IFERROR(__xludf.DUMMYFUNCTION("TRIM(REGEXREPLACE(E942, ""[0-9]+[a-f]?\."", """"))"),"")</f>
        <v/>
      </c>
      <c r="J942" s="172" t="s">
        <v>4577</v>
      </c>
      <c r="K942" s="172" t="s">
        <v>4578</v>
      </c>
      <c r="L942" s="172" t="s">
        <v>4579</v>
      </c>
    </row>
    <row r="943" hidden="1">
      <c r="C943" s="260"/>
      <c r="D943" s="260"/>
      <c r="E943" s="260"/>
      <c r="F943" s="182">
        <v>562.0</v>
      </c>
      <c r="G943" s="172" t="str">
        <f>IFERROR(__xludf.DUMMYFUNCTION("TRIM(REGEXREPLACE(C943, ""[0-9]+[a-f]?\."", """"))"),"")</f>
        <v/>
      </c>
      <c r="H943" s="172" t="str">
        <f>IFERROR(__xludf.DUMMYFUNCTION("TRIM(REGEXREPLACE(D943, ""[0-9]+[a-f]?\."", """"))"),"")</f>
        <v/>
      </c>
      <c r="I943" s="172" t="str">
        <f>IFERROR(__xludf.DUMMYFUNCTION("TRIM(REGEXREPLACE(E943, ""[0-9]+[a-f]?\."", """"))"),"")</f>
        <v/>
      </c>
      <c r="J943" s="172" t="s">
        <v>4580</v>
      </c>
      <c r="K943" s="172" t="s">
        <v>4581</v>
      </c>
      <c r="L943" s="172" t="s">
        <v>4582</v>
      </c>
    </row>
    <row r="944" hidden="1">
      <c r="C944" s="260"/>
      <c r="D944" s="260"/>
      <c r="E944" s="260"/>
      <c r="F944" s="182">
        <v>563.0</v>
      </c>
      <c r="G944" s="172" t="str">
        <f>IFERROR(__xludf.DUMMYFUNCTION("TRIM(REGEXREPLACE(C944, ""[0-9]+[a-f]?\."", """"))"),"")</f>
        <v/>
      </c>
      <c r="H944" s="172" t="str">
        <f>IFERROR(__xludf.DUMMYFUNCTION("TRIM(REGEXREPLACE(D944, ""[0-9]+[a-f]?\."", """"))"),"")</f>
        <v/>
      </c>
      <c r="I944" s="172" t="str">
        <f>IFERROR(__xludf.DUMMYFUNCTION("TRIM(REGEXREPLACE(E944, ""[0-9]+[a-f]?\."", """"))"),"")</f>
        <v/>
      </c>
      <c r="J944" s="172" t="s">
        <v>4583</v>
      </c>
      <c r="K944" s="172" t="s">
        <v>4584</v>
      </c>
      <c r="L944" s="172" t="s">
        <v>4585</v>
      </c>
    </row>
    <row r="945" hidden="1">
      <c r="A945" s="281" t="s">
        <v>68</v>
      </c>
      <c r="B945" s="266" t="s">
        <v>4588</v>
      </c>
      <c r="C945" s="190"/>
      <c r="D945" s="190"/>
      <c r="E945" s="190"/>
      <c r="F945" s="182">
        <v>512.0</v>
      </c>
      <c r="G945" s="172" t="str">
        <f>IFERROR(__xludf.DUMMYFUNCTION("TRIM(REGEXREPLACE(C945, ""[0-9]+[a-f]?\."", """"))"),"")</f>
        <v/>
      </c>
      <c r="H945" s="172" t="str">
        <f>IFERROR(__xludf.DUMMYFUNCTION("TRIM(REGEXREPLACE(D945, ""[0-9]+[a-f]?\."", """"))"),"")</f>
        <v/>
      </c>
      <c r="I945" s="172" t="str">
        <f>IFERROR(__xludf.DUMMYFUNCTION("TRIM(REGEXREPLACE(E945, ""[0-9]+[a-f]?\."", """"))"),"")</f>
        <v/>
      </c>
      <c r="J945" s="172" t="s">
        <v>4590</v>
      </c>
      <c r="K945" s="172" t="s">
        <v>4591</v>
      </c>
      <c r="L945" s="172" t="s">
        <v>4592</v>
      </c>
      <c r="M945" s="172"/>
    </row>
    <row r="946">
      <c r="A946" s="207" t="s">
        <v>41</v>
      </c>
      <c r="B946" s="208" t="s">
        <v>4593</v>
      </c>
      <c r="C946" s="208" t="s">
        <v>1779</v>
      </c>
      <c r="D946" s="208" t="s">
        <v>1780</v>
      </c>
      <c r="E946" s="208" t="s">
        <v>1781</v>
      </c>
      <c r="F946" s="182">
        <v>129.0</v>
      </c>
      <c r="G946" s="172" t="str">
        <f>IFERROR(__xludf.DUMMYFUNCTION("TRIM(REGEXREPLACE(C946, ""[0-9]+[a-f]?\."", """"))"),"We would like to learn more about your experience traveling from ${pm_from_location} to ${pm_to_location}.")</f>
        <v>We would like to learn more about your experience traveling from ${pm_from_location} to ${pm_to_location}.</v>
      </c>
      <c r="H946" s="172" t="str">
        <f>IFERROR(__xludf.DUMMYFUNCTION("TRIM(REGEXREPLACE(D946, ""[0-9]+[a-f]?\."", """"))"),"Nous aimerions en savoir plus sur votre expérience de voyage entre ${pm_from_location} et ${pm_to_location}.")</f>
        <v>Nous aimerions en savoir plus sur votre expérience de voyage entre ${pm_from_location} et ${pm_to_location}.</v>
      </c>
      <c r="I946" s="172" t="str">
        <f>IFERROR(__xludf.DUMMYFUNCTION("TRIM(REGEXREPLACE(E946, ""[0-9]+[a-f]?\."", """"))"),"Muna son mu ƙara sanin abubuwan da suka faru a kan tafiyarku daga ${pm_from_location} zuwa ${pm_to_location}.")</f>
        <v>Muna son mu ƙara sanin abubuwan da suka faru a kan tafiyarku daga ${pm_from_location} zuwa ${pm_to_location}.</v>
      </c>
      <c r="J946" s="172" t="str">
        <f t="shared" ref="J946:L946" si="129">$F946 &amp; ". " &amp;G946</f>
        <v>129. We would like to learn more about your experience traveling from ${pm_from_location} to ${pm_to_location}.</v>
      </c>
      <c r="K946" s="172" t="str">
        <f t="shared" si="129"/>
        <v>129. Nous aimerions en savoir plus sur votre expérience de voyage entre ${pm_from_location} et ${pm_to_location}.</v>
      </c>
      <c r="L946" s="172" t="str">
        <f t="shared" si="129"/>
        <v>129. Muna son mu ƙara sanin abubuwan da suka faru a kan tafiyarku daga ${pm_from_location} zuwa ${pm_to_location}.</v>
      </c>
      <c r="M946" s="172"/>
    </row>
    <row r="947" hidden="1">
      <c r="B947" s="260"/>
      <c r="C947" s="260"/>
      <c r="D947" s="260"/>
      <c r="E947" s="260"/>
      <c r="F947" s="182">
        <v>548.0</v>
      </c>
      <c r="G947" s="172" t="str">
        <f>IFERROR(__xludf.DUMMYFUNCTION("TRIM(REGEXREPLACE(C947, ""[0-9]+[a-f]?\."", """"))"),"")</f>
        <v/>
      </c>
      <c r="H947" s="172" t="str">
        <f>IFERROR(__xludf.DUMMYFUNCTION("TRIM(REGEXREPLACE(D947, ""[0-9]+[a-f]?\."", """"))"),"")</f>
        <v/>
      </c>
      <c r="I947" s="172" t="str">
        <f>IFERROR(__xludf.DUMMYFUNCTION("TRIM(REGEXREPLACE(E947, ""[0-9]+[a-f]?\."", """"))"),"")</f>
        <v/>
      </c>
      <c r="J947" s="172" t="s">
        <v>4596</v>
      </c>
      <c r="K947" s="172" t="s">
        <v>4597</v>
      </c>
      <c r="L947" s="172" t="s">
        <v>4598</v>
      </c>
      <c r="M947" s="172"/>
    </row>
    <row r="948">
      <c r="A948" s="215" t="s">
        <v>4599</v>
      </c>
      <c r="B948" s="216" t="s">
        <v>4601</v>
      </c>
      <c r="C948" s="216" t="s">
        <v>4603</v>
      </c>
      <c r="D948" s="216" t="s">
        <v>4605</v>
      </c>
      <c r="E948" s="216" t="s">
        <v>4606</v>
      </c>
      <c r="F948" s="182">
        <v>130.0</v>
      </c>
      <c r="G948" s="172" t="str">
        <f>IFERROR(__xludf.DUMMYFUNCTION("TRIM(REGEXREPLACE(C948, ""[0-9]+[a-f]?\."", """"))"),"How did you travel between ${pm_from_location} and ${pm_to_location}?")</f>
        <v>How did you travel between ${pm_from_location} and ${pm_to_location}?</v>
      </c>
      <c r="H948" s="172" t="str">
        <f>IFERROR(__xludf.DUMMYFUNCTION("TRIM(REGEXREPLACE(D948, ""[0-9]+[a-f]?\."", """"))"),"Comment vous êtes-vous déplacé entre ${pm_from_location} et ${pm_to_location} ?")</f>
        <v>Comment vous êtes-vous déplacé entre ${pm_from_location} et ${pm_to_location} ?</v>
      </c>
      <c r="I948" s="172" t="str">
        <f>IFERROR(__xludf.DUMMYFUNCTION("TRIM(REGEXREPLACE(E948, ""[0-9]+[a-f]?\."", """"))"),"Yaya kuka yi tafiyar (ko bisa abun hawa) tsakanin ${pm_from_location} da ${pm_to_location}?")</f>
        <v>Yaya kuka yi tafiyar (ko bisa abun hawa) tsakanin ${pm_from_location} da ${pm_to_location}?</v>
      </c>
      <c r="J948" s="172" t="str">
        <f t="shared" ref="J948:L948" si="130">$F948 &amp; ". " &amp;G948</f>
        <v>130. How did you travel between ${pm_from_location} and ${pm_to_location}?</v>
      </c>
      <c r="K948" s="172" t="str">
        <f t="shared" si="130"/>
        <v>130. Comment vous êtes-vous déplacé entre ${pm_from_location} et ${pm_to_location} ?</v>
      </c>
      <c r="L948" s="172" t="str">
        <f t="shared" si="130"/>
        <v>130. Yaya kuka yi tafiyar (ko bisa abun hawa) tsakanin ${pm_from_location} da ${pm_to_location}?</v>
      </c>
      <c r="M948" s="172"/>
    </row>
    <row r="949" hidden="1">
      <c r="B949" s="260"/>
      <c r="C949" s="260"/>
      <c r="D949" s="260"/>
      <c r="E949" s="260"/>
      <c r="F949" s="182">
        <v>550.0</v>
      </c>
      <c r="G949" s="172" t="str">
        <f>IFERROR(__xludf.DUMMYFUNCTION("TRIM(REGEXREPLACE(C949, ""[0-9]+[a-f]?\."", """"))"),"")</f>
        <v/>
      </c>
      <c r="H949" s="172" t="str">
        <f>IFERROR(__xludf.DUMMYFUNCTION("TRIM(REGEXREPLACE(D949, ""[0-9]+[a-f]?\."", """"))"),"")</f>
        <v/>
      </c>
      <c r="I949" s="172" t="str">
        <f>IFERROR(__xludf.DUMMYFUNCTION("TRIM(REGEXREPLACE(E949, ""[0-9]+[a-f]?\."", """"))"),"")</f>
        <v/>
      </c>
      <c r="J949" s="172" t="s">
        <v>4609</v>
      </c>
      <c r="K949" s="172" t="s">
        <v>4610</v>
      </c>
      <c r="L949" s="172" t="s">
        <v>4611</v>
      </c>
      <c r="M949" s="172"/>
    </row>
    <row r="950">
      <c r="A950" s="246" t="s">
        <v>231</v>
      </c>
      <c r="B950" s="247" t="s">
        <v>4612</v>
      </c>
      <c r="C950" s="247" t="s">
        <v>4613</v>
      </c>
      <c r="D950" s="247" t="s">
        <v>4614</v>
      </c>
      <c r="E950" s="247" t="s">
        <v>4615</v>
      </c>
      <c r="F950" s="182">
        <v>131.0</v>
      </c>
      <c r="G950" s="172" t="str">
        <f>IFERROR(__xludf.DUMMYFUNCTION("TRIM(REGEXREPLACE(C950, ""[0-9]+[a-f]?\."", """"))"),"Other, specify:")</f>
        <v>Other, specify:</v>
      </c>
      <c r="H950" s="172" t="str">
        <f>IFERROR(__xludf.DUMMYFUNCTION("TRIM(REGEXREPLACE(D950, ""[0-9]+[a-f]?\."", """"))"),"Autre précisez:")</f>
        <v>Autre précisez:</v>
      </c>
      <c r="I950" s="172" t="str">
        <f>IFERROR(__xludf.DUMMYFUNCTION("TRIM(REGEXREPLACE(E950, ""[0-9]+[a-f]?\."", """"))"),"Wani daban, baiyana:")</f>
        <v>Wani daban, baiyana:</v>
      </c>
      <c r="J950" s="172" t="str">
        <f t="shared" ref="J950:L950" si="131">$F950 &amp; ". " &amp;G950</f>
        <v>131. Other, specify:</v>
      </c>
      <c r="K950" s="172" t="str">
        <f t="shared" si="131"/>
        <v>131. Autre précisez:</v>
      </c>
      <c r="L950" s="172" t="str">
        <f t="shared" si="131"/>
        <v>131. Wani daban, baiyana:</v>
      </c>
    </row>
    <row r="951">
      <c r="A951" s="253" t="s">
        <v>246</v>
      </c>
      <c r="B951" s="254" t="s">
        <v>4618</v>
      </c>
      <c r="C951" s="254" t="s">
        <v>4619</v>
      </c>
      <c r="D951" s="254" t="s">
        <v>4620</v>
      </c>
      <c r="E951" s="254" t="s">
        <v>4621</v>
      </c>
      <c r="F951" s="182">
        <v>132.0</v>
      </c>
      <c r="G951" s="172" t="str">
        <f>IFERROR(__xludf.DUMMYFUNCTION("TRIM(REGEXREPLACE(C951, ""[0-9]+[a-f]?\."", """"))"),"How many people traveled with you (in the same travel group) from ${pm_from_location} to ${pm_to_location}, if any?")</f>
        <v>How many people traveled with you (in the same travel group) from ${pm_from_location} to ${pm_to_location}, if any?</v>
      </c>
      <c r="H951" s="172" t="str">
        <f>IFERROR(__xludf.DUMMYFUNCTION("TRIM(REGEXREPLACE(D951, ""[0-9]+[a-f]?\."", """"))"),"Combien de personnes ont voyagé avec vous (dans le même groupe de voyage) du ${pm_from_location} à ${pm_to_location}, si c'est le cas ?")</f>
        <v>Combien de personnes ont voyagé avec vous (dans le même groupe de voyage) du ${pm_from_location} à ${pm_to_location}, si c'est le cas ?</v>
      </c>
      <c r="I951" s="172" t="str">
        <f>IFERROR(__xludf.DUMMYFUNCTION("TRIM(REGEXREPLACE(E951, ""[0-9]+[a-f]?\."", """"))"),"Mutane nawa ne suka yi tafiya tare da ku (a cikin gungu ɗaya) daga ${pm_from_location} zuwa ${pm_to_location}, idan haka ya kasance?")</f>
        <v>Mutane nawa ne suka yi tafiya tare da ku (a cikin gungu ɗaya) daga ${pm_from_location} zuwa ${pm_to_location}, idan haka ya kasance?</v>
      </c>
      <c r="J951" s="172" t="str">
        <f t="shared" ref="J951:L951" si="132">$F951 &amp; ". " &amp;G951</f>
        <v>132. How many people traveled with you (in the same travel group) from ${pm_from_location} to ${pm_to_location}, if any?</v>
      </c>
      <c r="K951" s="172" t="str">
        <f t="shared" si="132"/>
        <v>132. Combien de personnes ont voyagé avec vous (dans le même groupe de voyage) du ${pm_from_location} à ${pm_to_location}, si c'est le cas ?</v>
      </c>
      <c r="L951" s="172" t="str">
        <f t="shared" si="132"/>
        <v>132. Mutane nawa ne suka yi tafiya tare da ku (a cikin gungu ɗaya) daga ${pm_from_location} zuwa ${pm_to_location}, idan haka ya kasance?</v>
      </c>
    </row>
    <row r="952">
      <c r="A952" s="215" t="s">
        <v>3423</v>
      </c>
      <c r="B952" s="216" t="s">
        <v>4623</v>
      </c>
      <c r="C952" s="216" t="s">
        <v>4624</v>
      </c>
      <c r="D952" s="216" t="s">
        <v>4626</v>
      </c>
      <c r="E952" s="216" t="s">
        <v>4627</v>
      </c>
      <c r="F952" s="182">
        <v>133.0</v>
      </c>
      <c r="G952" s="172" t="str">
        <f>IFERROR(__xludf.DUMMYFUNCTION("TRIM(REGEXREPLACE(C952, ""[0-9]+[a-f]?\."", """"))"),"Did any of the people you travelled with participate in Mercy Corps program?")</f>
        <v>Did any of the people you travelled with participate in Mercy Corps program?</v>
      </c>
      <c r="H952" s="172" t="str">
        <f>IFERROR(__xludf.DUMMYFUNCTION("TRIM(REGEXREPLACE(D952, ""[0-9]+[a-f]?\."", """"))"),"Certaines des personnes avec lesquelles vous avez voyagé ont-elles participé au programme Mercy Corps ?")</f>
        <v>Certaines des personnes avec lesquelles vous avez voyagé ont-elles participé au programme Mercy Corps ?</v>
      </c>
      <c r="I952" s="172" t="str">
        <f>IFERROR(__xludf.DUMMYFUNCTION("TRIM(REGEXREPLACE(E952, ""[0-9]+[a-f]?\."", """"))"),"Ko a cikin mutanen da kuka yi tafiya tare da su akwai mahalarta cikin shirin Mercy Corps?")</f>
        <v>Ko a cikin mutanen da kuka yi tafiya tare da su akwai mahalarta cikin shirin Mercy Corps?</v>
      </c>
      <c r="J952" s="172" t="str">
        <f t="shared" ref="J952:L952" si="133">$F952 &amp; ". " &amp;G952</f>
        <v>133. Did any of the people you travelled with participate in Mercy Corps program?</v>
      </c>
      <c r="K952" s="172" t="str">
        <f t="shared" si="133"/>
        <v>133. Certaines des personnes avec lesquelles vous avez voyagé ont-elles participé au programme Mercy Corps ?</v>
      </c>
      <c r="L952" s="172" t="str">
        <f t="shared" si="133"/>
        <v>133. Ko a cikin mutanen da kuka yi tafiya tare da su akwai mahalarta cikin shirin Mercy Corps?</v>
      </c>
    </row>
    <row r="953" hidden="1">
      <c r="B953" s="260"/>
      <c r="C953" s="260"/>
      <c r="D953" s="260"/>
      <c r="E953" s="260"/>
      <c r="F953" s="182">
        <v>553.0</v>
      </c>
      <c r="G953" s="172" t="str">
        <f>IFERROR(__xludf.DUMMYFUNCTION("TRIM(REGEXREPLACE(C953, ""[0-9]+[a-f]?\."", """"))"),"")</f>
        <v/>
      </c>
      <c r="H953" s="172" t="str">
        <f>IFERROR(__xludf.DUMMYFUNCTION("TRIM(REGEXREPLACE(D953, ""[0-9]+[a-f]?\."", """"))"),"")</f>
        <v/>
      </c>
      <c r="I953" s="172" t="str">
        <f>IFERROR(__xludf.DUMMYFUNCTION("TRIM(REGEXREPLACE(E953, ""[0-9]+[a-f]?\."", """"))"),"")</f>
        <v/>
      </c>
      <c r="J953" s="172" t="s">
        <v>4630</v>
      </c>
      <c r="K953" s="172" t="s">
        <v>4631</v>
      </c>
      <c r="L953" s="172" t="s">
        <v>4632</v>
      </c>
    </row>
    <row r="954" hidden="1">
      <c r="A954" s="211" t="s">
        <v>107</v>
      </c>
      <c r="B954" s="212" t="s">
        <v>4633</v>
      </c>
      <c r="C954" s="212" t="s">
        <v>4634</v>
      </c>
      <c r="D954" s="212" t="s">
        <v>4635</v>
      </c>
      <c r="E954" s="212" t="s">
        <v>4636</v>
      </c>
      <c r="F954" s="182">
        <v>518.0</v>
      </c>
      <c r="G954" s="172" t="str">
        <f>IFERROR(__xludf.DUMMYFUNCTION("TRIM(REGEXREPLACE(C954, ""[0-9]+[a-f]?\."", """"))"),"Crossed a border")</f>
        <v>Crossed a border</v>
      </c>
      <c r="H954" s="172" t="str">
        <f>IFERROR(__xludf.DUMMYFUNCTION("TRIM(REGEXREPLACE(D954, ""[0-9]+[a-f]?\."", """"))"),"Traverser une frontière")</f>
        <v>Traverser une frontière</v>
      </c>
      <c r="I954" s="172" t="str">
        <f>IFERROR(__xludf.DUMMYFUNCTION("TRIM(REGEXREPLACE(E954, ""[0-9]+[a-f]?\."", """"))"),"Ketare iyaka")</f>
        <v>Ketare iyaka</v>
      </c>
      <c r="J954" s="172" t="s">
        <v>4637</v>
      </c>
      <c r="K954" s="172" t="s">
        <v>4638</v>
      </c>
      <c r="L954" s="172" t="s">
        <v>4639</v>
      </c>
    </row>
    <row r="955">
      <c r="A955" s="207" t="s">
        <v>41</v>
      </c>
      <c r="B955" s="208" t="s">
        <v>4641</v>
      </c>
      <c r="C955" s="208" t="s">
        <v>4642</v>
      </c>
      <c r="D955" s="208" t="s">
        <v>4644</v>
      </c>
      <c r="E955" s="208" t="s">
        <v>4645</v>
      </c>
      <c r="F955" s="182">
        <v>134.0</v>
      </c>
      <c r="G955" s="172" t="str">
        <f>IFERROR(__xludf.DUMMYFUNCTION("TRIM(REGEXREPLACE(C955, ""[0-9]+[a-f]?\."", """"))"),"The next few questions focus on your experience crossing the border from ${pm_from_location} to ${pm_to_location}.")</f>
        <v>The next few questions focus on your experience crossing the border from ${pm_from_location} to ${pm_to_location}.</v>
      </c>
      <c r="H955" s="172" t="str">
        <f>IFERROR(__xludf.DUMMYFUNCTION("TRIM(REGEXREPLACE(D955, ""[0-9]+[a-f]?\."", """"))"),"Les prochaines questions portent sur votre expérience de passage de la frontière de ${pm_from_location} à ${pm_to_location}.")</f>
        <v>Les prochaines questions portent sur votre expérience de passage de la frontière de ${pm_from_location} à ${pm_to_location}.</v>
      </c>
      <c r="I955" s="172" t="str">
        <f>IFERROR(__xludf.DUMMYFUNCTION("TRIM(REGEXREPLACE(E955, ""[0-9]+[a-f]?\."", """"))"),"Tambayoyi na gaba sun ta allaƙa ne bisa sininku kan ketare iyaka daga ${pm_from_location} zuwa ${pm_to_location}.")</f>
        <v>Tambayoyi na gaba sun ta allaƙa ne bisa sininku kan ketare iyaka daga ${pm_from_location} zuwa ${pm_to_location}.</v>
      </c>
      <c r="J955" s="172" t="str">
        <f t="shared" ref="J955:L955" si="134">$F955 &amp; ". " &amp;G955</f>
        <v>134. The next few questions focus on your experience crossing the border from ${pm_from_location} to ${pm_to_location}.</v>
      </c>
      <c r="K955" s="172" t="str">
        <f t="shared" si="134"/>
        <v>134. Les prochaines questions portent sur votre expérience de passage de la frontière de ${pm_from_location} à ${pm_to_location}.</v>
      </c>
      <c r="L955" s="172" t="str">
        <f t="shared" si="134"/>
        <v>134. Tambayoyi na gaba sun ta allaƙa ne bisa sininku kan ketare iyaka daga ${pm_from_location} zuwa ${pm_to_location}.</v>
      </c>
    </row>
    <row r="956" hidden="1">
      <c r="B956" s="260"/>
      <c r="C956" s="260"/>
      <c r="D956" s="260"/>
      <c r="E956" s="260"/>
      <c r="F956" s="182">
        <v>556.0</v>
      </c>
      <c r="G956" s="172" t="str">
        <f>IFERROR(__xludf.DUMMYFUNCTION("TRIM(REGEXREPLACE(C956, ""[0-9]+[a-f]?\."", """"))"),"")</f>
        <v/>
      </c>
      <c r="H956" s="172" t="str">
        <f>IFERROR(__xludf.DUMMYFUNCTION("TRIM(REGEXREPLACE(D956, ""[0-9]+[a-f]?\."", """"))"),"")</f>
        <v/>
      </c>
      <c r="I956" s="172" t="str">
        <f>IFERROR(__xludf.DUMMYFUNCTION("TRIM(REGEXREPLACE(E956, ""[0-9]+[a-f]?\."", """"))"),"")</f>
        <v/>
      </c>
      <c r="J956" s="172" t="s">
        <v>4646</v>
      </c>
      <c r="K956" s="172" t="s">
        <v>4647</v>
      </c>
      <c r="L956" s="172" t="s">
        <v>4648</v>
      </c>
    </row>
    <row r="957" hidden="1">
      <c r="B957" s="260"/>
      <c r="C957" s="260"/>
      <c r="D957" s="260"/>
      <c r="E957" s="260"/>
      <c r="F957" s="182">
        <v>557.0</v>
      </c>
      <c r="G957" s="172" t="str">
        <f>IFERROR(__xludf.DUMMYFUNCTION("TRIM(REGEXREPLACE(C957, ""[0-9]+[a-f]?\."", """"))"),"")</f>
        <v/>
      </c>
      <c r="H957" s="172" t="str">
        <f>IFERROR(__xludf.DUMMYFUNCTION("TRIM(REGEXREPLACE(D957, ""[0-9]+[a-f]?\."", """"))"),"")</f>
        <v/>
      </c>
      <c r="I957" s="172" t="str">
        <f>IFERROR(__xludf.DUMMYFUNCTION("TRIM(REGEXREPLACE(E957, ""[0-9]+[a-f]?\."", """"))"),"")</f>
        <v/>
      </c>
      <c r="J957" s="172" t="s">
        <v>4652</v>
      </c>
      <c r="K957" s="172" t="s">
        <v>4653</v>
      </c>
      <c r="L957" s="172" t="s">
        <v>4654</v>
      </c>
    </row>
    <row r="958" hidden="1">
      <c r="B958" s="260"/>
      <c r="C958" s="260"/>
      <c r="D958" s="260"/>
      <c r="E958" s="260"/>
      <c r="F958" s="182">
        <v>558.0</v>
      </c>
      <c r="G958" s="172" t="str">
        <f>IFERROR(__xludf.DUMMYFUNCTION("TRIM(REGEXREPLACE(C958, ""[0-9]+[a-f]?\."", """"))"),"")</f>
        <v/>
      </c>
      <c r="H958" s="172" t="str">
        <f>IFERROR(__xludf.DUMMYFUNCTION("TRIM(REGEXREPLACE(D958, ""[0-9]+[a-f]?\."", """"))"),"")</f>
        <v/>
      </c>
      <c r="I958" s="172" t="str">
        <f>IFERROR(__xludf.DUMMYFUNCTION("TRIM(REGEXREPLACE(E958, ""[0-9]+[a-f]?\."", """"))"),"")</f>
        <v/>
      </c>
      <c r="J958" s="172" t="s">
        <v>4655</v>
      </c>
      <c r="K958" s="172" t="s">
        <v>4656</v>
      </c>
      <c r="L958" s="172" t="s">
        <v>4657</v>
      </c>
    </row>
    <row r="959" hidden="1">
      <c r="B959" s="260"/>
      <c r="C959" s="260"/>
      <c r="D959" s="260"/>
      <c r="E959" s="260"/>
      <c r="F959" s="182">
        <v>559.0</v>
      </c>
      <c r="G959" s="172" t="str">
        <f>IFERROR(__xludf.DUMMYFUNCTION("TRIM(REGEXREPLACE(C959, ""[0-9]+[a-f]?\."", """"))"),"")</f>
        <v/>
      </c>
      <c r="H959" s="172" t="str">
        <f>IFERROR(__xludf.DUMMYFUNCTION("TRIM(REGEXREPLACE(D959, ""[0-9]+[a-f]?\."", """"))"),"")</f>
        <v/>
      </c>
      <c r="I959" s="172" t="str">
        <f>IFERROR(__xludf.DUMMYFUNCTION("TRIM(REGEXREPLACE(E959, ""[0-9]+[a-f]?\."", """"))"),"")</f>
        <v/>
      </c>
      <c r="J959" s="172" t="s">
        <v>4658</v>
      </c>
      <c r="K959" s="172" t="s">
        <v>4659</v>
      </c>
      <c r="L959" s="172" t="s">
        <v>4661</v>
      </c>
    </row>
    <row r="960">
      <c r="A960" s="215" t="s">
        <v>4599</v>
      </c>
      <c r="B960" s="216" t="s">
        <v>4662</v>
      </c>
      <c r="C960" s="216" t="s">
        <v>4663</v>
      </c>
      <c r="D960" s="216" t="s">
        <v>4664</v>
      </c>
      <c r="E960" s="216" t="s">
        <v>4665</v>
      </c>
      <c r="F960" s="182">
        <v>135.0</v>
      </c>
      <c r="G960" s="172" t="str">
        <f>IFERROR(__xludf.DUMMYFUNCTION("TRIM(REGEXREPLACE(C960, ""[0-9]+[a-f]?\."", """"))"),"How did you cross the border from ${pm_from_location} to ${pm_to_location}?")</f>
        <v>How did you cross the border from ${pm_from_location} to ${pm_to_location}?</v>
      </c>
      <c r="H960" s="172" t="str">
        <f>IFERROR(__xludf.DUMMYFUNCTION("TRIM(REGEXREPLACE(D960, ""[0-9]+[a-f]?\."", """"))"),"Comment avez-vous traversé la frontière entre ${pm_from_location} et ${pm_to_location} ?")</f>
        <v>Comment avez-vous traversé la frontière entre ${pm_from_location} et ${pm_to_location} ?</v>
      </c>
      <c r="I960" s="172" t="str">
        <f>IFERROR(__xludf.DUMMYFUNCTION("TRIM(REGEXREPLACE(E960, ""[0-9]+[a-f]?\."", """"))"),"Yaya kuka ketare iyaka daga ${pm_from_location} zuwa ${pm_to_location}?")</f>
        <v>Yaya kuka ketare iyaka daga ${pm_from_location} zuwa ${pm_to_location}?</v>
      </c>
      <c r="J960" s="172" t="str">
        <f t="shared" ref="J960:L960" si="135">$F960 &amp; ". " &amp;G960</f>
        <v>135. How did you cross the border from ${pm_from_location} to ${pm_to_location}?</v>
      </c>
      <c r="K960" s="172" t="str">
        <f t="shared" si="135"/>
        <v>135. Comment avez-vous traversé la frontière entre ${pm_from_location} et ${pm_to_location} ?</v>
      </c>
      <c r="L960" s="172" t="str">
        <f t="shared" si="135"/>
        <v>135. Yaya kuka ketare iyaka daga ${pm_from_location} zuwa ${pm_to_location}?</v>
      </c>
    </row>
    <row r="961">
      <c r="A961" s="246" t="s">
        <v>231</v>
      </c>
      <c r="B961" s="247" t="s">
        <v>4666</v>
      </c>
      <c r="C961" s="247" t="s">
        <v>1807</v>
      </c>
      <c r="D961" s="247" t="s">
        <v>1808</v>
      </c>
      <c r="E961" s="247" t="s">
        <v>4667</v>
      </c>
      <c r="F961" s="182">
        <v>136.0</v>
      </c>
      <c r="G961" s="172" t="str">
        <f>IFERROR(__xludf.DUMMYFUNCTION("TRIM(REGEXREPLACE(C961, ""[0-9]+[a-f]?\."", """"))"),"Other, specify:")</f>
        <v>Other, specify:</v>
      </c>
      <c r="H961" s="172" t="str">
        <f>IFERROR(__xludf.DUMMYFUNCTION("TRIM(REGEXREPLACE(D961, ""[0-9]+[a-f]?\."", """"))"),"Autre précisez:")</f>
        <v>Autre précisez:</v>
      </c>
      <c r="I961" s="172" t="str">
        <f>IFERROR(__xludf.DUMMYFUNCTION("TRIM(REGEXREPLACE(E961, ""[0-9]+[a-f]?\."", """"))"),"Wani daban, baiyana:")</f>
        <v>Wani daban, baiyana:</v>
      </c>
      <c r="J961" s="172" t="str">
        <f t="shared" ref="J961:L961" si="136">$F961 &amp; ". " &amp;G961</f>
        <v>136. Other, specify:</v>
      </c>
      <c r="K961" s="172" t="str">
        <f t="shared" si="136"/>
        <v>136. Autre précisez:</v>
      </c>
      <c r="L961" s="172" t="str">
        <f t="shared" si="136"/>
        <v>136. Wani daban, baiyana:</v>
      </c>
    </row>
    <row r="962">
      <c r="A962" s="253" t="s">
        <v>246</v>
      </c>
      <c r="B962" s="254" t="s">
        <v>4669</v>
      </c>
      <c r="C962" s="254" t="s">
        <v>1815</v>
      </c>
      <c r="D962" s="254" t="s">
        <v>4670</v>
      </c>
      <c r="E962" s="254" t="s">
        <v>1817</v>
      </c>
      <c r="F962" s="182">
        <v>137.0</v>
      </c>
      <c r="G962" s="172" t="str">
        <f>IFERROR(__xludf.DUMMYFUNCTION("TRIM(REGEXREPLACE(C962, ""[0-9]+[a-f]?\."", """"))"),"How many people crossed the border with you (in the same travel group) from ${pm_from_location} to ${pm_to_location}, if any?")</f>
        <v>How many people crossed the border with you (in the same travel group) from ${pm_from_location} to ${pm_to_location}, if any?</v>
      </c>
      <c r="H962" s="172" t="str">
        <f>IFERROR(__xludf.DUMMYFUNCTION("TRIM(REGEXREPLACE(D962, ""[0-9]+[a-f]?\."", """"))"),"Combien de personnes ont traversé la frontière avec vous (dans le même groupe de voyage) du ${pm_from_location} à ${pm_to_location}, si c'est le cas?")</f>
        <v>Combien de personnes ont traversé la frontière avec vous (dans le même groupe de voyage) du ${pm_from_location} à ${pm_to_location}, si c'est le cas?</v>
      </c>
      <c r="I962" s="172" t="str">
        <f>IFERROR(__xludf.DUMMYFUNCTION("TRIM(REGEXREPLACE(E962, ""[0-9]+[a-f]?\."", """"))"),"Mutane nawa ne suka ketare iyaka da ku (a cikin rukuni ɗaya) daga ${pm_from_location} zuwa ${pm_to_location}, idan akwai?")</f>
        <v>Mutane nawa ne suka ketare iyaka da ku (a cikin rukuni ɗaya) daga ${pm_from_location} zuwa ${pm_to_location}, idan akwai?</v>
      </c>
      <c r="J962" s="172" t="str">
        <f t="shared" ref="J962:L962" si="137">$F962 &amp; ". " &amp;G962</f>
        <v>137. How many people crossed the border with you (in the same travel group) from ${pm_from_location} to ${pm_to_location}, if any?</v>
      </c>
      <c r="K962" s="172" t="str">
        <f t="shared" si="137"/>
        <v>137. Combien de personnes ont traversé la frontière avec vous (dans le même groupe de voyage) du ${pm_from_location} à ${pm_to_location}, si c'est le cas?</v>
      </c>
      <c r="L962" s="172" t="str">
        <f t="shared" si="137"/>
        <v>137. Mutane nawa ne suka ketare iyaka da ku (a cikin rukuni ɗaya) daga ${pm_from_location} zuwa ${pm_to_location}, idan akwai?</v>
      </c>
    </row>
    <row r="963">
      <c r="A963" s="215" t="s">
        <v>353</v>
      </c>
      <c r="B963" s="216" t="s">
        <v>4672</v>
      </c>
      <c r="C963" s="216" t="s">
        <v>4673</v>
      </c>
      <c r="D963" s="216" t="s">
        <v>4674</v>
      </c>
      <c r="E963" s="216" t="s">
        <v>4675</v>
      </c>
      <c r="F963" s="182">
        <v>138.0</v>
      </c>
      <c r="G963" s="172" t="str">
        <f>IFERROR(__xludf.DUMMYFUNCTION("TRIM(REGEXREPLACE(C963, ""[0-9]+[a-f]?\."", """"))"),"Was there an official checkpoint or building where you crossed the border from ${pm_from_location} to ${pm_to_location}?")</f>
        <v>Was there an official checkpoint or building where you crossed the border from ${pm_from_location} to ${pm_to_location}?</v>
      </c>
      <c r="H963" s="172" t="str">
        <f>IFERROR(__xludf.DUMMYFUNCTION("TRIM(REGEXREPLACE(D963, ""[0-9]+[a-f]?\."", """"))"),"Y avait-il un point de contrôle ou un bâtiment officiel à l'endroit où vous avez traversé la frontière entre ${pm_from_location} et ${pm_to_location} ?")</f>
        <v>Y avait-il un point de contrôle ou un bâtiment officiel à l'endroit où vous avez traversé la frontière entre ${pm_from_location} et ${pm_to_location} ?</v>
      </c>
      <c r="I963" s="172" t="str">
        <f>IFERROR(__xludf.DUMMYFUNCTION("TRIM(REGEXREPLACE(E963, ""[0-9]+[a-f]?\."", """"))"),"Ko akwai wurin bincike ko wata ma'aikata na gwamnati a inda kuka ketara iyaka daga ${pm_from_location} zuwa ${pm_to_location}?")</f>
        <v>Ko akwai wurin bincike ko wata ma'aikata na gwamnati a inda kuka ketara iyaka daga ${pm_from_location} zuwa ${pm_to_location}?</v>
      </c>
      <c r="J963" s="172" t="str">
        <f t="shared" ref="J963:L963" si="138">$F963 &amp; ". " &amp;G963</f>
        <v>138. Was there an official checkpoint or building where you crossed the border from ${pm_from_location} to ${pm_to_location}?</v>
      </c>
      <c r="K963" s="172" t="str">
        <f t="shared" si="138"/>
        <v>138. Y avait-il un point de contrôle ou un bâtiment officiel à l'endroit où vous avez traversé la frontière entre ${pm_from_location} et ${pm_to_location} ?</v>
      </c>
      <c r="L963" s="172" t="str">
        <f t="shared" si="138"/>
        <v>138. Ko akwai wurin bincike ko wata ma'aikata na gwamnati a inda kuka ketara iyaka daga ${pm_from_location} zuwa ${pm_to_location}?</v>
      </c>
    </row>
    <row r="964">
      <c r="A964" s="215" t="s">
        <v>353</v>
      </c>
      <c r="B964" s="216" t="s">
        <v>4679</v>
      </c>
      <c r="C964" s="216" t="s">
        <v>4680</v>
      </c>
      <c r="D964" s="216" t="s">
        <v>4681</v>
      </c>
      <c r="E964" s="216" t="s">
        <v>4682</v>
      </c>
      <c r="F964" s="182">
        <v>139.0</v>
      </c>
      <c r="G964" s="172" t="str">
        <f>IFERROR(__xludf.DUMMYFUNCTION("TRIM(REGEXREPLACE(C964, ""[0-9]+[a-f]?\."", """"))"),"Did you/your vehicle encounter border police or migration officials at the border from ${pm_from_location} to ${pm_to_location}?")</f>
        <v>Did you/your vehicle encounter border police or migration officials at the border from ${pm_from_location} to ${pm_to_location}?</v>
      </c>
      <c r="H964" s="172" t="str">
        <f>IFERROR(__xludf.DUMMYFUNCTION("TRIM(REGEXREPLACE(D964, ""[0-9]+[a-f]?\."", """"))"),"Avez-vous/votre véhicule a-t-il rencontré la police des frontières ou des agents de l'immigration à la frontière entre ${pm_from_location} et ${pm_to_location} ?")</f>
        <v>Avez-vous/votre véhicule a-t-il rencontré la police des frontières ou des agents de l'immigration à la frontière entre ${pm_from_location} et ${pm_to_location} ?</v>
      </c>
      <c r="I964" s="172" t="str">
        <f>IFERROR(__xludf.DUMMYFUNCTION("TRIM(REGEXREPLACE(E964, ""[0-9]+[a-f]?\."", """"))"),"Ko kun haɗu ƴan sandan iyaka ko jami'an imagreshin a kan iyaka daga ${pm_from_location} zuwa ${pm_to_location}?")</f>
        <v>Ko kun haɗu ƴan sandan iyaka ko jami'an imagreshin a kan iyaka daga ${pm_from_location} zuwa ${pm_to_location}?</v>
      </c>
      <c r="J964" s="172" t="str">
        <f t="shared" ref="J964:L964" si="139">$F964 &amp; ". " &amp;G964</f>
        <v>139. Did you/your vehicle encounter border police or migration officials at the border from ${pm_from_location} to ${pm_to_location}?</v>
      </c>
      <c r="K964" s="172" t="str">
        <f t="shared" si="139"/>
        <v>139. Avez-vous/votre véhicule a-t-il rencontré la police des frontières ou des agents de l'immigration à la frontière entre ${pm_from_location} et ${pm_to_location} ?</v>
      </c>
      <c r="L964" s="172" t="str">
        <f t="shared" si="139"/>
        <v>139. Ko kun haɗu ƴan sandan iyaka ko jami'an imagreshin a kan iyaka daga ${pm_from_location} zuwa ${pm_to_location}?</v>
      </c>
    </row>
    <row r="965" hidden="1">
      <c r="B965" s="260"/>
      <c r="C965" s="260"/>
      <c r="D965" s="260"/>
      <c r="E965" s="260"/>
      <c r="F965" s="182">
        <v>563.0</v>
      </c>
      <c r="G965" s="172" t="str">
        <f>IFERROR(__xludf.DUMMYFUNCTION("TRIM(REGEXREPLACE(C965, ""[0-9]+[a-f]?\."", """"))"),"")</f>
        <v/>
      </c>
      <c r="H965" s="172" t="str">
        <f>IFERROR(__xludf.DUMMYFUNCTION("TRIM(REGEXREPLACE(D965, ""[0-9]+[a-f]?\."", """"))"),"")</f>
        <v/>
      </c>
      <c r="I965" s="172" t="str">
        <f>IFERROR(__xludf.DUMMYFUNCTION("TRIM(REGEXREPLACE(E965, ""[0-9]+[a-f]?\."", """"))"),"")</f>
        <v/>
      </c>
      <c r="J965" s="172" t="s">
        <v>4683</v>
      </c>
      <c r="K965" s="172" t="s">
        <v>4684</v>
      </c>
      <c r="L965" s="172" t="s">
        <v>4685</v>
      </c>
    </row>
    <row r="966" hidden="1">
      <c r="B966" s="260"/>
      <c r="C966" s="260"/>
      <c r="D966" s="260"/>
      <c r="E966" s="260"/>
      <c r="F966" s="182">
        <v>564.0</v>
      </c>
      <c r="G966" s="172" t="str">
        <f>IFERROR(__xludf.DUMMYFUNCTION("TRIM(REGEXREPLACE(C966, ""[0-9]+[a-f]?\."", """"))"),"")</f>
        <v/>
      </c>
      <c r="H966" s="172" t="str">
        <f>IFERROR(__xludf.DUMMYFUNCTION("TRIM(REGEXREPLACE(D966, ""[0-9]+[a-f]?\."", """"))"),"")</f>
        <v/>
      </c>
      <c r="I966" s="172" t="str">
        <f>IFERROR(__xludf.DUMMYFUNCTION("TRIM(REGEXREPLACE(E966, ""[0-9]+[a-f]?\."", """"))"),"")</f>
        <v/>
      </c>
      <c r="J966" s="172" t="s">
        <v>4686</v>
      </c>
      <c r="K966" s="172" t="s">
        <v>4687</v>
      </c>
      <c r="L966" s="172" t="s">
        <v>4688</v>
      </c>
    </row>
    <row r="967" hidden="1">
      <c r="B967" s="260"/>
      <c r="C967" s="260"/>
      <c r="D967" s="260"/>
      <c r="E967" s="260"/>
      <c r="F967" s="182">
        <v>565.0</v>
      </c>
      <c r="G967" s="172" t="str">
        <f>IFERROR(__xludf.DUMMYFUNCTION("TRIM(REGEXREPLACE(C967, ""[0-9]+[a-f]?\."", """"))"),"")</f>
        <v/>
      </c>
      <c r="H967" s="172" t="str">
        <f>IFERROR(__xludf.DUMMYFUNCTION("TRIM(REGEXREPLACE(D967, ""[0-9]+[a-f]?\."", """"))"),"")</f>
        <v/>
      </c>
      <c r="I967" s="172" t="str">
        <f>IFERROR(__xludf.DUMMYFUNCTION("TRIM(REGEXREPLACE(E967, ""[0-9]+[a-f]?\."", """"))"),"")</f>
        <v/>
      </c>
      <c r="J967" s="172" t="s">
        <v>4689</v>
      </c>
      <c r="K967" s="172" t="s">
        <v>4690</v>
      </c>
      <c r="L967" s="172" t="s">
        <v>4691</v>
      </c>
    </row>
    <row r="968" hidden="1">
      <c r="C968" s="260"/>
      <c r="D968" s="260"/>
      <c r="E968" s="260"/>
      <c r="F968" s="182">
        <v>579.0</v>
      </c>
      <c r="G968" s="172" t="str">
        <f>IFERROR(__xludf.DUMMYFUNCTION("TRIM(REGEXREPLACE(C968, ""[0-9]+[a-f]?\."", """"))"),"")</f>
        <v/>
      </c>
      <c r="H968" s="172" t="str">
        <f>IFERROR(__xludf.DUMMYFUNCTION("TRIM(REGEXREPLACE(D968, ""[0-9]+[a-f]?\."", """"))"),"")</f>
        <v/>
      </c>
      <c r="I968" s="172" t="str">
        <f>IFERROR(__xludf.DUMMYFUNCTION("TRIM(REGEXREPLACE(E968, ""[0-9]+[a-f]?\."", """"))"),"")</f>
        <v/>
      </c>
      <c r="J968" s="172" t="s">
        <v>4692</v>
      </c>
      <c r="K968" s="172" t="s">
        <v>4693</v>
      </c>
      <c r="L968" s="172" t="s">
        <v>4694</v>
      </c>
    </row>
    <row r="969" hidden="1">
      <c r="C969" s="260"/>
      <c r="D969" s="260"/>
      <c r="E969" s="260"/>
      <c r="F969" s="182">
        <v>580.0</v>
      </c>
      <c r="G969" s="172" t="str">
        <f>IFERROR(__xludf.DUMMYFUNCTION("TRIM(REGEXREPLACE(C969, ""[0-9]+[a-f]?\."", """"))"),"")</f>
        <v/>
      </c>
      <c r="H969" s="172" t="str">
        <f>IFERROR(__xludf.DUMMYFUNCTION("TRIM(REGEXREPLACE(D969, ""[0-9]+[a-f]?\."", """"))"),"")</f>
        <v/>
      </c>
      <c r="I969" s="172" t="str">
        <f>IFERROR(__xludf.DUMMYFUNCTION("TRIM(REGEXREPLACE(E969, ""[0-9]+[a-f]?\."", """"))"),"")</f>
        <v/>
      </c>
      <c r="J969" s="172" t="s">
        <v>4696</v>
      </c>
      <c r="K969" s="172" t="s">
        <v>4697</v>
      </c>
      <c r="L969" s="172" t="s">
        <v>4698</v>
      </c>
    </row>
    <row r="970">
      <c r="A970" s="215" t="s">
        <v>353</v>
      </c>
      <c r="B970" s="216" t="s">
        <v>4699</v>
      </c>
      <c r="C970" s="216" t="s">
        <v>4700</v>
      </c>
      <c r="D970" s="216" t="s">
        <v>4701</v>
      </c>
      <c r="E970" s="216" t="s">
        <v>4702</v>
      </c>
      <c r="F970" s="182">
        <v>140.0</v>
      </c>
      <c r="G970" s="172" t="str">
        <f>IFERROR(__xludf.DUMMYFUNCTION("TRIM(REGEXREPLACE(C970, ""[0-9]+[a-f]?\."", """"))"),"Were you asked to show any documents when you crossed the border from ${pm_from_location} to ${pm_to_location}?")</f>
        <v>Were you asked to show any documents when you crossed the border from ${pm_from_location} to ${pm_to_location}?</v>
      </c>
      <c r="H970" s="172" t="str">
        <f>IFERROR(__xludf.DUMMYFUNCTION("TRIM(REGEXREPLACE(D970, ""[0-9]+[a-f]?\."", """"))"),"Vous a-t-on demandé de montrer des documents lorsque vous avez traversé la frontière de ${pm_from_location} à ${pm_to_location} ?")</f>
        <v>Vous a-t-on demandé de montrer des documents lorsque vous avez traversé la frontière de ${pm_from_location} à ${pm_to_location} ?</v>
      </c>
      <c r="I970" s="172" t="str">
        <f>IFERROR(__xludf.DUMMYFUNCTION("TRIM(REGEXREPLACE(E970, ""[0-9]+[a-f]?\."", """"))"),"Ko an tambayeku ku nuna wasu takardu lokacin da kuka ketare iyaka daga ${pm_from_location} zuwa ${pm_to_location}?")</f>
        <v>Ko an tambayeku ku nuna wasu takardu lokacin da kuka ketare iyaka daga ${pm_from_location} zuwa ${pm_to_location}?</v>
      </c>
      <c r="J970" s="172" t="str">
        <f t="shared" ref="J970:L970" si="140">$F970 &amp; ". " &amp;G970</f>
        <v>140. Were you asked to show any documents when you crossed the border from ${pm_from_location} to ${pm_to_location}?</v>
      </c>
      <c r="K970" s="172" t="str">
        <f t="shared" si="140"/>
        <v>140. Vous a-t-on demandé de montrer des documents lorsque vous avez traversé la frontière de ${pm_from_location} à ${pm_to_location} ?</v>
      </c>
      <c r="L970" s="172" t="str">
        <f t="shared" si="140"/>
        <v>140. Ko an tambayeku ku nuna wasu takardu lokacin da kuka ketare iyaka daga ${pm_from_location} zuwa ${pm_to_location}?</v>
      </c>
    </row>
    <row r="971">
      <c r="A971" s="215" t="s">
        <v>4703</v>
      </c>
      <c r="B971" s="216" t="s">
        <v>4704</v>
      </c>
      <c r="C971" s="216" t="s">
        <v>4705</v>
      </c>
      <c r="D971" s="216" t="s">
        <v>4706</v>
      </c>
      <c r="E971" s="216" t="s">
        <v>4707</v>
      </c>
      <c r="F971" s="182">
        <v>141.0</v>
      </c>
      <c r="G971" s="172" t="str">
        <f>IFERROR(__xludf.DUMMYFUNCTION("TRIM(REGEXREPLACE(C971, ""[0-9]+[a-f]?\."", """"))"),"Which documents were you asked to show when you crossed the border from ${pm_from_location} to ${pm_to_location}?")</f>
        <v>Which documents were you asked to show when you crossed the border from ${pm_from_location} to ${pm_to_location}?</v>
      </c>
      <c r="H971" s="172" t="str">
        <f>IFERROR(__xludf.DUMMYFUNCTION("TRIM(REGEXREPLACE(D971, ""[0-9]+[a-f]?\."", """"))"),"Quels documents vous a-t-on demandé de présenter lorsque vous avez traversé la frontière entre ${pm_from_location} et ${pm_to_location} ?")</f>
        <v>Quels documents vous a-t-on demandé de présenter lorsque vous avez traversé la frontière entre ${pm_from_location} et ${pm_to_location} ?</v>
      </c>
      <c r="I971" s="172" t="str">
        <f>IFERROR(__xludf.DUMMYFUNCTION("TRIM(REGEXREPLACE(E971, ""[0-9]+[a-f]?\."", """"))"),"Waɗanne takardu aka tambayeku nunawa lokacin da kuka ketare iyaka daga ${pm_from_location} zuwa ${pm_to_location}?")</f>
        <v>Waɗanne takardu aka tambayeku nunawa lokacin da kuka ketare iyaka daga ${pm_from_location} zuwa ${pm_to_location}?</v>
      </c>
      <c r="J971" s="172" t="str">
        <f t="shared" ref="J971:L971" si="141">$F971 &amp; ". " &amp;G971</f>
        <v>141. Which documents were you asked to show when you crossed the border from ${pm_from_location} to ${pm_to_location}?</v>
      </c>
      <c r="K971" s="172" t="str">
        <f t="shared" si="141"/>
        <v>141. Quels documents vous a-t-on demandé de présenter lorsque vous avez traversé la frontière entre ${pm_from_location} et ${pm_to_location} ?</v>
      </c>
      <c r="L971" s="172" t="str">
        <f t="shared" si="141"/>
        <v>141. Waɗanne takardu aka tambayeku nunawa lokacin da kuka ketare iyaka daga ${pm_from_location} zuwa ${pm_to_location}?</v>
      </c>
    </row>
    <row r="972">
      <c r="A972" s="246" t="s">
        <v>231</v>
      </c>
      <c r="B972" s="247" t="s">
        <v>4708</v>
      </c>
      <c r="C972" s="247" t="s">
        <v>4709</v>
      </c>
      <c r="D972" s="247" t="s">
        <v>4710</v>
      </c>
      <c r="E972" s="247" t="s">
        <v>4711</v>
      </c>
      <c r="F972" s="182">
        <v>142.0</v>
      </c>
      <c r="G972" s="172" t="str">
        <f>IFERROR(__xludf.DUMMYFUNCTION("TRIM(REGEXREPLACE(C972, ""[0-9]+[a-f]?\."", """"))"),"Specify other")</f>
        <v>Specify other</v>
      </c>
      <c r="H972" s="172" t="str">
        <f>IFERROR(__xludf.DUMMYFUNCTION("TRIM(REGEXREPLACE(D972, ""[0-9]+[a-f]?\."", """"))"),"Autre à préciser")</f>
        <v>Autre à préciser</v>
      </c>
      <c r="I972" s="172" t="str">
        <f>IFERROR(__xludf.DUMMYFUNCTION("TRIM(REGEXREPLACE(E972, ""[0-9]+[a-f]?\."", """"))"),"Wani daban a baiyana")</f>
        <v>Wani daban a baiyana</v>
      </c>
      <c r="J972" s="172" t="str">
        <f t="shared" ref="J972:L972" si="142">$F972 &amp; ". " &amp;G972</f>
        <v>142. Specify other</v>
      </c>
      <c r="K972" s="172" t="str">
        <f t="shared" si="142"/>
        <v>142. Autre à préciser</v>
      </c>
      <c r="L972" s="172" t="str">
        <f t="shared" si="142"/>
        <v>142. Wani daban a baiyana</v>
      </c>
    </row>
    <row r="973" hidden="1">
      <c r="B973" s="260"/>
      <c r="C973" s="260"/>
      <c r="D973" s="260"/>
      <c r="E973" s="260"/>
      <c r="F973" s="182">
        <v>566.0</v>
      </c>
      <c r="G973" s="172" t="str">
        <f>IFERROR(__xludf.DUMMYFUNCTION("TRIM(REGEXREPLACE(C973, ""[0-9]+[a-f]?\."", """"))"),"")</f>
        <v/>
      </c>
      <c r="H973" s="172" t="str">
        <f>IFERROR(__xludf.DUMMYFUNCTION("TRIM(REGEXREPLACE(D973, ""[0-9]+[a-f]?\."", """"))"),"")</f>
        <v/>
      </c>
      <c r="I973" s="172" t="str">
        <f>IFERROR(__xludf.DUMMYFUNCTION("TRIM(REGEXREPLACE(E973, ""[0-9]+[a-f]?\."", """"))"),"")</f>
        <v/>
      </c>
      <c r="J973" s="172" t="s">
        <v>4712</v>
      </c>
      <c r="K973" s="172" t="s">
        <v>4713</v>
      </c>
      <c r="L973" s="172" t="s">
        <v>4713</v>
      </c>
    </row>
    <row r="974" hidden="1"/>
    <row r="975" hidden="1">
      <c r="C975" s="260"/>
      <c r="D975" s="260"/>
      <c r="E975" s="260"/>
      <c r="F975" s="182">
        <v>583.0</v>
      </c>
      <c r="G975" s="172" t="str">
        <f>IFERROR(__xludf.DUMMYFUNCTION("TRIM(REGEXREPLACE(C975, ""[0-9]+[a-f]?\."", """"))"),"")</f>
        <v/>
      </c>
      <c r="H975" s="172" t="str">
        <f>IFERROR(__xludf.DUMMYFUNCTION("TRIM(REGEXREPLACE(D975, ""[0-9]+[a-f]?\."", """"))"),"")</f>
        <v/>
      </c>
      <c r="I975" s="172" t="str">
        <f>IFERROR(__xludf.DUMMYFUNCTION("TRIM(REGEXREPLACE(E975, ""[0-9]+[a-f]?\."", """"))"),"")</f>
        <v/>
      </c>
      <c r="J975" s="172" t="s">
        <v>4714</v>
      </c>
      <c r="K975" s="172" t="s">
        <v>4715</v>
      </c>
      <c r="L975" s="172" t="s">
        <v>4716</v>
      </c>
    </row>
    <row r="976" hidden="1">
      <c r="C976" s="260"/>
      <c r="D976" s="260"/>
      <c r="E976" s="260"/>
      <c r="F976" s="182">
        <v>584.0</v>
      </c>
      <c r="G976" s="172" t="str">
        <f>IFERROR(__xludf.DUMMYFUNCTION("TRIM(REGEXREPLACE(C976, ""[0-9]+[a-f]?\."", """"))"),"")</f>
        <v/>
      </c>
      <c r="H976" s="172" t="str">
        <f>IFERROR(__xludf.DUMMYFUNCTION("TRIM(REGEXREPLACE(D976, ""[0-9]+[a-f]?\."", """"))"),"")</f>
        <v/>
      </c>
      <c r="I976" s="172" t="str">
        <f>IFERROR(__xludf.DUMMYFUNCTION("TRIM(REGEXREPLACE(E976, ""[0-9]+[a-f]?\."", """"))"),"")</f>
        <v/>
      </c>
      <c r="J976" s="172" t="s">
        <v>4717</v>
      </c>
      <c r="K976" s="172" t="s">
        <v>4718</v>
      </c>
      <c r="L976" s="172" t="s">
        <v>4719</v>
      </c>
    </row>
    <row r="977">
      <c r="A977" s="253" t="s">
        <v>246</v>
      </c>
      <c r="B977" s="254" t="s">
        <v>4721</v>
      </c>
      <c r="C977" s="254" t="s">
        <v>4722</v>
      </c>
      <c r="D977" s="254" t="s">
        <v>4723</v>
      </c>
      <c r="E977" s="254" t="s">
        <v>4724</v>
      </c>
      <c r="F977" s="182">
        <v>143.0</v>
      </c>
      <c r="G977" s="172" t="str">
        <f>IFERROR(__xludf.DUMMYFUNCTION("TRIM(REGEXREPLACE(C977, ""[0-9]+[a-f]?\."", """"))"),"How much money, if any were you asked to pay to cross the border (in CFA) from ${pm_from_location} to ${pm_to_location}?")</f>
        <v>How much money, if any were you asked to pay to cross the border (in CFA) from ${pm_from_location} to ${pm_to_location}?</v>
      </c>
      <c r="H977" s="172" t="str">
        <f>IFERROR(__xludf.DUMMYFUNCTION("TRIM(REGEXREPLACE(D977, ""[0-9]+[a-f]?\."", """"))"),"Combien d'argent, si c'est arrivé, vous a-t-on demandé de payer pour traverser la frontière (en CFA) de ${pm_from_location} à ${pm_to_location} ?")</f>
        <v>Combien d'argent, si c'est arrivé, vous a-t-on demandé de payer pour traverser la frontière (en CFA) de ${pm_from_location} à ${pm_to_location} ?</v>
      </c>
      <c r="I977" s="172" t="str">
        <f>IFERROR(__xludf.DUMMYFUNCTION("TRIM(REGEXREPLACE(E977, ""[0-9]+[a-f]?\."", """"))"),"Nawa ne kuɗin da kuka bada, idan an nemi ku biya don ketare iyaka (a cikin kuɗin CFA) daga ${pm_from_location} zuwa ${pm_to_location}?")</f>
        <v>Nawa ne kuɗin da kuka bada, idan an nemi ku biya don ketare iyaka (a cikin kuɗin CFA) daga ${pm_from_location} zuwa ${pm_to_location}?</v>
      </c>
      <c r="J977" s="172" t="str">
        <f t="shared" ref="J977:L977" si="143">$F977 &amp; ". " &amp;G977</f>
        <v>143. How much money, if any were you asked to pay to cross the border (in CFA) from ${pm_from_location} to ${pm_to_location}?</v>
      </c>
      <c r="K977" s="172" t="str">
        <f t="shared" si="143"/>
        <v>143. Combien d'argent, si c'est arrivé, vous a-t-on demandé de payer pour traverser la frontière (en CFA) de ${pm_from_location} à ${pm_to_location} ?</v>
      </c>
      <c r="L977" s="172" t="str">
        <f t="shared" si="143"/>
        <v>143. Nawa ne kuɗin da kuka bada, idan an nemi ku biya don ketare iyaka (a cikin kuɗin CFA) daga ${pm_from_location} zuwa ${pm_to_location}?</v>
      </c>
    </row>
    <row r="978" hidden="1">
      <c r="B978" s="260"/>
      <c r="C978" s="260"/>
      <c r="D978" s="260"/>
      <c r="E978" s="260"/>
      <c r="F978" s="182">
        <v>568.0</v>
      </c>
      <c r="G978" s="172" t="str">
        <f>IFERROR(__xludf.DUMMYFUNCTION("TRIM(REGEXREPLACE(C978, ""[0-9]+[a-f]?\."", """"))"),"")</f>
        <v/>
      </c>
      <c r="H978" s="172" t="str">
        <f>IFERROR(__xludf.DUMMYFUNCTION("TRIM(REGEXREPLACE(D978, ""[0-9]+[a-f]?\."", """"))"),"")</f>
        <v/>
      </c>
      <c r="I978" s="172" t="str">
        <f>IFERROR(__xludf.DUMMYFUNCTION("TRIM(REGEXREPLACE(E978, ""[0-9]+[a-f]?\."", """"))"),"")</f>
        <v/>
      </c>
      <c r="J978" s="172" t="s">
        <v>4725</v>
      </c>
      <c r="K978" s="172" t="s">
        <v>4726</v>
      </c>
      <c r="L978" s="172" t="s">
        <v>4727</v>
      </c>
    </row>
    <row r="979">
      <c r="A979" s="253" t="s">
        <v>246</v>
      </c>
      <c r="B979" s="254" t="s">
        <v>4728</v>
      </c>
      <c r="C979" s="254" t="s">
        <v>4729</v>
      </c>
      <c r="D979" s="254" t="s">
        <v>4730</v>
      </c>
      <c r="E979" s="254" t="s">
        <v>4731</v>
      </c>
      <c r="F979" s="182">
        <v>144.0</v>
      </c>
      <c r="G979" s="172" t="str">
        <f>IFERROR(__xludf.DUMMYFUNCTION("TRIM(REGEXREPLACE(C979, ""[0-9]+[a-f]?\."", """"))"),"Separately, how much money, if any, did you pay someone who helped you cross the border from ${pm_from_location} to ${pm_to_location}?")</f>
        <v>Separately, how much money, if any, did you pay someone who helped you cross the border from ${pm_from_location} to ${pm_to_location}?</v>
      </c>
      <c r="H979" s="172" t="str">
        <f>IFERROR(__xludf.DUMMYFUNCTION("TRIM(REGEXREPLACE(D979, ""[0-9]+[a-f]?\."", """"))"),"combien d'argent, si c'est arrivé, avez-vous aussi payé à quelqu'un qui vous a aidé à traverser la frontière de ${pm_from_location} à ${pm_to_location} ?")</f>
        <v>combien d'argent, si c'est arrivé, avez-vous aussi payé à quelqu'un qui vous a aidé à traverser la frontière de ${pm_from_location} à ${pm_to_location} ?</v>
      </c>
      <c r="I979" s="172" t="str">
        <f>IFERROR(__xludf.DUMMYFUNCTION("TRIM(REGEXREPLACE(E979, ""[0-9]+[a-f]?\."", """"))"),"Nawa, idan akwai, kuka biya wanda ya taimaka muku ketare iyaka daga ${pm_from_location} zuwa ${pm_to_location}?")</f>
        <v>Nawa, idan akwai, kuka biya wanda ya taimaka muku ketare iyaka daga ${pm_from_location} zuwa ${pm_to_location}?</v>
      </c>
      <c r="J979" s="172" t="str">
        <f t="shared" ref="J979:L979" si="144">$F979 &amp; ". " &amp;G979</f>
        <v>144. Separately, how much money, if any, did you pay someone who helped you cross the border from ${pm_from_location} to ${pm_to_location}?</v>
      </c>
      <c r="K979" s="172" t="str">
        <f t="shared" si="144"/>
        <v>144. combien d'argent, si c'est arrivé, avez-vous aussi payé à quelqu'un qui vous a aidé à traverser la frontière de ${pm_from_location} à ${pm_to_location} ?</v>
      </c>
      <c r="L979" s="172" t="str">
        <f t="shared" si="144"/>
        <v>144. Nawa, idan akwai, kuka biya wanda ya taimaka muku ketare iyaka daga ${pm_from_location} zuwa ${pm_to_location}?</v>
      </c>
    </row>
    <row r="980">
      <c r="A980" s="253" t="s">
        <v>246</v>
      </c>
      <c r="B980" s="254" t="s">
        <v>4732</v>
      </c>
      <c r="C980" s="254" t="s">
        <v>4733</v>
      </c>
      <c r="D980" s="254" t="s">
        <v>4734</v>
      </c>
      <c r="E980" s="254" t="s">
        <v>4735</v>
      </c>
      <c r="F980" s="182">
        <v>145.0</v>
      </c>
      <c r="G980" s="172" t="str">
        <f>IFERROR(__xludf.DUMMYFUNCTION("TRIM(REGEXREPLACE(C980, ""[0-9]+[a-f]?\."", """"))"),"How much did you pay for transportation (seat in vehicle + luggage) from ${pm_from_location} to ${pm_to_location}?")</f>
        <v>How much did you pay for transportation (seat in vehicle + luggage) from ${pm_from_location} to ${pm_to_location}?</v>
      </c>
      <c r="H980" s="172" t="str">
        <f>IFERROR(__xludf.DUMMYFUNCTION("TRIM(REGEXREPLACE(D980, ""[0-9]+[a-f]?\."", """"))"),"Combien avez-vous payé pour le transport (siège dans le véhicule + bagages) de ${pm_from_location} à ${pm_to_location} ?")</f>
        <v>Combien avez-vous payé pour le transport (siège dans le véhicule + bagages) de ${pm_from_location} à ${pm_to_location} ?</v>
      </c>
      <c r="I980" s="172" t="str">
        <f>IFERROR(__xludf.DUMMYFUNCTION("TRIM(REGEXREPLACE(E980, ""[0-9]+[a-f]?\."", """"))"),"Nawa kuka biya kuɗin mota (kai da kayanka) daga ${pm_from_location} zuwa ${pm_to_location}?")</f>
        <v>Nawa kuka biya kuɗin mota (kai da kayanka) daga ${pm_from_location} zuwa ${pm_to_location}?</v>
      </c>
      <c r="J980" s="172" t="str">
        <f t="shared" ref="J980:L980" si="145">$F980 &amp; ". " &amp;G980</f>
        <v>145. How much did you pay for transportation (seat in vehicle + luggage) from ${pm_from_location} to ${pm_to_location}?</v>
      </c>
      <c r="K980" s="172" t="str">
        <f t="shared" si="145"/>
        <v>145. Combien avez-vous payé pour le transport (siège dans le véhicule + bagages) de ${pm_from_location} à ${pm_to_location} ?</v>
      </c>
      <c r="L980" s="172" t="str">
        <f t="shared" si="145"/>
        <v>145. Nawa kuka biya kuɗin mota (kai da kayanka) daga ${pm_from_location} zuwa ${pm_to_location}?</v>
      </c>
    </row>
    <row r="981">
      <c r="A981" s="253" t="s">
        <v>246</v>
      </c>
      <c r="B981" s="254" t="s">
        <v>4736</v>
      </c>
      <c r="C981" s="254" t="s">
        <v>4737</v>
      </c>
      <c r="D981" s="254" t="s">
        <v>4738</v>
      </c>
      <c r="E981" s="254" t="s">
        <v>4739</v>
      </c>
      <c r="F981" s="182">
        <v>146.0</v>
      </c>
      <c r="G981" s="172" t="str">
        <f>IFERROR(__xludf.DUMMYFUNCTION("TRIM(REGEXREPLACE(C981, ""[0-9]+[a-f]?\."", """"))"),"How much did you pay in fees at checkpoints/roadblocks during this trip from ${pm_from_location} to ${pm_to_location}?")</f>
        <v>How much did you pay in fees at checkpoints/roadblocks during this trip from ${pm_from_location} to ${pm_to_location}?</v>
      </c>
      <c r="H981" s="172" t="str">
        <f>IFERROR(__xludf.DUMMYFUNCTION("TRIM(REGEXREPLACE(D981, ""[0-9]+[a-f]?\."", """"))"),"Combien avez-vous payé comme frais aux points de contrôle des barrages routiers pendant ce voyage de ${pm_from_location} à ${pm_to_location} ?")</f>
        <v>Combien avez-vous payé comme frais aux points de contrôle des barrages routiers pendant ce voyage de ${pm_from_location} à ${pm_to_location} ?</v>
      </c>
      <c r="I981" s="172" t="str">
        <f>IFERROR(__xludf.DUMMYFUNCTION("TRIM(REGEXREPLACE(E981, ""[0-9]+[a-f]?\."", """"))"),"Nawa kuka biya kuɗin bincika kayan hanya yayin wannan tafiya daga ${pm_from_location} zuwa ${pm_to_location}?")</f>
        <v>Nawa kuka biya kuɗin bincika kayan hanya yayin wannan tafiya daga ${pm_from_location} zuwa ${pm_to_location}?</v>
      </c>
      <c r="J981" s="172" t="str">
        <f t="shared" ref="J981:L981" si="146">$F981 &amp; ". " &amp;G981</f>
        <v>146. How much did you pay in fees at checkpoints/roadblocks during this trip from ${pm_from_location} to ${pm_to_location}?</v>
      </c>
      <c r="K981" s="172" t="str">
        <f t="shared" si="146"/>
        <v>146. Combien avez-vous payé comme frais aux points de contrôle des barrages routiers pendant ce voyage de ${pm_from_location} à ${pm_to_location} ?</v>
      </c>
      <c r="L981" s="172" t="str">
        <f t="shared" si="146"/>
        <v>146. Nawa kuka biya kuɗin bincika kayan hanya yayin wannan tafiya daga ${pm_from_location} zuwa ${pm_to_location}?</v>
      </c>
    </row>
    <row r="982" hidden="1">
      <c r="A982" s="211" t="s">
        <v>238</v>
      </c>
      <c r="B982" s="224" t="s">
        <v>4633</v>
      </c>
      <c r="C982" s="224" t="s">
        <v>4634</v>
      </c>
      <c r="D982" s="224" t="s">
        <v>4635</v>
      </c>
      <c r="E982" s="224" t="s">
        <v>4636</v>
      </c>
      <c r="F982" s="182">
        <v>532.0</v>
      </c>
      <c r="G982" s="172" t="str">
        <f>IFERROR(__xludf.DUMMYFUNCTION("TRIM(REGEXREPLACE(C982, ""[0-9]+[a-f]?\."", """"))"),"Crossed a border")</f>
        <v>Crossed a border</v>
      </c>
      <c r="H982" s="172" t="str">
        <f>IFERROR(__xludf.DUMMYFUNCTION("TRIM(REGEXREPLACE(D982, ""[0-9]+[a-f]?\."", """"))"),"Traverser une frontière")</f>
        <v>Traverser une frontière</v>
      </c>
      <c r="I982" s="172" t="str">
        <f>IFERROR(__xludf.DUMMYFUNCTION("TRIM(REGEXREPLACE(E982, ""[0-9]+[a-f]?\."", """"))"),"Ketare iyaka")</f>
        <v>Ketare iyaka</v>
      </c>
      <c r="J982" s="172" t="s">
        <v>4740</v>
      </c>
      <c r="K982" s="172" t="s">
        <v>4741</v>
      </c>
      <c r="L982" s="172" t="s">
        <v>4742</v>
      </c>
    </row>
    <row r="983" hidden="1">
      <c r="A983" s="211" t="s">
        <v>107</v>
      </c>
      <c r="B983" s="212" t="s">
        <v>4743</v>
      </c>
      <c r="C983" s="214"/>
      <c r="D983" s="214"/>
      <c r="E983" s="214"/>
      <c r="F983" s="182">
        <v>533.0</v>
      </c>
      <c r="G983" s="172" t="str">
        <f>IFERROR(__xludf.DUMMYFUNCTION("TRIM(REGEXREPLACE(C983, ""[0-9]+[a-f]?\."", """"))"),"")</f>
        <v/>
      </c>
      <c r="H983" s="172" t="str">
        <f>IFERROR(__xludf.DUMMYFUNCTION("TRIM(REGEXREPLACE(D983, ""[0-9]+[a-f]?\."", """"))"),"")</f>
        <v/>
      </c>
      <c r="I983" s="172" t="str">
        <f>IFERROR(__xludf.DUMMYFUNCTION("TRIM(REGEXREPLACE(E983, ""[0-9]+[a-f]?\."", """"))"),"")</f>
        <v/>
      </c>
      <c r="J983" s="172" t="s">
        <v>4745</v>
      </c>
      <c r="K983" s="172" t="s">
        <v>4747</v>
      </c>
      <c r="L983" s="172" t="s">
        <v>4749</v>
      </c>
    </row>
    <row r="984" hidden="1">
      <c r="C984" s="260"/>
      <c r="D984" s="260"/>
      <c r="E984" s="260"/>
      <c r="F984" s="295">
        <v>588.0</v>
      </c>
      <c r="G984" s="172" t="str">
        <f>IFERROR(__xludf.DUMMYFUNCTION("TRIM(REGEXREPLACE(C984, ""[0-9]+[a-f]?\."", """"))"),"")</f>
        <v/>
      </c>
      <c r="H984" s="172" t="str">
        <f>IFERROR(__xludf.DUMMYFUNCTION("TRIM(REGEXREPLACE(D984, ""[0-9]+[a-f]?\."", """"))"),"")</f>
        <v/>
      </c>
      <c r="I984" s="172" t="str">
        <f>IFERROR(__xludf.DUMMYFUNCTION("TRIM(REGEXREPLACE(E984, ""[0-9]+[a-f]?\."", """"))"),"")</f>
        <v/>
      </c>
      <c r="J984" s="172" t="s">
        <v>4751</v>
      </c>
      <c r="K984" s="172" t="s">
        <v>4752</v>
      </c>
      <c r="L984" s="172" t="s">
        <v>4753</v>
      </c>
    </row>
    <row r="985">
      <c r="A985" s="215" t="s">
        <v>353</v>
      </c>
      <c r="B985" s="216" t="s">
        <v>4754</v>
      </c>
      <c r="C985" s="216" t="s">
        <v>1857</v>
      </c>
      <c r="D985" s="216" t="s">
        <v>1858</v>
      </c>
      <c r="E985" s="216" t="s">
        <v>1859</v>
      </c>
      <c r="F985" s="182">
        <v>147.0</v>
      </c>
      <c r="G985" s="172" t="str">
        <f>IFERROR(__xludf.DUMMYFUNCTION("TRIM(REGEXREPLACE(C985, ""[0-9]+[a-f]?\."", """"))"),"Did you experience any of the following during your travel from ${pm_from_location} to ${pm_to_location}?")</f>
        <v>Did you experience any of the following during your travel from ${pm_from_location} to ${pm_to_location}?</v>
      </c>
      <c r="H985" s="172" t="str">
        <f>IFERROR(__xludf.DUMMYFUNCTION("TRIM(REGEXREPLACE(D985, ""[0-9]+[a-f]?\."", """"))"),"Avez-vous vécu l'une des situations suivantes lors de votre voyage de ${pm_from_location} à ${pm_to_location} ?")</f>
        <v>Avez-vous vécu l'une des situations suivantes lors de votre voyage de ${pm_from_location} à ${pm_to_location} ?</v>
      </c>
      <c r="I985" s="172" t="str">
        <f>IFERROR(__xludf.DUMMYFUNCTION("TRIM(REGEXREPLACE(E985, ""[0-9]+[a-f]?\."", """"))"),"Ko kun fuskanci ɗayan waɗannan abubuwan yayin tafiyarku daga ${pm_from_location} zuwa ${pm_to_location}?")</f>
        <v>Ko kun fuskanci ɗayan waɗannan abubuwan yayin tafiyarku daga ${pm_from_location} zuwa ${pm_to_location}?</v>
      </c>
      <c r="J985" s="172" t="str">
        <f t="shared" ref="J985:L985" si="147">$F985 &amp; ". " &amp;G985</f>
        <v>147. Did you experience any of the following during your travel from ${pm_from_location} to ${pm_to_location}?</v>
      </c>
      <c r="K985" s="172" t="str">
        <f t="shared" si="147"/>
        <v>147. Avez-vous vécu l'une des situations suivantes lors de votre voyage de ${pm_from_location} à ${pm_to_location} ?</v>
      </c>
      <c r="L985" s="172" t="str">
        <f t="shared" si="147"/>
        <v>147. Ko kun fuskanci ɗayan waɗannan abubuwan yayin tafiyarku daga ${pm_from_location} zuwa ${pm_to_location}?</v>
      </c>
    </row>
    <row r="986">
      <c r="A986" s="215" t="s">
        <v>353</v>
      </c>
      <c r="B986" s="216" t="s">
        <v>4758</v>
      </c>
      <c r="C986" s="216" t="s">
        <v>1860</v>
      </c>
      <c r="D986" s="216" t="s">
        <v>1861</v>
      </c>
      <c r="E986" s="216" t="s">
        <v>1862</v>
      </c>
      <c r="F986" s="182">
        <v>148.0</v>
      </c>
      <c r="G986" s="172" t="str">
        <f>IFERROR(__xludf.DUMMYFUNCTION("TRIM(REGEXREPLACE(C986, ""[0-9]+[a-f]?\."", """"))"),"Physical attack")</f>
        <v>Physical attack</v>
      </c>
      <c r="H986" s="172" t="str">
        <f>IFERROR(__xludf.DUMMYFUNCTION("TRIM(REGEXREPLACE(D986, ""[0-9]+[a-f]?\."", """"))"),"Attaque physique")</f>
        <v>Attaque physique</v>
      </c>
      <c r="I986" s="172" t="str">
        <f>IFERROR(__xludf.DUMMYFUNCTION("TRIM(REGEXREPLACE(E986, ""[0-9]+[a-f]?\."", """"))"),"Harin jiki")</f>
        <v>Harin jiki</v>
      </c>
      <c r="J986" s="172" t="str">
        <f t="shared" ref="J986:L986" si="148">$F986 &amp; ". " &amp;G986</f>
        <v>148. Physical attack</v>
      </c>
      <c r="K986" s="172" t="str">
        <f t="shared" si="148"/>
        <v>148. Attaque physique</v>
      </c>
      <c r="L986" s="172" t="str">
        <f t="shared" si="148"/>
        <v>148. Harin jiki</v>
      </c>
    </row>
    <row r="987">
      <c r="A987" s="215" t="s">
        <v>353</v>
      </c>
      <c r="B987" s="216" t="s">
        <v>4759</v>
      </c>
      <c r="C987" s="216" t="s">
        <v>4760</v>
      </c>
      <c r="D987" s="216" t="s">
        <v>4762</v>
      </c>
      <c r="E987" s="216" t="s">
        <v>4763</v>
      </c>
      <c r="F987" s="182">
        <v>149.0</v>
      </c>
      <c r="G987" s="172" t="str">
        <f>IFERROR(__xludf.DUMMYFUNCTION("TRIM(REGEXREPLACE(C987, ""[0-9]+[a-f]?\."", """"))"),"Threat of physical violence/attack")</f>
        <v>Threat of physical violence/attack</v>
      </c>
      <c r="H987" s="172" t="str">
        <f>IFERROR(__xludf.DUMMYFUNCTION("TRIM(REGEXREPLACE(D987, ""[0-9]+[a-f]?\."", """"))"),"Menace de violence physique/agression")</f>
        <v>Menace de violence physique/agression</v>
      </c>
      <c r="I987" s="172" t="str">
        <f>IFERROR(__xludf.DUMMYFUNCTION("TRIM(REGEXREPLACE(E987, ""[0-9]+[a-f]?\."", """"))"),"Barazanar ​​harin jiki")</f>
        <v>Barazanar ​​harin jiki</v>
      </c>
      <c r="J987" s="172" t="str">
        <f t="shared" ref="J987:L987" si="149">$F987 &amp; ". " &amp;G987</f>
        <v>149. Threat of physical violence/attack</v>
      </c>
      <c r="K987" s="172" t="str">
        <f t="shared" si="149"/>
        <v>149. Menace de violence physique/agression</v>
      </c>
      <c r="L987" s="172" t="str">
        <f t="shared" si="149"/>
        <v>149. Barazanar ​​harin jiki</v>
      </c>
    </row>
    <row r="988" hidden="1">
      <c r="B988" s="260"/>
      <c r="C988" s="260"/>
      <c r="D988" s="260"/>
      <c r="E988" s="260"/>
      <c r="F988" s="182">
        <v>573.0</v>
      </c>
      <c r="G988" s="172" t="str">
        <f>IFERROR(__xludf.DUMMYFUNCTION("TRIM(REGEXREPLACE(C988, ""[0-9]+[a-f]?\."", """"))"),"")</f>
        <v/>
      </c>
      <c r="H988" s="172" t="str">
        <f>IFERROR(__xludf.DUMMYFUNCTION("TRIM(REGEXREPLACE(D988, ""[0-9]+[a-f]?\."", """"))"),"")</f>
        <v/>
      </c>
      <c r="I988" s="172" t="str">
        <f>IFERROR(__xludf.DUMMYFUNCTION("TRIM(REGEXREPLACE(E988, ""[0-9]+[a-f]?\."", """"))"),"")</f>
        <v/>
      </c>
      <c r="J988" s="172" t="s">
        <v>4766</v>
      </c>
      <c r="K988" s="172" t="s">
        <v>4767</v>
      </c>
      <c r="L988" s="172" t="s">
        <v>4768</v>
      </c>
    </row>
    <row r="989" hidden="1"/>
    <row r="990" hidden="1">
      <c r="B990" s="260"/>
      <c r="C990" s="260"/>
      <c r="D990" s="260"/>
      <c r="E990" s="260"/>
      <c r="F990" s="182">
        <v>574.0</v>
      </c>
      <c r="G990" s="172" t="str">
        <f>IFERROR(__xludf.DUMMYFUNCTION("TRIM(REGEXREPLACE(C990, ""[0-9]+[a-f]?\."", """"))"),"")</f>
        <v/>
      </c>
      <c r="H990" s="172" t="str">
        <f>IFERROR(__xludf.DUMMYFUNCTION("TRIM(REGEXREPLACE(D990, ""[0-9]+[a-f]?\."", """"))"),"")</f>
        <v/>
      </c>
      <c r="I990" s="172" t="str">
        <f>IFERROR(__xludf.DUMMYFUNCTION("TRIM(REGEXREPLACE(E990, ""[0-9]+[a-f]?\."", """"))"),"")</f>
        <v/>
      </c>
      <c r="J990" s="172" t="s">
        <v>4772</v>
      </c>
      <c r="K990" s="172" t="s">
        <v>4773</v>
      </c>
      <c r="L990" s="172" t="s">
        <v>4774</v>
      </c>
    </row>
    <row r="991" hidden="1">
      <c r="B991" s="260"/>
      <c r="C991" s="260"/>
      <c r="D991" s="260"/>
      <c r="E991" s="260"/>
      <c r="F991" s="182">
        <v>575.0</v>
      </c>
      <c r="G991" s="172" t="str">
        <f>IFERROR(__xludf.DUMMYFUNCTION("TRIM(REGEXREPLACE(C991, ""[0-9]+[a-f]?\."", """"))"),"")</f>
        <v/>
      </c>
      <c r="H991" s="172" t="str">
        <f>IFERROR(__xludf.DUMMYFUNCTION("TRIM(REGEXREPLACE(D991, ""[0-9]+[a-f]?\."", """"))"),"")</f>
        <v/>
      </c>
      <c r="I991" s="172" t="str">
        <f>IFERROR(__xludf.DUMMYFUNCTION("TRIM(REGEXREPLACE(E991, ""[0-9]+[a-f]?\."", """"))"),"")</f>
        <v/>
      </c>
      <c r="J991" s="172" t="s">
        <v>4775</v>
      </c>
      <c r="K991" s="172" t="s">
        <v>4776</v>
      </c>
      <c r="L991" s="172" t="s">
        <v>4777</v>
      </c>
    </row>
    <row r="992" hidden="1">
      <c r="B992" s="260"/>
      <c r="C992" s="260"/>
      <c r="D992" s="260"/>
      <c r="E992" s="260"/>
      <c r="F992" s="182">
        <v>576.0</v>
      </c>
      <c r="G992" s="172" t="str">
        <f>IFERROR(__xludf.DUMMYFUNCTION("TRIM(REGEXREPLACE(C992, ""[0-9]+[a-f]?\."", """"))"),"")</f>
        <v/>
      </c>
      <c r="H992" s="172" t="str">
        <f>IFERROR(__xludf.DUMMYFUNCTION("TRIM(REGEXREPLACE(D992, ""[0-9]+[a-f]?\."", """"))"),"")</f>
        <v/>
      </c>
      <c r="I992" s="172" t="str">
        <f>IFERROR(__xludf.DUMMYFUNCTION("TRIM(REGEXREPLACE(E992, ""[0-9]+[a-f]?\."", """"))"),"")</f>
        <v/>
      </c>
      <c r="J992" s="172" t="s">
        <v>4781</v>
      </c>
      <c r="K992" s="172" t="s">
        <v>4782</v>
      </c>
      <c r="L992" s="172" t="s">
        <v>4783</v>
      </c>
    </row>
    <row r="993" hidden="1"/>
    <row r="994">
      <c r="A994" s="215" t="s">
        <v>353</v>
      </c>
      <c r="B994" s="216" t="s">
        <v>4784</v>
      </c>
      <c r="C994" s="216" t="s">
        <v>4785</v>
      </c>
      <c r="D994" s="216" t="s">
        <v>4786</v>
      </c>
      <c r="E994" s="216" t="s">
        <v>4787</v>
      </c>
      <c r="F994" s="182">
        <v>150.0</v>
      </c>
      <c r="G994" s="172" t="str">
        <f>IFERROR(__xludf.DUMMYFUNCTION("TRIM(REGEXREPLACE(C994, ""[0-9]+[a-f]?\."", """"))"),"Theft of either money or property?")</f>
        <v>Theft of either money or property?</v>
      </c>
      <c r="H994" s="172" t="str">
        <f>IFERROR(__xludf.DUMMYFUNCTION("TRIM(REGEXREPLACE(D994, ""[0-9]+[a-f]?\."", """"))"),"Vol d'argent ou de biens ?")</f>
        <v>Vol d'argent ou de biens ?</v>
      </c>
      <c r="I994" s="172" t="str">
        <f>IFERROR(__xludf.DUMMYFUNCTION("TRIM(REGEXREPLACE(E994, ""[0-9]+[a-f]?\."", """"))"),"Satar kuɗi ko kaya?")</f>
        <v>Satar kuɗi ko kaya?</v>
      </c>
      <c r="J994" s="172" t="str">
        <f t="shared" ref="J994:L994" si="150">$F994 &amp; ". " &amp;G994</f>
        <v>150. Theft of either money or property?</v>
      </c>
      <c r="K994" s="172" t="str">
        <f t="shared" si="150"/>
        <v>150. Vol d'argent ou de biens ?</v>
      </c>
      <c r="L994" s="172" t="str">
        <f t="shared" si="150"/>
        <v>150. Satar kuɗi ko kaya?</v>
      </c>
    </row>
    <row r="995">
      <c r="A995" s="215" t="s">
        <v>353</v>
      </c>
      <c r="B995" s="216" t="s">
        <v>4791</v>
      </c>
      <c r="C995" s="216" t="s">
        <v>1878</v>
      </c>
      <c r="D995" s="216" t="s">
        <v>1879</v>
      </c>
      <c r="E995" s="216" t="s">
        <v>1880</v>
      </c>
      <c r="F995" s="182">
        <v>151.0</v>
      </c>
      <c r="G995" s="172" t="str">
        <f>IFERROR(__xludf.DUMMYFUNCTION("TRIM(REGEXREPLACE(C995, ""[0-9]+[a-f]?\."", """"))"),"Detention or arrest by state security forces?")</f>
        <v>Detention or arrest by state security forces?</v>
      </c>
      <c r="H995" s="172" t="str">
        <f>IFERROR(__xludf.DUMMYFUNCTION("TRIM(REGEXREPLACE(D995, ""[0-9]+[a-f]?\."", """"))"),"Détention ou arrestation par les forces de sécurité de l'État ?")</f>
        <v>Détention ou arrestation par les forces de sécurité de l'État ?</v>
      </c>
      <c r="I995" s="172" t="str">
        <f>IFERROR(__xludf.DUMMYFUNCTION("TRIM(REGEXREPLACE(E995, ""[0-9]+[a-f]?\."", """"))"),"Kaso ko kamu daga jami'an tsaron gwamnati?")</f>
        <v>Kaso ko kamu daga jami'an tsaron gwamnati?</v>
      </c>
      <c r="J995" s="172" t="str">
        <f t="shared" ref="J995:L995" si="151">$F995 &amp; ". " &amp;G995</f>
        <v>151. Detention or arrest by state security forces?</v>
      </c>
      <c r="K995" s="172" t="str">
        <f t="shared" si="151"/>
        <v>151. Détention ou arrestation par les forces de sécurité de l'État ?</v>
      </c>
      <c r="L995" s="172" t="str">
        <f t="shared" si="151"/>
        <v>151. Kaso ko kamu daga jami'an tsaron gwamnati?</v>
      </c>
    </row>
    <row r="996" hidden="1"/>
    <row r="997" hidden="1"/>
    <row r="998" hidden="1"/>
    <row r="999" hidden="1">
      <c r="B999" s="260"/>
      <c r="C999" s="260"/>
      <c r="D999" s="260"/>
      <c r="E999" s="260"/>
      <c r="F999" s="182">
        <v>577.0</v>
      </c>
      <c r="G999" s="172" t="str">
        <f>IFERROR(__xludf.DUMMYFUNCTION("TRIM(REGEXREPLACE(C999, ""[0-9]+[a-f]?\."", """"))"),"")</f>
        <v/>
      </c>
      <c r="H999" s="172" t="str">
        <f>IFERROR(__xludf.DUMMYFUNCTION("TRIM(REGEXREPLACE(D999, ""[0-9]+[a-f]?\."", """"))"),"")</f>
        <v/>
      </c>
      <c r="I999" s="172" t="str">
        <f>IFERROR(__xludf.DUMMYFUNCTION("TRIM(REGEXREPLACE(E999, ""[0-9]+[a-f]?\."", """"))"),"")</f>
        <v/>
      </c>
      <c r="J999" s="172" t="s">
        <v>4795</v>
      </c>
      <c r="K999" s="172" t="s">
        <v>4796</v>
      </c>
      <c r="L999" s="172" t="s">
        <v>4797</v>
      </c>
    </row>
    <row r="1000" hidden="1">
      <c r="A1000" s="211" t="s">
        <v>238</v>
      </c>
      <c r="B1000" s="224" t="s">
        <v>4743</v>
      </c>
      <c r="C1000" s="225"/>
      <c r="D1000" s="225"/>
      <c r="E1000" s="225"/>
      <c r="F1000" s="182">
        <v>539.0</v>
      </c>
      <c r="G1000" s="172" t="str">
        <f>IFERROR(__xludf.DUMMYFUNCTION("TRIM(REGEXREPLACE(C1000, ""[0-9]+[a-f]?\."", """"))"),"")</f>
        <v/>
      </c>
      <c r="H1000" s="172" t="str">
        <f>IFERROR(__xludf.DUMMYFUNCTION("TRIM(REGEXREPLACE(D1000, ""[0-9]+[a-f]?\."", """"))"),"")</f>
        <v/>
      </c>
      <c r="I1000" s="172" t="str">
        <f>IFERROR(__xludf.DUMMYFUNCTION("TRIM(REGEXREPLACE(E1000, ""[0-9]+[a-f]?\."", """"))"),"")</f>
        <v/>
      </c>
      <c r="J1000" s="172" t="s">
        <v>4798</v>
      </c>
      <c r="K1000" s="172" t="s">
        <v>4799</v>
      </c>
      <c r="L1000" s="172" t="s">
        <v>4800</v>
      </c>
    </row>
    <row r="1001" hidden="1">
      <c r="A1001" s="211" t="s">
        <v>107</v>
      </c>
      <c r="B1001" s="212" t="s">
        <v>4802</v>
      </c>
      <c r="C1001" s="214"/>
      <c r="D1001" s="214"/>
      <c r="E1001" s="214"/>
      <c r="F1001" s="182">
        <v>540.0</v>
      </c>
      <c r="G1001" s="172" t="str">
        <f>IFERROR(__xludf.DUMMYFUNCTION("TRIM(REGEXREPLACE(C1001, ""[0-9]+[a-f]?\."", """"))"),"")</f>
        <v/>
      </c>
      <c r="H1001" s="172" t="str">
        <f>IFERROR(__xludf.DUMMYFUNCTION("TRIM(REGEXREPLACE(D1001, ""[0-9]+[a-f]?\."", """"))"),"")</f>
        <v/>
      </c>
      <c r="I1001" s="172" t="str">
        <f>IFERROR(__xludf.DUMMYFUNCTION("TRIM(REGEXREPLACE(E1001, ""[0-9]+[a-f]?\."", """"))"),"")</f>
        <v/>
      </c>
      <c r="J1001" s="172" t="s">
        <v>4805</v>
      </c>
      <c r="K1001" s="172" t="s">
        <v>4806</v>
      </c>
      <c r="L1001" s="172" t="s">
        <v>4807</v>
      </c>
    </row>
    <row r="1002">
      <c r="A1002" s="207" t="s">
        <v>41</v>
      </c>
      <c r="B1002" s="208" t="s">
        <v>4808</v>
      </c>
      <c r="C1002" s="208" t="s">
        <v>1894</v>
      </c>
      <c r="D1002" s="208" t="s">
        <v>1895</v>
      </c>
      <c r="E1002" s="208" t="s">
        <v>1896</v>
      </c>
      <c r="F1002" s="182">
        <v>152.0</v>
      </c>
      <c r="G1002" s="172" t="str">
        <f>IFERROR(__xludf.DUMMYFUNCTION("TRIM(REGEXREPLACE(C1002, ""[0-9]+[a-f]?\."", """"))"),"Now I would like to ask you to tell me more about your specific experience with:")</f>
        <v>Now I would like to ask you to tell me more about your specific experience with:</v>
      </c>
      <c r="H1002" s="172" t="str">
        <f>IFERROR(__xludf.DUMMYFUNCTION("TRIM(REGEXREPLACE(D1002, ""[0-9]+[a-f]?\."", """"))"),"J'aimerais maintenant vous demander de m'en dire un peu plus sur votre expérience spécifique avec :")</f>
        <v>J'aimerais maintenant vous demander de m'en dire un peu plus sur votre expérience spécifique avec :</v>
      </c>
      <c r="I1002" s="172" t="str">
        <f>IFERROR(__xludf.DUMMYFUNCTION("TRIM(REGEXREPLACE(E1002, ""[0-9]+[a-f]?\."", """"))"),"Yanzu ina so in tambaye ku ƙarin bayani game da takamaiman gogewarku na masamman game da:")</f>
        <v>Yanzu ina so in tambaye ku ƙarin bayani game da takamaiman gogewarku na masamman game da:</v>
      </c>
      <c r="J1002" s="172" t="str">
        <f t="shared" ref="J1002:L1002" si="152">$F1002 &amp; ". " &amp;G1002</f>
        <v>152. Now I would like to ask you to tell me more about your specific experience with:</v>
      </c>
      <c r="K1002" s="172" t="str">
        <f t="shared" si="152"/>
        <v>152. J'aimerais maintenant vous demander de m'en dire un peu plus sur votre expérience spécifique avec :</v>
      </c>
      <c r="L1002" s="172" t="str">
        <f t="shared" si="152"/>
        <v>152. Yanzu ina so in tambaye ku ƙarin bayani game da takamaiman gogewarku na masamman game da:</v>
      </c>
    </row>
    <row r="1003" hidden="1">
      <c r="B1003" s="260"/>
      <c r="C1003" s="260"/>
      <c r="D1003" s="260"/>
      <c r="E1003" s="260"/>
      <c r="F1003" s="182">
        <v>581.0</v>
      </c>
      <c r="G1003" s="172" t="str">
        <f>IFERROR(__xludf.DUMMYFUNCTION("TRIM(REGEXREPLACE(C1003, ""[0-9]+[a-f]?\."", """"))"),"")</f>
        <v/>
      </c>
      <c r="H1003" s="172" t="str">
        <f>IFERROR(__xludf.DUMMYFUNCTION("TRIM(REGEXREPLACE(D1003, ""[0-9]+[a-f]?\."", """"))"),"")</f>
        <v/>
      </c>
      <c r="I1003" s="172" t="str">
        <f>IFERROR(__xludf.DUMMYFUNCTION("TRIM(REGEXREPLACE(E1003, ""[0-9]+[a-f]?\."", """"))"),"")</f>
        <v/>
      </c>
      <c r="J1003" s="172" t="s">
        <v>4809</v>
      </c>
      <c r="K1003" s="172" t="s">
        <v>4810</v>
      </c>
      <c r="L1003" s="172" t="s">
        <v>4811</v>
      </c>
    </row>
    <row r="1004" hidden="1">
      <c r="B1004" s="260"/>
      <c r="C1004" s="260"/>
      <c r="D1004" s="260"/>
      <c r="E1004" s="260"/>
      <c r="F1004" s="182">
        <v>582.0</v>
      </c>
      <c r="G1004" s="172" t="str">
        <f>IFERROR(__xludf.DUMMYFUNCTION("TRIM(REGEXREPLACE(C1004, ""[0-9]+[a-f]?\."", """"))"),"")</f>
        <v/>
      </c>
      <c r="H1004" s="172" t="str">
        <f>IFERROR(__xludf.DUMMYFUNCTION("TRIM(REGEXREPLACE(D1004, ""[0-9]+[a-f]?\."", """"))"),"")</f>
        <v/>
      </c>
      <c r="I1004" s="172" t="str">
        <f>IFERROR(__xludf.DUMMYFUNCTION("TRIM(REGEXREPLACE(E1004, ""[0-9]+[a-f]?\."", """"))"),"")</f>
        <v/>
      </c>
      <c r="J1004" s="172" t="s">
        <v>4812</v>
      </c>
      <c r="K1004" s="172" t="s">
        <v>4813</v>
      </c>
      <c r="L1004" s="172" t="s">
        <v>4814</v>
      </c>
    </row>
    <row r="1005" hidden="1">
      <c r="B1005" s="260"/>
      <c r="C1005" s="260"/>
      <c r="D1005" s="260"/>
      <c r="E1005" s="260"/>
      <c r="F1005" s="182">
        <v>583.0</v>
      </c>
      <c r="G1005" s="172" t="str">
        <f>IFERROR(__xludf.DUMMYFUNCTION("TRIM(REGEXREPLACE(C1005, ""[0-9]+[a-f]?\."", """"))"),"")</f>
        <v/>
      </c>
      <c r="H1005" s="172" t="str">
        <f>IFERROR(__xludf.DUMMYFUNCTION("TRIM(REGEXREPLACE(D1005, ""[0-9]+[a-f]?\."", """"))"),"")</f>
        <v/>
      </c>
      <c r="I1005" s="172" t="str">
        <f>IFERROR(__xludf.DUMMYFUNCTION("TRIM(REGEXREPLACE(E1005, ""[0-9]+[a-f]?\."", """"))"),"")</f>
        <v/>
      </c>
      <c r="J1005" s="172" t="s">
        <v>4815</v>
      </c>
      <c r="K1005" s="172" t="s">
        <v>4816</v>
      </c>
      <c r="L1005" s="172" t="s">
        <v>4817</v>
      </c>
    </row>
    <row r="1006" hidden="1">
      <c r="B1006" s="260"/>
      <c r="C1006" s="260"/>
      <c r="D1006" s="260"/>
      <c r="E1006" s="260"/>
      <c r="F1006" s="182">
        <v>584.0</v>
      </c>
      <c r="G1006" s="172" t="str">
        <f>IFERROR(__xludf.DUMMYFUNCTION("TRIM(REGEXREPLACE(C1006, ""[0-9]+[a-f]?\."", """"))"),"")</f>
        <v/>
      </c>
      <c r="H1006" s="172" t="str">
        <f>IFERROR(__xludf.DUMMYFUNCTION("TRIM(REGEXREPLACE(D1006, ""[0-9]+[a-f]?\."", """"))"),"")</f>
        <v/>
      </c>
      <c r="I1006" s="172" t="str">
        <f>IFERROR(__xludf.DUMMYFUNCTION("TRIM(REGEXREPLACE(E1006, ""[0-9]+[a-f]?\."", """"))"),"")</f>
        <v/>
      </c>
      <c r="J1006" s="172" t="s">
        <v>4819</v>
      </c>
      <c r="K1006" s="172" t="s">
        <v>4820</v>
      </c>
      <c r="L1006" s="172" t="s">
        <v>4822</v>
      </c>
    </row>
    <row r="1007" hidden="1">
      <c r="B1007" s="260"/>
      <c r="C1007" s="260"/>
      <c r="D1007" s="260"/>
      <c r="E1007" s="260"/>
      <c r="F1007" s="182">
        <v>585.0</v>
      </c>
      <c r="G1007" s="172" t="str">
        <f>IFERROR(__xludf.DUMMYFUNCTION("TRIM(REGEXREPLACE(C1007, ""[0-9]+[a-f]?\."", """"))"),"")</f>
        <v/>
      </c>
      <c r="H1007" s="172" t="str">
        <f>IFERROR(__xludf.DUMMYFUNCTION("TRIM(REGEXREPLACE(D1007, ""[0-9]+[a-f]?\."", """"))"),"")</f>
        <v/>
      </c>
      <c r="I1007" s="172" t="str">
        <f>IFERROR(__xludf.DUMMYFUNCTION("TRIM(REGEXREPLACE(E1007, ""[0-9]+[a-f]?\."", """"))"),"")</f>
        <v/>
      </c>
      <c r="J1007" s="172" t="s">
        <v>4825</v>
      </c>
      <c r="K1007" s="172" t="s">
        <v>4826</v>
      </c>
      <c r="L1007" s="172" t="s">
        <v>4827</v>
      </c>
    </row>
    <row r="1008" hidden="1">
      <c r="B1008" s="260"/>
      <c r="C1008" s="260"/>
      <c r="D1008" s="260"/>
      <c r="E1008" s="260"/>
      <c r="F1008" s="182">
        <v>586.0</v>
      </c>
      <c r="G1008" s="172" t="str">
        <f>IFERROR(__xludf.DUMMYFUNCTION("TRIM(REGEXREPLACE(C1008, ""[0-9]+[a-f]?\."", """"))"),"")</f>
        <v/>
      </c>
      <c r="H1008" s="172" t="str">
        <f>IFERROR(__xludf.DUMMYFUNCTION("TRIM(REGEXREPLACE(D1008, ""[0-9]+[a-f]?\."", """"))"),"")</f>
        <v/>
      </c>
      <c r="I1008" s="172" t="str">
        <f>IFERROR(__xludf.DUMMYFUNCTION("TRIM(REGEXREPLACE(E1008, ""[0-9]+[a-f]?\."", """"))"),"")</f>
        <v/>
      </c>
      <c r="J1008" s="172" t="s">
        <v>4828</v>
      </c>
      <c r="K1008" s="172" t="s">
        <v>4829</v>
      </c>
      <c r="L1008" s="172" t="s">
        <v>4830</v>
      </c>
    </row>
    <row r="1009" hidden="1">
      <c r="B1009" s="260"/>
      <c r="C1009" s="260"/>
      <c r="D1009" s="260"/>
      <c r="E1009" s="260"/>
      <c r="F1009" s="182">
        <v>587.0</v>
      </c>
      <c r="G1009" s="172" t="str">
        <f>IFERROR(__xludf.DUMMYFUNCTION("TRIM(REGEXREPLACE(C1009, ""[0-9]+[a-f]?\."", """"))"),"")</f>
        <v/>
      </c>
      <c r="H1009" s="172" t="str">
        <f>IFERROR(__xludf.DUMMYFUNCTION("TRIM(REGEXREPLACE(D1009, ""[0-9]+[a-f]?\."", """"))"),"")</f>
        <v/>
      </c>
      <c r="I1009" s="172" t="str">
        <f>IFERROR(__xludf.DUMMYFUNCTION("TRIM(REGEXREPLACE(E1009, ""[0-9]+[a-f]?\."", """"))"),"")</f>
        <v/>
      </c>
      <c r="J1009" s="172" t="s">
        <v>4831</v>
      </c>
      <c r="K1009" s="172" t="s">
        <v>4832</v>
      </c>
      <c r="L1009" s="172" t="s">
        <v>4833</v>
      </c>
    </row>
    <row r="1010" hidden="1">
      <c r="B1010" s="260"/>
      <c r="C1010" s="260"/>
      <c r="D1010" s="260"/>
      <c r="E1010" s="260"/>
      <c r="F1010" s="182">
        <v>588.0</v>
      </c>
      <c r="G1010" s="172" t="str">
        <f>IFERROR(__xludf.DUMMYFUNCTION("TRIM(REGEXREPLACE(C1010, ""[0-9]+[a-f]?\."", """"))"),"")</f>
        <v/>
      </c>
      <c r="H1010" s="172" t="str">
        <f>IFERROR(__xludf.DUMMYFUNCTION("TRIM(REGEXREPLACE(D1010, ""[0-9]+[a-f]?\."", """"))"),"")</f>
        <v/>
      </c>
      <c r="I1010" s="172" t="str">
        <f>IFERROR(__xludf.DUMMYFUNCTION("TRIM(REGEXREPLACE(E1010, ""[0-9]+[a-f]?\."", """"))"),"")</f>
        <v/>
      </c>
      <c r="J1010" s="172" t="s">
        <v>4834</v>
      </c>
      <c r="K1010" s="172" t="s">
        <v>4835</v>
      </c>
      <c r="L1010" s="172" t="s">
        <v>4836</v>
      </c>
    </row>
    <row r="1011" hidden="1">
      <c r="B1011" s="260"/>
      <c r="C1011" s="260"/>
      <c r="D1011" s="260"/>
      <c r="E1011" s="260"/>
      <c r="F1011" s="182">
        <v>589.0</v>
      </c>
      <c r="G1011" s="172" t="str">
        <f>IFERROR(__xludf.DUMMYFUNCTION("TRIM(REGEXREPLACE(C1011, ""[0-9]+[a-f]?\."", """"))"),"")</f>
        <v/>
      </c>
      <c r="H1011" s="172" t="str">
        <f>IFERROR(__xludf.DUMMYFUNCTION("TRIM(REGEXREPLACE(D1011, ""[0-9]+[a-f]?\."", """"))"),"")</f>
        <v/>
      </c>
      <c r="I1011" s="172" t="str">
        <f>IFERROR(__xludf.DUMMYFUNCTION("TRIM(REGEXREPLACE(E1011, ""[0-9]+[a-f]?\."", """"))"),"")</f>
        <v/>
      </c>
      <c r="J1011" s="172" t="s">
        <v>4839</v>
      </c>
      <c r="K1011" s="172" t="s">
        <v>4840</v>
      </c>
      <c r="L1011" s="172" t="s">
        <v>4841</v>
      </c>
    </row>
    <row r="1012">
      <c r="A1012" s="246" t="s">
        <v>231</v>
      </c>
      <c r="B1012" s="247" t="s">
        <v>4842</v>
      </c>
      <c r="C1012" s="247" t="s">
        <v>1900</v>
      </c>
      <c r="D1012" s="247" t="s">
        <v>1901</v>
      </c>
      <c r="E1012" s="247" t="s">
        <v>1902</v>
      </c>
      <c r="F1012" s="182">
        <v>153.0</v>
      </c>
      <c r="G1012" s="172" t="str">
        <f>IFERROR(__xludf.DUMMYFUNCTION("TRIM(REGEXREPLACE(C1012, ""[0-9]+[a-f]?\."", """"))"),"Physical attack")</f>
        <v>Physical attack</v>
      </c>
      <c r="H1012" s="172" t="str">
        <f>IFERROR(__xludf.DUMMYFUNCTION("TRIM(REGEXREPLACE(D1012, ""[0-9]+[a-f]?\."", """"))"),"Attaque physique")</f>
        <v>Attaque physique</v>
      </c>
      <c r="I1012" s="172" t="str">
        <f>IFERROR(__xludf.DUMMYFUNCTION("TRIM(REGEXREPLACE(E1012, ""[0-9]+[a-f]?\."", """"))"),"Harin jiki")</f>
        <v>Harin jiki</v>
      </c>
      <c r="J1012" s="172" t="str">
        <f t="shared" ref="J1012:L1012" si="153">$F1012 &amp; ". " &amp;G1012</f>
        <v>153. Physical attack</v>
      </c>
      <c r="K1012" s="172" t="str">
        <f t="shared" si="153"/>
        <v>153. Attaque physique</v>
      </c>
      <c r="L1012" s="172" t="str">
        <f t="shared" si="153"/>
        <v>153. Harin jiki</v>
      </c>
    </row>
    <row r="1013">
      <c r="A1013" s="246" t="s">
        <v>231</v>
      </c>
      <c r="B1013" s="247" t="s">
        <v>4846</v>
      </c>
      <c r="C1013" s="247" t="s">
        <v>1903</v>
      </c>
      <c r="D1013" s="247" t="s">
        <v>1904</v>
      </c>
      <c r="E1013" s="247" t="s">
        <v>1905</v>
      </c>
      <c r="F1013" s="182">
        <v>154.0</v>
      </c>
      <c r="G1013" s="172" t="str">
        <f>IFERROR(__xludf.DUMMYFUNCTION("TRIM(REGEXREPLACE(C1013, ""[0-9]+[a-f]?\."", """"))"),"Threat of physical violence/attack")</f>
        <v>Threat of physical violence/attack</v>
      </c>
      <c r="H1013" s="172" t="str">
        <f>IFERROR(__xludf.DUMMYFUNCTION("TRIM(REGEXREPLACE(D1013, ""[0-9]+[a-f]?\."", """"))"),"Menace de violence physique/agression")</f>
        <v>Menace de violence physique/agression</v>
      </c>
      <c r="I1013" s="172" t="str">
        <f>IFERROR(__xludf.DUMMYFUNCTION("TRIM(REGEXREPLACE(E1013, ""[0-9]+[a-f]?\."", """"))"),"Barazanar ​​harin jiki")</f>
        <v>Barazanar ​​harin jiki</v>
      </c>
      <c r="J1013" s="172" t="str">
        <f t="shared" ref="J1013:L1013" si="154">$F1013 &amp; ". " &amp;G1013</f>
        <v>154. Threat of physical violence/attack</v>
      </c>
      <c r="K1013" s="172" t="str">
        <f t="shared" si="154"/>
        <v>154. Menace de violence physique/agression</v>
      </c>
      <c r="L1013" s="172" t="str">
        <f t="shared" si="154"/>
        <v>154. Barazanar ​​harin jiki</v>
      </c>
    </row>
    <row r="1014" hidden="1">
      <c r="B1014" s="260"/>
      <c r="C1014" s="260"/>
      <c r="D1014" s="260"/>
      <c r="E1014" s="260"/>
      <c r="F1014" s="182">
        <v>592.0</v>
      </c>
      <c r="G1014" s="172" t="str">
        <f>IFERROR(__xludf.DUMMYFUNCTION("TRIM(REGEXREPLACE(C1014, ""[0-9]+[a-f]?\."", """"))"),"")</f>
        <v/>
      </c>
      <c r="H1014" s="172" t="str">
        <f>IFERROR(__xludf.DUMMYFUNCTION("TRIM(REGEXREPLACE(D1014, ""[0-9]+[a-f]?\."", """"))"),"")</f>
        <v/>
      </c>
      <c r="I1014" s="172" t="str">
        <f>IFERROR(__xludf.DUMMYFUNCTION("TRIM(REGEXREPLACE(E1014, ""[0-9]+[a-f]?\."", """"))"),"")</f>
        <v/>
      </c>
      <c r="J1014" s="172" t="s">
        <v>4847</v>
      </c>
      <c r="K1014" s="172" t="s">
        <v>4848</v>
      </c>
      <c r="L1014" s="172" t="s">
        <v>4849</v>
      </c>
    </row>
    <row r="1015" hidden="1">
      <c r="B1015" s="260"/>
      <c r="C1015" s="260"/>
      <c r="D1015" s="260"/>
      <c r="E1015" s="260"/>
      <c r="F1015" s="182">
        <v>593.0</v>
      </c>
      <c r="G1015" s="172" t="str">
        <f>IFERROR(__xludf.DUMMYFUNCTION("TRIM(REGEXREPLACE(C1015, ""[0-9]+[a-f]?\."", """"))"),"")</f>
        <v/>
      </c>
      <c r="H1015" s="172" t="str">
        <f>IFERROR(__xludf.DUMMYFUNCTION("TRIM(REGEXREPLACE(D1015, ""[0-9]+[a-f]?\."", """"))"),"")</f>
        <v/>
      </c>
      <c r="I1015" s="172" t="str">
        <f>IFERROR(__xludf.DUMMYFUNCTION("TRIM(REGEXREPLACE(E1015, ""[0-9]+[a-f]?\."", """"))"),"")</f>
        <v/>
      </c>
      <c r="J1015" s="172" t="s">
        <v>4850</v>
      </c>
      <c r="K1015" s="172" t="s">
        <v>4851</v>
      </c>
      <c r="L1015" s="172" t="s">
        <v>4852</v>
      </c>
    </row>
    <row r="1016" hidden="1">
      <c r="B1016" s="260"/>
      <c r="C1016" s="260"/>
      <c r="D1016" s="260"/>
      <c r="E1016" s="260"/>
      <c r="F1016" s="182">
        <v>594.0</v>
      </c>
      <c r="G1016" s="172" t="str">
        <f>IFERROR(__xludf.DUMMYFUNCTION("TRIM(REGEXREPLACE(C1016, ""[0-9]+[a-f]?\."", """"))"),"")</f>
        <v/>
      </c>
      <c r="H1016" s="172" t="str">
        <f>IFERROR(__xludf.DUMMYFUNCTION("TRIM(REGEXREPLACE(D1016, ""[0-9]+[a-f]?\."", """"))"),"")</f>
        <v/>
      </c>
      <c r="I1016" s="172" t="str">
        <f>IFERROR(__xludf.DUMMYFUNCTION("TRIM(REGEXREPLACE(E1016, ""[0-9]+[a-f]?\."", """"))"),"")</f>
        <v/>
      </c>
      <c r="J1016" s="172" t="s">
        <v>4854</v>
      </c>
      <c r="K1016" s="172" t="s">
        <v>4855</v>
      </c>
      <c r="L1016" s="172" t="s">
        <v>4856</v>
      </c>
    </row>
    <row r="1017">
      <c r="A1017" s="246" t="s">
        <v>231</v>
      </c>
      <c r="B1017" s="247" t="s">
        <v>4858</v>
      </c>
      <c r="C1017" s="247" t="s">
        <v>1910</v>
      </c>
      <c r="D1017" s="247" t="s">
        <v>1911</v>
      </c>
      <c r="E1017" s="247" t="s">
        <v>1913</v>
      </c>
      <c r="F1017" s="182">
        <v>155.0</v>
      </c>
      <c r="G1017" s="172" t="str">
        <f>IFERROR(__xludf.DUMMYFUNCTION("TRIM(REGEXREPLACE(C1017, ""[0-9]+[a-f]?\."", """"))"),"Theft of either money or property?")</f>
        <v>Theft of either money or property?</v>
      </c>
      <c r="H1017" s="172" t="str">
        <f>IFERROR(__xludf.DUMMYFUNCTION("TRIM(REGEXREPLACE(D1017, ""[0-9]+[a-f]?\."", """"))"),"Vol d'argent ou de biens ?")</f>
        <v>Vol d'argent ou de biens ?</v>
      </c>
      <c r="I1017" s="172" t="str">
        <f>IFERROR(__xludf.DUMMYFUNCTION("TRIM(REGEXREPLACE(E1017, ""[0-9]+[a-f]?\."", """"))"),"Satar kuɗi ko dukiya?")</f>
        <v>Satar kuɗi ko dukiya?</v>
      </c>
      <c r="J1017" s="172" t="str">
        <f t="shared" ref="J1017:L1017" si="155">$F1017 &amp; ". " &amp;G1017</f>
        <v>155. Theft of either money or property?</v>
      </c>
      <c r="K1017" s="172" t="str">
        <f t="shared" si="155"/>
        <v>155. Vol d'argent ou de biens ?</v>
      </c>
      <c r="L1017" s="172" t="str">
        <f t="shared" si="155"/>
        <v>155. Satar kuɗi ko dukiya?</v>
      </c>
    </row>
    <row r="1018">
      <c r="A1018" s="246" t="s">
        <v>231</v>
      </c>
      <c r="B1018" s="247" t="s">
        <v>4860</v>
      </c>
      <c r="C1018" s="247" t="s">
        <v>1917</v>
      </c>
      <c r="D1018" s="247" t="s">
        <v>1918</v>
      </c>
      <c r="E1018" s="247" t="s">
        <v>1919</v>
      </c>
      <c r="F1018" s="182">
        <v>156.0</v>
      </c>
      <c r="G1018" s="172" t="str">
        <f>IFERROR(__xludf.DUMMYFUNCTION("TRIM(REGEXREPLACE(C1018, ""[0-9]+[a-f]?\."", """"))"),"Detention or arrest by state security forces?")</f>
        <v>Detention or arrest by state security forces?</v>
      </c>
      <c r="H1018" s="172" t="str">
        <f>IFERROR(__xludf.DUMMYFUNCTION("TRIM(REGEXREPLACE(D1018, ""[0-9]+[a-f]?\."", """"))"),"Détention ou arrestation par les forces de sécurité de l'État ?")</f>
        <v>Détention ou arrestation par les forces de sécurité de l'État ?</v>
      </c>
      <c r="I1018" s="172" t="str">
        <f>IFERROR(__xludf.DUMMYFUNCTION("TRIM(REGEXREPLACE(E1018, ""[0-9]+[a-f]?\."", """"))"),"Kaso ko kamu daga jami'an tsaron gwamnati?")</f>
        <v>Kaso ko kamu daga jami'an tsaron gwamnati?</v>
      </c>
      <c r="J1018" s="172" t="str">
        <f t="shared" ref="J1018:L1018" si="156">$F1018 &amp; ". " &amp;G1018</f>
        <v>156. Detention or arrest by state security forces?</v>
      </c>
      <c r="K1018" s="172" t="str">
        <f t="shared" si="156"/>
        <v>156. Détention ou arrestation par les forces de sécurité de l'État ?</v>
      </c>
      <c r="L1018" s="172" t="str">
        <f t="shared" si="156"/>
        <v>156. Kaso ko kamu daga jami'an tsaron gwamnati?</v>
      </c>
    </row>
    <row r="1019" hidden="1">
      <c r="A1019" s="211" t="s">
        <v>238</v>
      </c>
      <c r="B1019" s="224" t="s">
        <v>4802</v>
      </c>
      <c r="C1019" s="225"/>
      <c r="D1019" s="225"/>
      <c r="E1019" s="225"/>
      <c r="F1019" s="182">
        <v>546.0</v>
      </c>
      <c r="G1019" s="172" t="str">
        <f>IFERROR(__xludf.DUMMYFUNCTION("TRIM(REGEXREPLACE(C1019, ""[0-9]+[a-f]?\."", """"))"),"")</f>
        <v/>
      </c>
      <c r="H1019" s="172" t="str">
        <f>IFERROR(__xludf.DUMMYFUNCTION("TRIM(REGEXREPLACE(D1019, ""[0-9]+[a-f]?\."", """"))"),"")</f>
        <v/>
      </c>
      <c r="I1019" s="172" t="str">
        <f>IFERROR(__xludf.DUMMYFUNCTION("TRIM(REGEXREPLACE(E1019, ""[0-9]+[a-f]?\."", """"))"),"")</f>
        <v/>
      </c>
      <c r="J1019" s="172" t="s">
        <v>4861</v>
      </c>
      <c r="K1019" s="172" t="s">
        <v>4862</v>
      </c>
      <c r="L1019" s="172" t="s">
        <v>4863</v>
      </c>
    </row>
    <row r="1020" hidden="1">
      <c r="B1020" s="260"/>
      <c r="C1020" s="260"/>
      <c r="D1020" s="260"/>
      <c r="E1020" s="260"/>
      <c r="F1020" s="182">
        <v>598.0</v>
      </c>
      <c r="G1020" s="172" t="str">
        <f>IFERROR(__xludf.DUMMYFUNCTION("TRIM(REGEXREPLACE(C1020, ""[0-9]+[a-f]?\."", """"))"),"")</f>
        <v/>
      </c>
      <c r="H1020" s="172" t="str">
        <f>IFERROR(__xludf.DUMMYFUNCTION("TRIM(REGEXREPLACE(D1020, ""[0-9]+[a-f]?\."", """"))"),"")</f>
        <v/>
      </c>
      <c r="I1020" s="172" t="str">
        <f>IFERROR(__xludf.DUMMYFUNCTION("TRIM(REGEXREPLACE(E1020, ""[0-9]+[a-f]?\."", """"))"),"")</f>
        <v/>
      </c>
      <c r="J1020" s="172" t="s">
        <v>4864</v>
      </c>
      <c r="K1020" s="172" t="s">
        <v>4865</v>
      </c>
      <c r="L1020" s="172" t="s">
        <v>4866</v>
      </c>
    </row>
    <row r="1021" hidden="1">
      <c r="B1021" s="260"/>
      <c r="C1021" s="260"/>
      <c r="D1021" s="260"/>
      <c r="E1021" s="260"/>
      <c r="F1021" s="182">
        <v>599.0</v>
      </c>
      <c r="G1021" s="172" t="str">
        <f>IFERROR(__xludf.DUMMYFUNCTION("TRIM(REGEXREPLACE(C1021, ""[0-9]+[a-f]?\."", """"))"),"")</f>
        <v/>
      </c>
      <c r="H1021" s="172" t="str">
        <f>IFERROR(__xludf.DUMMYFUNCTION("TRIM(REGEXREPLACE(D1021, ""[0-9]+[a-f]?\."", """"))"),"")</f>
        <v/>
      </c>
      <c r="I1021" s="172" t="str">
        <f>IFERROR(__xludf.DUMMYFUNCTION("TRIM(REGEXREPLACE(E1021, ""[0-9]+[a-f]?\."", """"))"),"")</f>
        <v/>
      </c>
      <c r="J1021" s="172" t="s">
        <v>4868</v>
      </c>
      <c r="K1021" s="172" t="s">
        <v>4869</v>
      </c>
      <c r="L1021" s="172" t="s">
        <v>4870</v>
      </c>
    </row>
    <row r="1022" hidden="1">
      <c r="B1022" s="260"/>
      <c r="C1022" s="260"/>
      <c r="D1022" s="260"/>
      <c r="E1022" s="260"/>
      <c r="F1022" s="182">
        <v>600.0</v>
      </c>
      <c r="G1022" s="172" t="str">
        <f>IFERROR(__xludf.DUMMYFUNCTION("TRIM(REGEXREPLACE(C1022, ""[0-9]+[a-f]?\."", """"))"),"")</f>
        <v/>
      </c>
      <c r="H1022" s="172" t="str">
        <f>IFERROR(__xludf.DUMMYFUNCTION("TRIM(REGEXREPLACE(D1022, ""[0-9]+[a-f]?\."", """"))"),"")</f>
        <v/>
      </c>
      <c r="I1022" s="172" t="str">
        <f>IFERROR(__xludf.DUMMYFUNCTION("TRIM(REGEXREPLACE(E1022, ""[0-9]+[a-f]?\."", """"))"),"")</f>
        <v/>
      </c>
      <c r="J1022" s="172" t="s">
        <v>4871</v>
      </c>
      <c r="K1022" s="172" t="s">
        <v>4872</v>
      </c>
      <c r="L1022" s="172" t="s">
        <v>4873</v>
      </c>
    </row>
    <row r="1023" hidden="1">
      <c r="A1023" s="255" t="s">
        <v>1064</v>
      </c>
      <c r="B1023" s="261" t="s">
        <v>4540</v>
      </c>
      <c r="C1023" s="261" t="s">
        <v>4541</v>
      </c>
      <c r="D1023" s="262"/>
      <c r="E1023" s="261" t="s">
        <v>4542</v>
      </c>
      <c r="F1023" s="182">
        <v>547.0</v>
      </c>
      <c r="G1023" s="172" t="str">
        <f>IFERROR(__xludf.DUMMYFUNCTION("TRIM(REGEXREPLACE(C1023, ""[0-9]+[a-f]?\."", """"))"),"Transits")</f>
        <v>Transits</v>
      </c>
      <c r="H1023" s="172" t="str">
        <f>IFERROR(__xludf.DUMMYFUNCTION("TRIM(REGEXREPLACE(D1023, ""[0-9]+[a-f]?\."", """"))"),"")</f>
        <v/>
      </c>
      <c r="I1023" s="172" t="str">
        <f>IFERROR(__xludf.DUMMYFUNCTION("TRIM(REGEXREPLACE(E1023, ""[0-9]+[a-f]?\."", """"))"),"Hanya")</f>
        <v>Hanya</v>
      </c>
      <c r="J1023" s="172" t="s">
        <v>4876</v>
      </c>
      <c r="K1023" s="172" t="s">
        <v>4877</v>
      </c>
      <c r="L1023" s="172" t="s">
        <v>4878</v>
      </c>
    </row>
    <row r="1024" hidden="1">
      <c r="A1024" s="188" t="s">
        <v>118</v>
      </c>
      <c r="B1024" s="189" t="s">
        <v>4879</v>
      </c>
      <c r="C1024" s="190"/>
      <c r="D1024" s="190"/>
      <c r="E1024" s="190"/>
      <c r="F1024" s="182">
        <v>548.0</v>
      </c>
      <c r="G1024" s="172" t="str">
        <f>IFERROR(__xludf.DUMMYFUNCTION("TRIM(REGEXREPLACE(C1024, ""[0-9]+[a-f]?\."", """"))"),"")</f>
        <v/>
      </c>
      <c r="H1024" s="172" t="str">
        <f>IFERROR(__xludf.DUMMYFUNCTION("TRIM(REGEXREPLACE(D1024, ""[0-9]+[a-f]?\."", """"))"),"")</f>
        <v/>
      </c>
      <c r="I1024" s="172" t="str">
        <f>IFERROR(__xludf.DUMMYFUNCTION("TRIM(REGEXREPLACE(E1024, ""[0-9]+[a-f]?\."", """"))"),"")</f>
        <v/>
      </c>
      <c r="J1024" s="172" t="s">
        <v>4880</v>
      </c>
      <c r="K1024" s="172" t="s">
        <v>4881</v>
      </c>
      <c r="L1024" s="172" t="s">
        <v>4882</v>
      </c>
    </row>
    <row r="1025" hidden="1">
      <c r="A1025" s="188" t="s">
        <v>68</v>
      </c>
      <c r="B1025" s="189" t="s">
        <v>4883</v>
      </c>
      <c r="C1025" s="190"/>
      <c r="D1025" s="190"/>
      <c r="E1025" s="190"/>
      <c r="F1025" s="182">
        <v>549.0</v>
      </c>
      <c r="G1025" s="172" t="str">
        <f>IFERROR(__xludf.DUMMYFUNCTION("TRIM(REGEXREPLACE(C1025, ""[0-9]+[a-f]?\."", """"))"),"")</f>
        <v/>
      </c>
      <c r="H1025" s="172" t="str">
        <f>IFERROR(__xludf.DUMMYFUNCTION("TRIM(REGEXREPLACE(D1025, ""[0-9]+[a-f]?\."", """"))"),"")</f>
        <v/>
      </c>
      <c r="I1025" s="172" t="str">
        <f>IFERROR(__xludf.DUMMYFUNCTION("TRIM(REGEXREPLACE(E1025, ""[0-9]+[a-f]?\."", """"))"),"")</f>
        <v/>
      </c>
      <c r="J1025" s="172" t="s">
        <v>4884</v>
      </c>
      <c r="K1025" s="172" t="s">
        <v>4885</v>
      </c>
      <c r="L1025" s="172" t="s">
        <v>4886</v>
      </c>
    </row>
    <row r="1026" hidden="1">
      <c r="A1026" s="188" t="s">
        <v>118</v>
      </c>
      <c r="B1026" s="189" t="s">
        <v>4887</v>
      </c>
      <c r="C1026" s="190"/>
      <c r="D1026" s="190"/>
      <c r="E1026" s="190"/>
      <c r="F1026" s="182">
        <v>550.0</v>
      </c>
      <c r="G1026" s="172" t="str">
        <f>IFERROR(__xludf.DUMMYFUNCTION("TRIM(REGEXREPLACE(C1026, ""[0-9]+[a-f]?\."", """"))"),"")</f>
        <v/>
      </c>
      <c r="H1026" s="172" t="str">
        <f>IFERROR(__xludf.DUMMYFUNCTION("TRIM(REGEXREPLACE(D1026, ""[0-9]+[a-f]?\."", """"))"),"")</f>
        <v/>
      </c>
      <c r="I1026" s="172" t="str">
        <f>IFERROR(__xludf.DUMMYFUNCTION("TRIM(REGEXREPLACE(E1026, ""[0-9]+[a-f]?\."", """"))"),"")</f>
        <v/>
      </c>
      <c r="J1026" s="172" t="s">
        <v>4890</v>
      </c>
      <c r="K1026" s="172" t="s">
        <v>4891</v>
      </c>
      <c r="L1026" s="172" t="s">
        <v>4892</v>
      </c>
    </row>
    <row r="1027" hidden="1">
      <c r="A1027" s="281" t="s">
        <v>68</v>
      </c>
      <c r="B1027" s="266" t="s">
        <v>4893</v>
      </c>
      <c r="C1027" s="190"/>
      <c r="D1027" s="190"/>
      <c r="E1027" s="190"/>
      <c r="F1027" s="182">
        <v>551.0</v>
      </c>
      <c r="G1027" s="172" t="str">
        <f>IFERROR(__xludf.DUMMYFUNCTION("TRIM(REGEXREPLACE(C1027, ""[0-9]+[a-f]?\."", """"))"),"")</f>
        <v/>
      </c>
      <c r="H1027" s="172" t="str">
        <f>IFERROR(__xludf.DUMMYFUNCTION("TRIM(REGEXREPLACE(D1027, ""[0-9]+[a-f]?\."", """"))"),"")</f>
        <v/>
      </c>
      <c r="I1027" s="172" t="str">
        <f>IFERROR(__xludf.DUMMYFUNCTION("TRIM(REGEXREPLACE(E1027, ""[0-9]+[a-f]?\."", """"))"),"")</f>
        <v/>
      </c>
      <c r="J1027" s="172" t="s">
        <v>4894</v>
      </c>
      <c r="K1027" s="172" t="s">
        <v>4895</v>
      </c>
      <c r="L1027" s="172" t="s">
        <v>4896</v>
      </c>
    </row>
    <row r="1028" hidden="1">
      <c r="A1028" s="281" t="s">
        <v>68</v>
      </c>
      <c r="B1028" s="266" t="s">
        <v>4898</v>
      </c>
      <c r="C1028" s="217" t="s">
        <v>4899</v>
      </c>
      <c r="D1028" s="190"/>
      <c r="E1028" s="190"/>
      <c r="F1028" s="182">
        <v>552.0</v>
      </c>
      <c r="G1028" s="172" t="str">
        <f>IFERROR(__xludf.DUMMYFUNCTION("TRIM(REGEXREPLACE(C1028, ""[0-9]+[a-f]?\."", """"))"),"NEED TO TRANSLATE")</f>
        <v>NEED TO TRANSLATE</v>
      </c>
      <c r="H1028" s="172" t="str">
        <f>IFERROR(__xludf.DUMMYFUNCTION("TRIM(REGEXREPLACE(D1028, ""[0-9]+[a-f]?\."", """"))"),"")</f>
        <v/>
      </c>
      <c r="I1028" s="172" t="str">
        <f>IFERROR(__xludf.DUMMYFUNCTION("TRIM(REGEXREPLACE(E1028, ""[0-9]+[a-f]?\."", """"))"),"")</f>
        <v/>
      </c>
      <c r="J1028" s="172" t="s">
        <v>4900</v>
      </c>
      <c r="K1028" s="172" t="s">
        <v>4901</v>
      </c>
      <c r="L1028" s="172" t="s">
        <v>4902</v>
      </c>
    </row>
    <row r="1029" hidden="1">
      <c r="B1029" s="260"/>
      <c r="C1029" s="260"/>
      <c r="D1029" s="260"/>
      <c r="E1029" s="260"/>
      <c r="F1029" s="182">
        <v>607.0</v>
      </c>
      <c r="G1029" s="172" t="str">
        <f>IFERROR(__xludf.DUMMYFUNCTION("TRIM(REGEXREPLACE(C1029, ""[0-9]+[a-f]?\."", """"))"),"")</f>
        <v/>
      </c>
      <c r="H1029" s="172" t="str">
        <f>IFERROR(__xludf.DUMMYFUNCTION("TRIM(REGEXREPLACE(D1029, ""[0-9]+[a-f]?\."", """"))"),"")</f>
        <v/>
      </c>
      <c r="I1029" s="172" t="str">
        <f>IFERROR(__xludf.DUMMYFUNCTION("TRIM(REGEXREPLACE(E1029, ""[0-9]+[a-f]?\."", """"))"),"")</f>
        <v/>
      </c>
      <c r="J1029" s="172" t="s">
        <v>4903</v>
      </c>
      <c r="K1029" s="172" t="s">
        <v>4904</v>
      </c>
      <c r="L1029" s="172" t="s">
        <v>4905</v>
      </c>
    </row>
    <row r="1030" hidden="1">
      <c r="A1030" s="281" t="s">
        <v>68</v>
      </c>
      <c r="B1030" s="266" t="s">
        <v>4906</v>
      </c>
      <c r="C1030" s="217" t="s">
        <v>4899</v>
      </c>
      <c r="D1030" s="190"/>
      <c r="E1030" s="190"/>
      <c r="F1030" s="182">
        <v>553.0</v>
      </c>
      <c r="G1030" s="172" t="str">
        <f>IFERROR(__xludf.DUMMYFUNCTION("TRIM(REGEXREPLACE(C1030, ""[0-9]+[a-f]?\."", """"))"),"NEED TO TRANSLATE")</f>
        <v>NEED TO TRANSLATE</v>
      </c>
      <c r="H1030" s="172" t="str">
        <f>IFERROR(__xludf.DUMMYFUNCTION("TRIM(REGEXREPLACE(D1030, ""[0-9]+[a-f]?\."", """"))"),"")</f>
        <v/>
      </c>
      <c r="I1030" s="172" t="str">
        <f>IFERROR(__xludf.DUMMYFUNCTION("TRIM(REGEXREPLACE(E1030, ""[0-9]+[a-f]?\."", """"))"),"")</f>
        <v/>
      </c>
      <c r="J1030" s="172" t="s">
        <v>4907</v>
      </c>
      <c r="K1030" s="172" t="s">
        <v>4908</v>
      </c>
      <c r="L1030" s="172" t="s">
        <v>4909</v>
      </c>
    </row>
    <row r="1031">
      <c r="A1031" s="291" t="s">
        <v>41</v>
      </c>
      <c r="B1031" s="292" t="s">
        <v>4910</v>
      </c>
      <c r="C1031" s="208" t="s">
        <v>4911</v>
      </c>
      <c r="D1031" s="208" t="s">
        <v>4912</v>
      </c>
      <c r="E1031" s="208" t="s">
        <v>4913</v>
      </c>
      <c r="F1031" s="182">
        <v>157.0</v>
      </c>
      <c r="G1031" s="172" t="str">
        <f>IFERROR(__xludf.DUMMYFUNCTION("TRIM(REGEXREPLACE(C1031, ""[0-9]+[a-f]?\."", """"))"),"I am now going to ask you some questions about your experience in each location during ${period}. ${pm_missed_locs_lab}")</f>
        <v>I am now going to ask you some questions about your experience in each location during ${period}. ${pm_missed_locs_lab}</v>
      </c>
      <c r="H1031" s="172" t="str">
        <f>IFERROR(__xludf.DUMMYFUNCTION("TRIM(REGEXREPLACE(D1031, ""[0-9]+[a-f]?\."", """"))"),"Je vais maintenant vous poser quelques questions sur votre expérience dans chaque lieu entre ${period_french}. Veuillez énumérer les emplacements du plus récent au moins récent. ${pm_missed_locs_lab_fr}")</f>
        <v>Je vais maintenant vous poser quelques questions sur votre expérience dans chaque lieu entre ${period_french}. Veuillez énumérer les emplacements du plus récent au moins récent. ${pm_missed_locs_lab_fr}</v>
      </c>
      <c r="I1031" s="172" t="str">
        <f>IFERROR(__xludf.DUMMYFUNCTION("TRIM(REGEXREPLACE(E1031, ""[0-9]+[a-f]?\."", """"))"),"Yanzu zan yi muku wasu tambayoyi bisa saninku na kowane wuri yayin ${period_hausa}. 
Da fatan za a jera wuraren daga mafi ƙaranci zuwa na baya-bayan nan. ${pm_missed_locs_lab_ha}")</f>
        <v>Yanzu zan yi muku wasu tambayoyi bisa saninku na kowane wuri yayin ${period_hausa}. 
Da fatan za a jera wuraren daga mafi ƙaranci zuwa na baya-bayan nan. ${pm_missed_locs_lab_ha}</v>
      </c>
      <c r="J1031" s="172" t="str">
        <f t="shared" ref="J1031:L1031" si="157">$F1031 &amp; ". " &amp;G1031</f>
        <v>157. I am now going to ask you some questions about your experience in each location during ${period}. ${pm_missed_locs_lab}</v>
      </c>
      <c r="K1031" s="172" t="str">
        <f t="shared" si="157"/>
        <v>157. Je vais maintenant vous poser quelques questions sur votre expérience dans chaque lieu entre ${period_french}. Veuillez énumérer les emplacements du plus récent au moins récent. ${pm_missed_locs_lab_fr}</v>
      </c>
      <c r="L1031" s="172" t="str">
        <f t="shared" si="157"/>
        <v>157. Yanzu zan yi muku wasu tambayoyi bisa saninku na kowane wuri yayin ${period_hausa}. 
Da fatan za a jera wuraren daga mafi ƙaranci zuwa na baya-bayan nan. ${pm_missed_locs_lab_ha}</v>
      </c>
    </row>
    <row r="1032" hidden="1">
      <c r="A1032" s="286" t="s">
        <v>1042</v>
      </c>
      <c r="B1032" s="287" t="s">
        <v>4915</v>
      </c>
      <c r="C1032" s="256" t="s">
        <v>3769</v>
      </c>
      <c r="D1032" s="256" t="s">
        <v>4916</v>
      </c>
      <c r="E1032" s="256" t="s">
        <v>4917</v>
      </c>
      <c r="F1032" s="182">
        <v>555.0</v>
      </c>
      <c r="G1032" s="172" t="str">
        <f>IFERROR(__xludf.DUMMYFUNCTION("TRIM(REGEXREPLACE(C1032, ""[0-9]+[a-f]?\."", """"))"),"Locations")</f>
        <v>Locations</v>
      </c>
      <c r="H1032" s="172" t="str">
        <f>IFERROR(__xludf.DUMMYFUNCTION("TRIM(REGEXREPLACE(D1032, ""[0-9]+[a-f]?\."", """"))"),"Emplacements")</f>
        <v>Emplacements</v>
      </c>
      <c r="I1032" s="172" t="str">
        <f>IFERROR(__xludf.DUMMYFUNCTION("TRIM(REGEXREPLACE(E1032, ""[0-9]+[a-f]?\."", """"))"),"Wurare")</f>
        <v>Wurare</v>
      </c>
      <c r="J1032" s="172" t="s">
        <v>4918</v>
      </c>
      <c r="K1032" s="172" t="s">
        <v>4919</v>
      </c>
      <c r="L1032" s="172" t="s">
        <v>4920</v>
      </c>
    </row>
    <row r="1033" hidden="1">
      <c r="A1033" s="281" t="s">
        <v>68</v>
      </c>
      <c r="B1033" s="266" t="s">
        <v>4921</v>
      </c>
      <c r="C1033" s="190"/>
      <c r="D1033" s="190"/>
      <c r="E1033" s="190"/>
      <c r="F1033" s="182">
        <v>556.0</v>
      </c>
      <c r="G1033" s="172" t="str">
        <f>IFERROR(__xludf.DUMMYFUNCTION("TRIM(REGEXREPLACE(C1033, ""[0-9]+[a-f]?\."", """"))"),"")</f>
        <v/>
      </c>
      <c r="H1033" s="172" t="str">
        <f>IFERROR(__xludf.DUMMYFUNCTION("TRIM(REGEXREPLACE(D1033, ""[0-9]+[a-f]?\."", """"))"),"")</f>
        <v/>
      </c>
      <c r="I1033" s="172" t="str">
        <f>IFERROR(__xludf.DUMMYFUNCTION("TRIM(REGEXREPLACE(E1033, ""[0-9]+[a-f]?\."", """"))"),"")</f>
        <v/>
      </c>
      <c r="J1033" s="172" t="s">
        <v>4922</v>
      </c>
      <c r="K1033" s="172" t="s">
        <v>4923</v>
      </c>
      <c r="L1033" s="172" t="s">
        <v>4924</v>
      </c>
    </row>
    <row r="1034" hidden="1">
      <c r="A1034" s="281" t="s">
        <v>68</v>
      </c>
      <c r="B1034" s="266" t="s">
        <v>4925</v>
      </c>
      <c r="C1034" s="190"/>
      <c r="D1034" s="190"/>
      <c r="E1034" s="190"/>
      <c r="F1034" s="182">
        <v>557.0</v>
      </c>
      <c r="G1034" s="172" t="str">
        <f>IFERROR(__xludf.DUMMYFUNCTION("TRIM(REGEXREPLACE(C1034, ""[0-9]+[a-f]?\."", """"))"),"")</f>
        <v/>
      </c>
      <c r="H1034" s="172" t="str">
        <f>IFERROR(__xludf.DUMMYFUNCTION("TRIM(REGEXREPLACE(D1034, ""[0-9]+[a-f]?\."", """"))"),"")</f>
        <v/>
      </c>
      <c r="I1034" s="172" t="str">
        <f>IFERROR(__xludf.DUMMYFUNCTION("TRIM(REGEXREPLACE(E1034, ""[0-9]+[a-f]?\."", """"))"),"")</f>
        <v/>
      </c>
      <c r="J1034" s="172" t="s">
        <v>4926</v>
      </c>
      <c r="K1034" s="172" t="s">
        <v>4927</v>
      </c>
      <c r="L1034" s="172" t="s">
        <v>4928</v>
      </c>
    </row>
    <row r="1035" hidden="1">
      <c r="A1035" s="281" t="s">
        <v>68</v>
      </c>
      <c r="B1035" s="266" t="s">
        <v>4929</v>
      </c>
      <c r="C1035" s="190"/>
      <c r="D1035" s="190"/>
      <c r="E1035" s="190"/>
      <c r="F1035" s="182">
        <v>558.0</v>
      </c>
      <c r="G1035" s="172" t="str">
        <f>IFERROR(__xludf.DUMMYFUNCTION("TRIM(REGEXREPLACE(C1035, ""[0-9]+[a-f]?\."", """"))"),"")</f>
        <v/>
      </c>
      <c r="H1035" s="172" t="str">
        <f>IFERROR(__xludf.DUMMYFUNCTION("TRIM(REGEXREPLACE(D1035, ""[0-9]+[a-f]?\."", """"))"),"")</f>
        <v/>
      </c>
      <c r="I1035" s="172" t="str">
        <f>IFERROR(__xludf.DUMMYFUNCTION("TRIM(REGEXREPLACE(E1035, ""[0-9]+[a-f]?\."", """"))"),"")</f>
        <v/>
      </c>
      <c r="J1035" s="172" t="s">
        <v>4933</v>
      </c>
      <c r="K1035" s="172" t="s">
        <v>4934</v>
      </c>
      <c r="L1035" s="172" t="s">
        <v>4935</v>
      </c>
    </row>
    <row r="1036" hidden="1">
      <c r="A1036" s="281" t="s">
        <v>68</v>
      </c>
      <c r="B1036" s="266" t="s">
        <v>4937</v>
      </c>
      <c r="C1036" s="190"/>
      <c r="D1036" s="190"/>
      <c r="E1036" s="190"/>
      <c r="F1036" s="182">
        <v>559.0</v>
      </c>
      <c r="G1036" s="172" t="str">
        <f>IFERROR(__xludf.DUMMYFUNCTION("TRIM(REGEXREPLACE(C1036, ""[0-9]+[a-f]?\."", """"))"),"")</f>
        <v/>
      </c>
      <c r="H1036" s="172" t="str">
        <f>IFERROR(__xludf.DUMMYFUNCTION("TRIM(REGEXREPLACE(D1036, ""[0-9]+[a-f]?\."", """"))"),"")</f>
        <v/>
      </c>
      <c r="I1036" s="172" t="str">
        <f>IFERROR(__xludf.DUMMYFUNCTION("TRIM(REGEXREPLACE(E1036, ""[0-9]+[a-f]?\."", """"))"),"")</f>
        <v/>
      </c>
      <c r="J1036" s="172" t="s">
        <v>4938</v>
      </c>
      <c r="K1036" s="172" t="s">
        <v>4939</v>
      </c>
      <c r="L1036" s="172" t="s">
        <v>4940</v>
      </c>
    </row>
    <row r="1037" hidden="1">
      <c r="A1037" s="281" t="s">
        <v>68</v>
      </c>
      <c r="B1037" s="266" t="s">
        <v>4941</v>
      </c>
      <c r="C1037" s="190"/>
      <c r="D1037" s="190"/>
      <c r="E1037" s="190"/>
      <c r="F1037" s="182">
        <v>560.0</v>
      </c>
      <c r="G1037" s="172" t="str">
        <f>IFERROR(__xludf.DUMMYFUNCTION("TRIM(REGEXREPLACE(C1037, ""[0-9]+[a-f]?\."", """"))"),"")</f>
        <v/>
      </c>
      <c r="H1037" s="172" t="str">
        <f>IFERROR(__xludf.DUMMYFUNCTION("TRIM(REGEXREPLACE(D1037, ""[0-9]+[a-f]?\."", """"))"),"")</f>
        <v/>
      </c>
      <c r="I1037" s="172" t="str">
        <f>IFERROR(__xludf.DUMMYFUNCTION("TRIM(REGEXREPLACE(E1037, ""[0-9]+[a-f]?\."", """"))"),"")</f>
        <v/>
      </c>
      <c r="J1037" s="172" t="s">
        <v>4942</v>
      </c>
      <c r="K1037" s="172" t="s">
        <v>4944</v>
      </c>
      <c r="L1037" s="172" t="s">
        <v>4946</v>
      </c>
    </row>
    <row r="1038" hidden="1">
      <c r="B1038" s="260"/>
      <c r="C1038" s="260"/>
      <c r="D1038" s="260"/>
      <c r="E1038" s="260"/>
      <c r="F1038" s="182">
        <v>612.0</v>
      </c>
      <c r="G1038" s="172" t="str">
        <f>IFERROR(__xludf.DUMMYFUNCTION("TRIM(REGEXREPLACE(C1038, ""[0-9]+[a-f]?\."", """"))"),"")</f>
        <v/>
      </c>
      <c r="H1038" s="172" t="str">
        <f>IFERROR(__xludf.DUMMYFUNCTION("TRIM(REGEXREPLACE(D1038, ""[0-9]+[a-f]?\."", """"))"),"")</f>
        <v/>
      </c>
      <c r="I1038" s="172" t="str">
        <f>IFERROR(__xludf.DUMMYFUNCTION("TRIM(REGEXREPLACE(E1038, ""[0-9]+[a-f]?\."", """"))"),"")</f>
        <v/>
      </c>
      <c r="J1038" s="172" t="s">
        <v>4948</v>
      </c>
      <c r="K1038" s="172" t="s">
        <v>4949</v>
      </c>
      <c r="L1038" s="172" t="s">
        <v>4950</v>
      </c>
    </row>
    <row r="1039" hidden="1">
      <c r="B1039" s="260"/>
      <c r="C1039" s="260"/>
      <c r="D1039" s="260"/>
      <c r="E1039" s="260"/>
      <c r="F1039" s="182">
        <v>613.0</v>
      </c>
      <c r="G1039" s="172" t="str">
        <f>IFERROR(__xludf.DUMMYFUNCTION("TRIM(REGEXREPLACE(C1039, ""[0-9]+[a-f]?\."", """"))"),"")</f>
        <v/>
      </c>
      <c r="H1039" s="172" t="str">
        <f>IFERROR(__xludf.DUMMYFUNCTION("TRIM(REGEXREPLACE(D1039, ""[0-9]+[a-f]?\."", """"))"),"")</f>
        <v/>
      </c>
      <c r="I1039" s="172" t="str">
        <f>IFERROR(__xludf.DUMMYFUNCTION("TRIM(REGEXREPLACE(E1039, ""[0-9]+[a-f]?\."", """"))"),"")</f>
        <v/>
      </c>
      <c r="J1039" s="172" t="s">
        <v>4951</v>
      </c>
      <c r="K1039" s="172" t="s">
        <v>4952</v>
      </c>
      <c r="L1039" s="172" t="s">
        <v>4953</v>
      </c>
    </row>
    <row r="1040" hidden="1">
      <c r="B1040" s="260"/>
      <c r="C1040" s="260"/>
      <c r="D1040" s="260"/>
      <c r="E1040" s="260"/>
      <c r="F1040" s="182">
        <v>614.0</v>
      </c>
      <c r="G1040" s="172" t="str">
        <f>IFERROR(__xludf.DUMMYFUNCTION("TRIM(REGEXREPLACE(C1040, ""[0-9]+[a-f]?\."", """"))"),"")</f>
        <v/>
      </c>
      <c r="H1040" s="172" t="str">
        <f>IFERROR(__xludf.DUMMYFUNCTION("TRIM(REGEXREPLACE(D1040, ""[0-9]+[a-f]?\."", """"))"),"")</f>
        <v/>
      </c>
      <c r="I1040" s="172" t="str">
        <f>IFERROR(__xludf.DUMMYFUNCTION("TRIM(REGEXREPLACE(E1040, ""[0-9]+[a-f]?\."", """"))"),"")</f>
        <v/>
      </c>
      <c r="J1040" s="172" t="s">
        <v>4956</v>
      </c>
      <c r="K1040" s="172" t="s">
        <v>4957</v>
      </c>
      <c r="L1040" s="172" t="s">
        <v>4958</v>
      </c>
    </row>
    <row r="1041" hidden="1">
      <c r="B1041" s="260"/>
      <c r="C1041" s="260"/>
      <c r="D1041" s="260"/>
      <c r="E1041" s="260"/>
      <c r="F1041" s="182">
        <v>615.0</v>
      </c>
      <c r="G1041" s="172" t="str">
        <f>IFERROR(__xludf.DUMMYFUNCTION("TRIM(REGEXREPLACE(C1041, ""[0-9]+[a-f]?\."", """"))"),"")</f>
        <v/>
      </c>
      <c r="H1041" s="172" t="str">
        <f>IFERROR(__xludf.DUMMYFUNCTION("TRIM(REGEXREPLACE(D1041, ""[0-9]+[a-f]?\."", """"))"),"")</f>
        <v/>
      </c>
      <c r="I1041" s="172" t="str">
        <f>IFERROR(__xludf.DUMMYFUNCTION("TRIM(REGEXREPLACE(E1041, ""[0-9]+[a-f]?\."", """"))"),"")</f>
        <v/>
      </c>
      <c r="J1041" s="172" t="s">
        <v>4959</v>
      </c>
      <c r="K1041" s="172" t="s">
        <v>4960</v>
      </c>
      <c r="L1041" s="172" t="s">
        <v>4961</v>
      </c>
    </row>
    <row r="1042" hidden="1">
      <c r="A1042" s="281" t="s">
        <v>68</v>
      </c>
      <c r="B1042" s="266" t="s">
        <v>4962</v>
      </c>
      <c r="C1042" s="190"/>
      <c r="D1042" s="190"/>
      <c r="E1042" s="190"/>
      <c r="F1042" s="182">
        <v>561.0</v>
      </c>
      <c r="G1042" s="172" t="str">
        <f>IFERROR(__xludf.DUMMYFUNCTION("TRIM(REGEXREPLACE(C1042, ""[0-9]+[a-f]?\."", """"))"),"")</f>
        <v/>
      </c>
      <c r="H1042" s="172" t="str">
        <f>IFERROR(__xludf.DUMMYFUNCTION("TRIM(REGEXREPLACE(D1042, ""[0-9]+[a-f]?\."", """"))"),"")</f>
        <v/>
      </c>
      <c r="I1042" s="172" t="str">
        <f>IFERROR(__xludf.DUMMYFUNCTION("TRIM(REGEXREPLACE(E1042, ""[0-9]+[a-f]?\."", """"))"),"")</f>
        <v/>
      </c>
      <c r="J1042" s="172" t="s">
        <v>4965</v>
      </c>
      <c r="K1042" s="172" t="s">
        <v>4966</v>
      </c>
      <c r="L1042" s="172" t="s">
        <v>4967</v>
      </c>
    </row>
    <row r="1043" hidden="1">
      <c r="A1043" s="281" t="s">
        <v>68</v>
      </c>
      <c r="B1043" s="266" t="s">
        <v>4968</v>
      </c>
      <c r="C1043" s="190"/>
      <c r="D1043" s="190"/>
      <c r="E1043" s="190"/>
      <c r="F1043" s="182">
        <v>562.0</v>
      </c>
      <c r="G1043" s="172" t="str">
        <f>IFERROR(__xludf.DUMMYFUNCTION("TRIM(REGEXREPLACE(C1043, ""[0-9]+[a-f]?\."", """"))"),"")</f>
        <v/>
      </c>
      <c r="H1043" s="172" t="str">
        <f>IFERROR(__xludf.DUMMYFUNCTION("TRIM(REGEXREPLACE(D1043, ""[0-9]+[a-f]?\."", """"))"),"")</f>
        <v/>
      </c>
      <c r="I1043" s="172" t="str">
        <f>IFERROR(__xludf.DUMMYFUNCTION("TRIM(REGEXREPLACE(E1043, ""[0-9]+[a-f]?\."", """"))"),"")</f>
        <v/>
      </c>
      <c r="J1043" s="172" t="s">
        <v>4969</v>
      </c>
      <c r="K1043" s="172" t="s">
        <v>4970</v>
      </c>
      <c r="L1043" s="172" t="s">
        <v>4971</v>
      </c>
    </row>
    <row r="1044" hidden="1">
      <c r="A1044" s="281" t="s">
        <v>68</v>
      </c>
      <c r="B1044" s="266" t="s">
        <v>4972</v>
      </c>
      <c r="C1044" s="190"/>
      <c r="D1044" s="190"/>
      <c r="E1044" s="190"/>
      <c r="F1044" s="182">
        <v>563.0</v>
      </c>
      <c r="G1044" s="172" t="str">
        <f>IFERROR(__xludf.DUMMYFUNCTION("TRIM(REGEXREPLACE(C1044, ""[0-9]+[a-f]?\."", """"))"),"")</f>
        <v/>
      </c>
      <c r="H1044" s="172" t="str">
        <f>IFERROR(__xludf.DUMMYFUNCTION("TRIM(REGEXREPLACE(D1044, ""[0-9]+[a-f]?\."", """"))"),"")</f>
        <v/>
      </c>
      <c r="I1044" s="172" t="str">
        <f>IFERROR(__xludf.DUMMYFUNCTION("TRIM(REGEXREPLACE(E1044, ""[0-9]+[a-f]?\."", """"))"),"")</f>
        <v/>
      </c>
      <c r="J1044" s="172" t="s">
        <v>4975</v>
      </c>
      <c r="K1044" s="172" t="s">
        <v>4976</v>
      </c>
      <c r="L1044" s="172" t="s">
        <v>4977</v>
      </c>
    </row>
    <row r="1045" hidden="1">
      <c r="B1045" s="260"/>
      <c r="C1045" s="260"/>
      <c r="D1045" s="260"/>
      <c r="E1045" s="260"/>
      <c r="F1045" s="182">
        <v>618.0</v>
      </c>
      <c r="G1045" s="172" t="str">
        <f>IFERROR(__xludf.DUMMYFUNCTION("TRIM(REGEXREPLACE(C1045, ""[0-9]+[a-f]?\."", """"))"),"")</f>
        <v/>
      </c>
      <c r="H1045" s="172" t="str">
        <f>IFERROR(__xludf.DUMMYFUNCTION("TRIM(REGEXREPLACE(D1045, ""[0-9]+[a-f]?\."", """"))"),"")</f>
        <v/>
      </c>
      <c r="I1045" s="172" t="str">
        <f>IFERROR(__xludf.DUMMYFUNCTION("TRIM(REGEXREPLACE(E1045, ""[0-9]+[a-f]?\."", """"))"),"")</f>
        <v/>
      </c>
      <c r="J1045" s="172" t="s">
        <v>4981</v>
      </c>
      <c r="K1045" s="172" t="s">
        <v>4982</v>
      </c>
      <c r="L1045" s="172" t="s">
        <v>4983</v>
      </c>
    </row>
    <row r="1046">
      <c r="A1046" s="283" t="s">
        <v>246</v>
      </c>
      <c r="B1046" s="274" t="s">
        <v>4984</v>
      </c>
      <c r="C1046" s="254" t="s">
        <v>4985</v>
      </c>
      <c r="D1046" s="254" t="s">
        <v>4986</v>
      </c>
      <c r="E1046" s="254" t="s">
        <v>4987</v>
      </c>
      <c r="F1046" s="182">
        <v>158.0</v>
      </c>
      <c r="G1046" s="172" t="str">
        <f>IFERROR(__xludf.DUMMYFUNCTION("TRIM(REGEXREPLACE(C1046, ""[0-9]+[a-f]?\."", """"))"),"How many weeks did you spend in ${pm_location_name}, ${pm_location_period_lab}?")</f>
        <v>How many weeks did you spend in ${pm_location_name}, ${pm_location_period_lab}?</v>
      </c>
      <c r="H1046" s="172" t="str">
        <f>IFERROR(__xludf.DUMMYFUNCTION("TRIM(REGEXREPLACE(D1046, ""[0-9]+[a-f]?\."", """"))"),"Combien de semaines avez-vous passées à ${pm_location_name}, ${pm_location_period_lab_fr} ?")</f>
        <v>Combien de semaines avez-vous passées à ${pm_location_name}, ${pm_location_period_lab_fr} ?</v>
      </c>
      <c r="I1046" s="172" t="str">
        <f>IFERROR(__xludf.DUMMYFUNCTION("TRIM(REGEXREPLACE(E1046, ""[0-9]+[a-f]?\."", """"))"),"Sati nawa ne kuka zauna a ${pm_location_name}, ${pm_location_period_lab_ha}?")</f>
        <v>Sati nawa ne kuka zauna a ${pm_location_name}, ${pm_location_period_lab_ha}?</v>
      </c>
      <c r="J1046" s="172" t="str">
        <f t="shared" ref="J1046:L1046" si="158">$F1046 &amp; ". " &amp;G1046</f>
        <v>158. How many weeks did you spend in ${pm_location_name}, ${pm_location_period_lab}?</v>
      </c>
      <c r="K1046" s="172" t="str">
        <f t="shared" si="158"/>
        <v>158. Combien de semaines avez-vous passées à ${pm_location_name}, ${pm_location_period_lab_fr} ?</v>
      </c>
      <c r="L1046" s="172" t="str">
        <f t="shared" si="158"/>
        <v>158. Sati nawa ne kuka zauna a ${pm_location_name}, ${pm_location_period_lab_ha}?</v>
      </c>
    </row>
    <row r="1047">
      <c r="A1047" s="215" t="s">
        <v>353</v>
      </c>
      <c r="B1047" s="216" t="s">
        <v>4991</v>
      </c>
      <c r="C1047" s="216" t="s">
        <v>1954</v>
      </c>
      <c r="D1047" s="216" t="s">
        <v>1955</v>
      </c>
      <c r="E1047" s="216" t="s">
        <v>4992</v>
      </c>
      <c r="F1047" s="182">
        <v>159.0</v>
      </c>
      <c r="G1047" s="172" t="str">
        <f>IFERROR(__xludf.DUMMYFUNCTION("TRIM(REGEXREPLACE(C1047, ""[0-9]+[a-f]?\."", """"))"),"Did you look for paid work in ${pm_location_name}?")</f>
        <v>Did you look for paid work in ${pm_location_name}?</v>
      </c>
      <c r="H1047" s="172" t="str">
        <f>IFERROR(__xludf.DUMMYFUNCTION("TRIM(REGEXREPLACE(D1047, ""[0-9]+[a-f]?\."", """"))"),"Avez-vous cherché un travail rémunéré à ${pm_location_name} ?")</f>
        <v>Avez-vous cherché un travail rémunéré à ${pm_location_name} ?</v>
      </c>
      <c r="I1047" s="172" t="str">
        <f>IFERROR(__xludf.DUMMYFUNCTION("TRIM(REGEXREPLACE(E1047, ""[0-9]+[a-f]?\."", """"))"),"Ko kun nemi aikin biya a ${pm_location_name}?")</f>
        <v>Ko kun nemi aikin biya a ${pm_location_name}?</v>
      </c>
      <c r="J1047" s="172" t="str">
        <f t="shared" ref="J1047:L1047" si="159">$F1047 &amp; ". " &amp;G1047</f>
        <v>159. Did you look for paid work in ${pm_location_name}?</v>
      </c>
      <c r="K1047" s="172" t="str">
        <f t="shared" si="159"/>
        <v>159. Avez-vous cherché un travail rémunéré à ${pm_location_name} ?</v>
      </c>
      <c r="L1047" s="172" t="str">
        <f t="shared" si="159"/>
        <v>159. Ko kun nemi aikin biya a ${pm_location_name}?</v>
      </c>
    </row>
    <row r="1048">
      <c r="A1048" s="215" t="s">
        <v>353</v>
      </c>
      <c r="B1048" s="216" t="s">
        <v>4993</v>
      </c>
      <c r="C1048" s="216" t="s">
        <v>1958</v>
      </c>
      <c r="D1048" s="216" t="s">
        <v>1960</v>
      </c>
      <c r="E1048" s="216" t="s">
        <v>1961</v>
      </c>
      <c r="F1048" s="182">
        <v>160.0</v>
      </c>
      <c r="G1048" s="172" t="str">
        <f>IFERROR(__xludf.DUMMYFUNCTION("TRIM(REGEXREPLACE(C1048, ""[0-9]+[a-f]?\."", """"))"),"Did you engage in any work in ${pm_location_name} irrespective of whether you were paid?")</f>
        <v>Did you engage in any work in ${pm_location_name} irrespective of whether you were paid?</v>
      </c>
      <c r="H1048" s="172" t="str">
        <f>IFERROR(__xludf.DUMMYFUNCTION("TRIM(REGEXREPLACE(D1048, ""[0-9]+[a-f]?\."", """"))"),"Avez-vous effectué un travail à ${pm_location_name}, que vous ayez été payé ou non ?")</f>
        <v>Avez-vous effectué un travail à ${pm_location_name}, que vous ayez été payé ou non ?</v>
      </c>
      <c r="I1048" s="172" t="str">
        <f>IFERROR(__xludf.DUMMYFUNCTION("TRIM(REGEXREPLACE(E1048, ""[0-9]+[a-f]?\."", """"))"),"Ko kun yi wani aiki a ${pm_location_name} na biya ko ba na biya ba?")</f>
        <v>Ko kun yi wani aiki a ${pm_location_name} na biya ko ba na biya ba?</v>
      </c>
      <c r="J1048" s="172" t="str">
        <f t="shared" ref="J1048:L1048" si="160">$F1048 &amp; ". " &amp;G1048</f>
        <v>160. Did you engage in any work in ${pm_location_name} irrespective of whether you were paid?</v>
      </c>
      <c r="K1048" s="172" t="str">
        <f t="shared" si="160"/>
        <v>160. Avez-vous effectué un travail à ${pm_location_name}, que vous ayez été payé ou non ?</v>
      </c>
      <c r="L1048" s="172" t="str">
        <f t="shared" si="160"/>
        <v>160. Ko kun yi wani aiki a ${pm_location_name} na biya ko ba na biya ba?</v>
      </c>
    </row>
    <row r="1049" hidden="1">
      <c r="B1049" s="260"/>
      <c r="C1049" s="260"/>
      <c r="D1049" s="260"/>
      <c r="E1049" s="260"/>
      <c r="F1049" s="182">
        <v>622.0</v>
      </c>
      <c r="G1049" s="172" t="str">
        <f>IFERROR(__xludf.DUMMYFUNCTION("TRIM(REGEXREPLACE(C1049, ""[0-9]+[a-f]?\."", """"))"),"")</f>
        <v/>
      </c>
      <c r="H1049" s="172" t="str">
        <f>IFERROR(__xludf.DUMMYFUNCTION("TRIM(REGEXREPLACE(D1049, ""[0-9]+[a-f]?\."", """"))"),"")</f>
        <v/>
      </c>
      <c r="I1049" s="172" t="str">
        <f>IFERROR(__xludf.DUMMYFUNCTION("TRIM(REGEXREPLACE(E1049, ""[0-9]+[a-f]?\."", """"))"),"")</f>
        <v/>
      </c>
      <c r="J1049" s="172" t="s">
        <v>4994</v>
      </c>
      <c r="K1049" s="172" t="s">
        <v>4995</v>
      </c>
      <c r="L1049" s="172" t="s">
        <v>4996</v>
      </c>
    </row>
    <row r="1050" hidden="1">
      <c r="B1050" s="260"/>
      <c r="C1050" s="260"/>
      <c r="D1050" s="260"/>
      <c r="E1050" s="260"/>
      <c r="F1050" s="182">
        <v>623.0</v>
      </c>
      <c r="G1050" s="172" t="str">
        <f>IFERROR(__xludf.DUMMYFUNCTION("TRIM(REGEXREPLACE(C1050, ""[0-9]+[a-f]?\."", """"))"),"")</f>
        <v/>
      </c>
      <c r="H1050" s="172" t="str">
        <f>IFERROR(__xludf.DUMMYFUNCTION("TRIM(REGEXREPLACE(D1050, ""[0-9]+[a-f]?\."", """"))"),"")</f>
        <v/>
      </c>
      <c r="I1050" s="172" t="str">
        <f>IFERROR(__xludf.DUMMYFUNCTION("TRIM(REGEXREPLACE(E1050, ""[0-9]+[a-f]?\."", """"))"),"")</f>
        <v/>
      </c>
      <c r="J1050" s="172" t="s">
        <v>4998</v>
      </c>
      <c r="K1050" s="172" t="s">
        <v>4999</v>
      </c>
      <c r="L1050" s="172" t="s">
        <v>5000</v>
      </c>
    </row>
    <row r="1051" hidden="1">
      <c r="B1051" s="260"/>
      <c r="C1051" s="260"/>
      <c r="D1051" s="260"/>
      <c r="E1051" s="260"/>
      <c r="F1051" s="182">
        <v>624.0</v>
      </c>
      <c r="G1051" s="172" t="str">
        <f>IFERROR(__xludf.DUMMYFUNCTION("TRIM(REGEXREPLACE(C1051, ""[0-9]+[a-f]?\."", """"))"),"")</f>
        <v/>
      </c>
      <c r="H1051" s="172" t="str">
        <f>IFERROR(__xludf.DUMMYFUNCTION("TRIM(REGEXREPLACE(D1051, ""[0-9]+[a-f]?\."", """"))"),"")</f>
        <v/>
      </c>
      <c r="I1051" s="172" t="str">
        <f>IFERROR(__xludf.DUMMYFUNCTION("TRIM(REGEXREPLACE(E1051, ""[0-9]+[a-f]?\."", """"))"),"")</f>
        <v/>
      </c>
      <c r="J1051" s="172" t="s">
        <v>5001</v>
      </c>
      <c r="K1051" s="172" t="s">
        <v>5002</v>
      </c>
      <c r="L1051" s="172" t="s">
        <v>5003</v>
      </c>
    </row>
    <row r="1052" hidden="1">
      <c r="B1052" s="260"/>
      <c r="C1052" s="260"/>
      <c r="D1052" s="260"/>
      <c r="E1052" s="260"/>
      <c r="F1052" s="182">
        <v>625.0</v>
      </c>
      <c r="G1052" s="172" t="str">
        <f>IFERROR(__xludf.DUMMYFUNCTION("TRIM(REGEXREPLACE(C1052, ""[0-9]+[a-f]?\."", """"))"),"")</f>
        <v/>
      </c>
      <c r="H1052" s="172" t="str">
        <f>IFERROR(__xludf.DUMMYFUNCTION("TRIM(REGEXREPLACE(D1052, ""[0-9]+[a-f]?\."", """"))"),"")</f>
        <v/>
      </c>
      <c r="I1052" s="172" t="str">
        <f>IFERROR(__xludf.DUMMYFUNCTION("TRIM(REGEXREPLACE(E1052, ""[0-9]+[a-f]?\."", """"))"),"")</f>
        <v/>
      </c>
      <c r="J1052" s="172" t="s">
        <v>5004</v>
      </c>
      <c r="K1052" s="172" t="s">
        <v>5005</v>
      </c>
      <c r="L1052" s="172" t="s">
        <v>5006</v>
      </c>
    </row>
    <row r="1053" hidden="1">
      <c r="B1053" s="260"/>
      <c r="C1053" s="260"/>
      <c r="D1053" s="260"/>
      <c r="E1053" s="260"/>
      <c r="F1053" s="182">
        <v>626.0</v>
      </c>
      <c r="G1053" s="172" t="str">
        <f>IFERROR(__xludf.DUMMYFUNCTION("TRIM(REGEXREPLACE(C1053, ""[0-9]+[a-f]?\."", """"))"),"")</f>
        <v/>
      </c>
      <c r="H1053" s="172" t="str">
        <f>IFERROR(__xludf.DUMMYFUNCTION("TRIM(REGEXREPLACE(D1053, ""[0-9]+[a-f]?\."", """"))"),"")</f>
        <v/>
      </c>
      <c r="I1053" s="172" t="str">
        <f>IFERROR(__xludf.DUMMYFUNCTION("TRIM(REGEXREPLACE(E1053, ""[0-9]+[a-f]?\."", """"))"),"")</f>
        <v/>
      </c>
      <c r="J1053" s="172" t="s">
        <v>5009</v>
      </c>
      <c r="K1053" s="172" t="s">
        <v>5010</v>
      </c>
      <c r="L1053" s="172" t="s">
        <v>5011</v>
      </c>
    </row>
    <row r="1054">
      <c r="A1054" s="215" t="s">
        <v>5012</v>
      </c>
      <c r="B1054" s="216" t="s">
        <v>5013</v>
      </c>
      <c r="C1054" s="216" t="s">
        <v>1964</v>
      </c>
      <c r="D1054" s="216" t="s">
        <v>1965</v>
      </c>
      <c r="E1054" s="216" t="s">
        <v>1966</v>
      </c>
      <c r="F1054" s="182">
        <v>161.0</v>
      </c>
      <c r="G1054" s="172" t="str">
        <f>IFERROR(__xludf.DUMMYFUNCTION("TRIM(REGEXREPLACE(C1054, ""[0-9]+[a-f]?\."", """"))"),"What is the main reason you did not work in ${pm_location_name}?")</f>
        <v>What is the main reason you did not work in ${pm_location_name}?</v>
      </c>
      <c r="H1054" s="172" t="str">
        <f>IFERROR(__xludf.DUMMYFUNCTION("TRIM(REGEXREPLACE(D1054, ""[0-9]+[a-f]?\."", """"))"),"Quelle est la principale raison pour laquelle vous n'avez pas travaillé à ${pm_location_name} ?")</f>
        <v>Quelle est la principale raison pour laquelle vous n'avez pas travaillé à ${pm_location_name} ?</v>
      </c>
      <c r="I1054" s="172" t="str">
        <f>IFERROR(__xludf.DUMMYFUNCTION("TRIM(REGEXREPLACE(E1054, ""[0-9]+[a-f]?\."", """"))"),"Menene babban dalilin da yasa baku yi aiki a ${pm_location_name} ba?")</f>
        <v>Menene babban dalilin da yasa baku yi aiki a ${pm_location_name} ba?</v>
      </c>
      <c r="J1054" s="172" t="str">
        <f t="shared" ref="J1054:L1054" si="161">$F1054 &amp; ". " &amp;G1054</f>
        <v>161. What is the main reason you did not work in ${pm_location_name}?</v>
      </c>
      <c r="K1054" s="172" t="str">
        <f t="shared" si="161"/>
        <v>161. Quelle est la principale raison pour laquelle vous n'avez pas travaillé à ${pm_location_name} ?</v>
      </c>
      <c r="L1054" s="172" t="str">
        <f t="shared" si="161"/>
        <v>161. Menene babban dalilin da yasa baku yi aiki a ${pm_location_name} ba?</v>
      </c>
    </row>
    <row r="1055" hidden="1">
      <c r="F1055" s="182">
        <v>633.0</v>
      </c>
      <c r="G1055" s="172" t="str">
        <f>IFERROR(__xludf.DUMMYFUNCTION("TRIM(REGEXREPLACE(C1055, ""[0-9]+[a-f]?\."", """"))"),"")</f>
        <v/>
      </c>
      <c r="H1055" s="172" t="str">
        <f>IFERROR(__xludf.DUMMYFUNCTION("TRIM(REGEXREPLACE(D1055, ""[0-9]+[a-f]?\."", """"))"),"")</f>
        <v/>
      </c>
      <c r="I1055" s="172" t="str">
        <f>IFERROR(__xludf.DUMMYFUNCTION("TRIM(REGEXREPLACE(E1055, ""[0-9]+[a-f]?\."", """"))"),"")</f>
        <v/>
      </c>
      <c r="J1055" s="172" t="str">
        <f t="shared" ref="J1055:L1055" si="162">$F1055&amp;". "&amp;G1055</f>
        <v>633. </v>
      </c>
      <c r="K1055" s="172" t="str">
        <f t="shared" si="162"/>
        <v>633. </v>
      </c>
      <c r="L1055" s="172" t="str">
        <f t="shared" si="162"/>
        <v>633. </v>
      </c>
    </row>
    <row r="1056" hidden="1">
      <c r="F1056" s="182">
        <v>634.0</v>
      </c>
      <c r="G1056" s="172" t="str">
        <f>IFERROR(__xludf.DUMMYFUNCTION("TRIM(REGEXREPLACE(C1056, ""[0-9]+[a-f]?\."", """"))"),"")</f>
        <v/>
      </c>
      <c r="H1056" s="172" t="str">
        <f>IFERROR(__xludf.DUMMYFUNCTION("TRIM(REGEXREPLACE(D1056, ""[0-9]+[a-f]?\."", """"))"),"")</f>
        <v/>
      </c>
      <c r="I1056" s="172" t="str">
        <f>IFERROR(__xludf.DUMMYFUNCTION("TRIM(REGEXREPLACE(E1056, ""[0-9]+[a-f]?\."", """"))"),"")</f>
        <v/>
      </c>
      <c r="J1056" s="172" t="str">
        <f t="shared" ref="J1056:L1056" si="163">$F1056&amp;". "&amp;G1056</f>
        <v>634. </v>
      </c>
      <c r="K1056" s="172" t="str">
        <f t="shared" si="163"/>
        <v>634. </v>
      </c>
      <c r="L1056" s="172" t="str">
        <f t="shared" si="163"/>
        <v>634. </v>
      </c>
    </row>
    <row r="1057" hidden="1">
      <c r="F1057" s="182">
        <v>635.0</v>
      </c>
      <c r="G1057" s="172" t="str">
        <f>IFERROR(__xludf.DUMMYFUNCTION("TRIM(REGEXREPLACE(C1057, ""[0-9]+[a-f]?\."", """"))"),"")</f>
        <v/>
      </c>
      <c r="H1057" s="172" t="str">
        <f>IFERROR(__xludf.DUMMYFUNCTION("TRIM(REGEXREPLACE(D1057, ""[0-9]+[a-f]?\."", """"))"),"")</f>
        <v/>
      </c>
      <c r="I1057" s="172" t="str">
        <f>IFERROR(__xludf.DUMMYFUNCTION("TRIM(REGEXREPLACE(E1057, ""[0-9]+[a-f]?\."", """"))"),"")</f>
        <v/>
      </c>
      <c r="J1057" s="172" t="str">
        <f t="shared" ref="J1057:L1057" si="164">$F1057&amp;". "&amp;G1057</f>
        <v>635. </v>
      </c>
      <c r="K1057" s="172" t="str">
        <f t="shared" si="164"/>
        <v>635. </v>
      </c>
      <c r="L1057" s="172" t="str">
        <f t="shared" si="164"/>
        <v>635. </v>
      </c>
    </row>
    <row r="1058">
      <c r="A1058" s="246" t="s">
        <v>231</v>
      </c>
      <c r="B1058" s="247" t="s">
        <v>5023</v>
      </c>
      <c r="C1058" s="247" t="s">
        <v>1968</v>
      </c>
      <c r="D1058" s="247" t="s">
        <v>1969</v>
      </c>
      <c r="E1058" s="247" t="s">
        <v>5024</v>
      </c>
      <c r="F1058" s="182">
        <v>162.0</v>
      </c>
      <c r="G1058" s="172" t="str">
        <f>IFERROR(__xludf.DUMMYFUNCTION("TRIM(REGEXREPLACE(C1058, ""[0-9]+[a-f]?\."", """"))"),"Specify other:")</f>
        <v>Specify other:</v>
      </c>
      <c r="H1058" s="172" t="str">
        <f>IFERROR(__xludf.DUMMYFUNCTION("TRIM(REGEXREPLACE(D1058, ""[0-9]+[a-f]?\."", """"))"),"Autre à préciser:")</f>
        <v>Autre à préciser:</v>
      </c>
      <c r="I1058" s="172" t="str">
        <f>IFERROR(__xludf.DUMMYFUNCTION("TRIM(REGEXREPLACE(E1058, ""[0-9]+[a-f]?\."", """"))"),"Wani daban a Baiyana:")</f>
        <v>Wani daban a Baiyana:</v>
      </c>
      <c r="J1058" s="172" t="str">
        <f t="shared" ref="J1058:L1058" si="165">$F1058 &amp; ". " &amp;G1058</f>
        <v>162. Specify other:</v>
      </c>
      <c r="K1058" s="172" t="str">
        <f t="shared" si="165"/>
        <v>162. Autre à préciser:</v>
      </c>
      <c r="L1058" s="172" t="str">
        <f t="shared" si="165"/>
        <v>162. Wani daban a Baiyana:</v>
      </c>
    </row>
    <row r="1059">
      <c r="A1059" s="253" t="s">
        <v>246</v>
      </c>
      <c r="B1059" s="254" t="s">
        <v>5028</v>
      </c>
      <c r="C1059" s="254" t="s">
        <v>1976</v>
      </c>
      <c r="D1059" s="254" t="s">
        <v>1977</v>
      </c>
      <c r="E1059" s="254" t="s">
        <v>5029</v>
      </c>
      <c r="F1059" s="182">
        <v>163.0</v>
      </c>
      <c r="G1059" s="172" t="str">
        <f>IFERROR(__xludf.DUMMYFUNCTION("TRIM(REGEXREPLACE(C1059, ""[0-9]+[a-f]?\."", """"))"),"How many jobs did you work in ${pm_location_name}, whether or not you received pay?")</f>
        <v>How many jobs did you work in ${pm_location_name}, whether or not you received pay?</v>
      </c>
      <c r="H1059" s="172" t="str">
        <f>IFERROR(__xludf.DUMMYFUNCTION("TRIM(REGEXREPLACE(D1059, ""[0-9]+[a-f]?\."", """"))"),"Combien d'emplois avez-vous occupés sur ${pm_location_name}, que vous ayez été rémunéré ou non ?")</f>
        <v>Combien d'emplois avez-vous occupés sur ${pm_location_name}, que vous ayez été rémunéré ou non ?</v>
      </c>
      <c r="I1059" s="172" t="str">
        <f>IFERROR(__xludf.DUMMYFUNCTION("TRIM(REGEXREPLACE(E1059, ""[0-9]+[a-f]?\."", """"))"),"Ayyuka nawa kuka yi a wurin, ko na biya ko ba na biya ba?")</f>
        <v>Ayyuka nawa kuka yi a wurin, ko na biya ko ba na biya ba?</v>
      </c>
      <c r="J1059" s="172" t="str">
        <f t="shared" ref="J1059:L1059" si="166">$F1059 &amp; ". " &amp;G1059</f>
        <v>163. How many jobs did you work in ${pm_location_name}, whether or not you received pay?</v>
      </c>
      <c r="K1059" s="172" t="str">
        <f t="shared" si="166"/>
        <v>163. Combien d'emplois avez-vous occupés sur ${pm_location_name}, que vous ayez été rémunéré ou non ?</v>
      </c>
      <c r="L1059" s="172" t="str">
        <f t="shared" si="166"/>
        <v>163. Ayyuka nawa kuka yi a wurin, ko na biya ko ba na biya ba?</v>
      </c>
    </row>
    <row r="1060" hidden="1">
      <c r="F1060" s="182">
        <v>638.0</v>
      </c>
      <c r="G1060" s="172" t="str">
        <f>IFERROR(__xludf.DUMMYFUNCTION("TRIM(REGEXREPLACE(C1060, ""[0-9]+[a-f]?\."", """"))"),"")</f>
        <v/>
      </c>
      <c r="H1060" s="172" t="str">
        <f>IFERROR(__xludf.DUMMYFUNCTION("TRIM(REGEXREPLACE(D1060, ""[0-9]+[a-f]?\."", """"))"),"")</f>
        <v/>
      </c>
      <c r="I1060" s="172" t="str">
        <f>IFERROR(__xludf.DUMMYFUNCTION("TRIM(REGEXREPLACE(E1060, ""[0-9]+[a-f]?\."", """"))"),"")</f>
        <v/>
      </c>
      <c r="J1060" s="172" t="str">
        <f t="shared" ref="J1060:L1060" si="167">$F1060&amp;". "&amp;G1060</f>
        <v>638. </v>
      </c>
      <c r="K1060" s="172" t="str">
        <f t="shared" si="167"/>
        <v>638. </v>
      </c>
      <c r="L1060" s="172" t="str">
        <f t="shared" si="167"/>
        <v>638. </v>
      </c>
    </row>
    <row r="1061" hidden="1">
      <c r="A1061" s="188" t="s">
        <v>118</v>
      </c>
      <c r="B1061" s="189" t="s">
        <v>5033</v>
      </c>
      <c r="C1061" s="190"/>
      <c r="D1061" s="190"/>
      <c r="E1061" s="190"/>
      <c r="F1061" s="182">
        <v>570.0</v>
      </c>
      <c r="G1061" s="172" t="str">
        <f>IFERROR(__xludf.DUMMYFUNCTION("TRIM(REGEXREPLACE(C1061, ""[0-9]+[a-f]?\."", """"))"),"")</f>
        <v/>
      </c>
      <c r="H1061" s="172" t="str">
        <f>IFERROR(__xludf.DUMMYFUNCTION("TRIM(REGEXREPLACE(D1061, ""[0-9]+[a-f]?\."", """"))"),"")</f>
        <v/>
      </c>
      <c r="I1061" s="172" t="str">
        <f>IFERROR(__xludf.DUMMYFUNCTION("TRIM(REGEXREPLACE(E1061, ""[0-9]+[a-f]?\."", """"))"),"")</f>
        <v/>
      </c>
      <c r="J1061" s="172" t="s">
        <v>5034</v>
      </c>
      <c r="K1061" s="172" t="s">
        <v>5035</v>
      </c>
      <c r="L1061" s="172" t="s">
        <v>5036</v>
      </c>
    </row>
    <row r="1062" hidden="1">
      <c r="A1062" s="255" t="s">
        <v>1042</v>
      </c>
      <c r="B1062" s="256" t="s">
        <v>5040</v>
      </c>
      <c r="C1062" s="256" t="s">
        <v>5041</v>
      </c>
      <c r="D1062" s="256" t="s">
        <v>5042</v>
      </c>
      <c r="E1062" s="256" t="s">
        <v>5043</v>
      </c>
      <c r="F1062" s="182">
        <v>571.0</v>
      </c>
      <c r="G1062" s="172" t="str">
        <f>IFERROR(__xludf.DUMMYFUNCTION("TRIM(REGEXREPLACE(C1062, ""[0-9]+[a-f]?\."", """"))"),"Activities")</f>
        <v>Activities</v>
      </c>
      <c r="H1062" s="172" t="str">
        <f>IFERROR(__xludf.DUMMYFUNCTION("TRIM(REGEXREPLACE(D1062, ""[0-9]+[a-f]?\."", """"))"),"Activités")</f>
        <v>Activités</v>
      </c>
      <c r="I1062" s="172" t="str">
        <f>IFERROR(__xludf.DUMMYFUNCTION("TRIM(REGEXREPLACE(E1062, ""[0-9]+[a-f]?\."", """"))"),"Ayyuka")</f>
        <v>Ayyuka</v>
      </c>
      <c r="J1062" s="172" t="s">
        <v>5044</v>
      </c>
      <c r="K1062" s="172" t="s">
        <v>5045</v>
      </c>
      <c r="L1062" s="172" t="s">
        <v>5046</v>
      </c>
    </row>
    <row r="1063" hidden="1">
      <c r="F1063" s="182">
        <v>641.0</v>
      </c>
      <c r="G1063" s="172" t="str">
        <f>IFERROR(__xludf.DUMMYFUNCTION("TRIM(REGEXREPLACE(C1063, ""[0-9]+[a-f]?\."", """"))"),"")</f>
        <v/>
      </c>
      <c r="H1063" s="172" t="str">
        <f>IFERROR(__xludf.DUMMYFUNCTION("TRIM(REGEXREPLACE(D1063, ""[0-9]+[a-f]?\."", """"))"),"")</f>
        <v/>
      </c>
      <c r="I1063" s="172" t="str">
        <f>IFERROR(__xludf.DUMMYFUNCTION("TRIM(REGEXREPLACE(E1063, ""[0-9]+[a-f]?\."", """"))"),"")</f>
        <v/>
      </c>
      <c r="J1063" s="172" t="str">
        <f t="shared" ref="J1063:L1063" si="168">$F1063&amp;". "&amp;G1063</f>
        <v>641. </v>
      </c>
      <c r="K1063" s="172" t="str">
        <f t="shared" si="168"/>
        <v>641. </v>
      </c>
      <c r="L1063" s="172" t="str">
        <f t="shared" si="168"/>
        <v>641. </v>
      </c>
    </row>
    <row r="1064" hidden="1">
      <c r="B1064" s="260"/>
      <c r="C1064" s="260"/>
      <c r="D1064" s="260"/>
      <c r="E1064" s="260"/>
      <c r="F1064" s="182">
        <v>629.0</v>
      </c>
      <c r="G1064" s="172" t="str">
        <f>IFERROR(__xludf.DUMMYFUNCTION("TRIM(REGEXREPLACE(C1064, ""[0-9]+[a-f]?\."", """"))"),"")</f>
        <v/>
      </c>
      <c r="H1064" s="172" t="str">
        <f>IFERROR(__xludf.DUMMYFUNCTION("TRIM(REGEXREPLACE(D1064, ""[0-9]+[a-f]?\."", """"))"),"")</f>
        <v/>
      </c>
      <c r="I1064" s="172" t="str">
        <f>IFERROR(__xludf.DUMMYFUNCTION("TRIM(REGEXREPLACE(E1064, ""[0-9]+[a-f]?\."", """"))"),"")</f>
        <v/>
      </c>
      <c r="J1064" s="172" t="s">
        <v>5048</v>
      </c>
      <c r="K1064" s="172" t="s">
        <v>5049</v>
      </c>
      <c r="L1064" s="172" t="s">
        <v>5050</v>
      </c>
    </row>
    <row r="1065" hidden="1">
      <c r="F1065" s="182">
        <v>643.0</v>
      </c>
      <c r="G1065" s="172" t="str">
        <f>IFERROR(__xludf.DUMMYFUNCTION("TRIM(REGEXREPLACE(C1065, ""[0-9]+[a-f]?\."", """"))"),"")</f>
        <v/>
      </c>
      <c r="H1065" s="172" t="str">
        <f>IFERROR(__xludf.DUMMYFUNCTION("TRIM(REGEXREPLACE(D1065, ""[0-9]+[a-f]?\."", """"))"),"")</f>
        <v/>
      </c>
      <c r="I1065" s="172" t="str">
        <f>IFERROR(__xludf.DUMMYFUNCTION("TRIM(REGEXREPLACE(E1065, ""[0-9]+[a-f]?\."", """"))"),"")</f>
        <v/>
      </c>
      <c r="J1065" s="172" t="str">
        <f t="shared" ref="J1065:L1065" si="169">$F1065&amp;". "&amp;G1065</f>
        <v>643. </v>
      </c>
      <c r="K1065" s="172" t="str">
        <f t="shared" si="169"/>
        <v>643. </v>
      </c>
      <c r="L1065" s="172" t="str">
        <f t="shared" si="169"/>
        <v>643. </v>
      </c>
    </row>
    <row r="1066" hidden="1">
      <c r="B1066" s="260"/>
      <c r="C1066" s="260"/>
      <c r="D1066" s="260"/>
      <c r="E1066" s="260"/>
      <c r="F1066" s="182">
        <v>630.0</v>
      </c>
      <c r="G1066" s="172" t="str">
        <f>IFERROR(__xludf.DUMMYFUNCTION("TRIM(REGEXREPLACE(C1066, ""[0-9]+[a-f]?\."", """"))"),"")</f>
        <v/>
      </c>
      <c r="H1066" s="172" t="str">
        <f>IFERROR(__xludf.DUMMYFUNCTION("TRIM(REGEXREPLACE(D1066, ""[0-9]+[a-f]?\."", """"))"),"")</f>
        <v/>
      </c>
      <c r="I1066" s="172" t="str">
        <f>IFERROR(__xludf.DUMMYFUNCTION("TRIM(REGEXREPLACE(E1066, ""[0-9]+[a-f]?\."", """"))"),"")</f>
        <v/>
      </c>
      <c r="J1066" s="172" t="s">
        <v>5051</v>
      </c>
      <c r="K1066" s="172" t="s">
        <v>5052</v>
      </c>
      <c r="L1066" s="172" t="s">
        <v>5053</v>
      </c>
    </row>
    <row r="1067" hidden="1">
      <c r="A1067" s="188" t="s">
        <v>118</v>
      </c>
      <c r="B1067" s="189" t="s">
        <v>5056</v>
      </c>
      <c r="C1067" s="190"/>
      <c r="D1067" s="190"/>
      <c r="E1067" s="190"/>
      <c r="F1067" s="182">
        <v>572.0</v>
      </c>
      <c r="G1067" s="172" t="str">
        <f>IFERROR(__xludf.DUMMYFUNCTION("TRIM(REGEXREPLACE(C1067, ""[0-9]+[a-f]?\."", """"))"),"")</f>
        <v/>
      </c>
      <c r="H1067" s="172" t="str">
        <f>IFERROR(__xludf.DUMMYFUNCTION("TRIM(REGEXREPLACE(D1067, ""[0-9]+[a-f]?\."", """"))"),"")</f>
        <v/>
      </c>
      <c r="I1067" s="172" t="str">
        <f>IFERROR(__xludf.DUMMYFUNCTION("TRIM(REGEXREPLACE(E1067, ""[0-9]+[a-f]?\."", """"))"),"")</f>
        <v/>
      </c>
      <c r="J1067" s="172" t="s">
        <v>5058</v>
      </c>
      <c r="K1067" s="172" t="s">
        <v>5059</v>
      </c>
      <c r="L1067" s="172" t="s">
        <v>5060</v>
      </c>
    </row>
    <row r="1068">
      <c r="A1068" s="215" t="s">
        <v>5061</v>
      </c>
      <c r="B1068" s="216" t="s">
        <v>5062</v>
      </c>
      <c r="C1068" s="216" t="s">
        <v>5063</v>
      </c>
      <c r="D1068" s="216" t="s">
        <v>5064</v>
      </c>
      <c r="E1068" s="216" t="s">
        <v>5065</v>
      </c>
      <c r="F1068" s="182">
        <v>164.0</v>
      </c>
      <c r="G1068" s="172" t="str">
        <f>IFERROR(__xludf.DUMMYFUNCTION("TRIM(REGEXREPLACE(C1068, ""[0-9]+[a-f]?\."", """"))"),"Please describe job ${pm_activity_index}.
 Enumerator, code the sector of job ${pm_activity_index}")</f>
        <v>Please describe job ${pm_activity_index}.
 Enumerator, code the sector of job ${pm_activity_index}</v>
      </c>
      <c r="H1068" s="172" t="str">
        <f>IFERROR(__xludf.DUMMYFUNCTION("TRIM(REGEXREPLACE(D1068, ""[0-9]+[a-f]?\."", """"))"),"Veuillez décrire le travail ${pm_activity_index}.
 enquêteur, coder le secteur de l'emploi")</f>
        <v>Veuillez décrire le travail ${pm_activity_index}.
 enquêteur, coder le secteur de l'emploi</v>
      </c>
      <c r="I1068" s="172" t="str">
        <f>IFERROR(__xludf.DUMMYFUNCTION("TRIM(REGEXREPLACE(E1068, ""[0-9]+[a-f]?\."", """"))"),"Da fatan za a baiyana aikin ${pm_activity_index}.
 Ɗan bincike, sanya lamba a sashin aikin")</f>
        <v>Da fatan za a baiyana aikin ${pm_activity_index}.
 Ɗan bincike, sanya lamba a sashin aikin</v>
      </c>
      <c r="J1068" s="172" t="str">
        <f t="shared" ref="J1068:L1068" si="170">$F1068 &amp; ". " &amp;G1068</f>
        <v>164. Please describe job ${pm_activity_index}.
 Enumerator, code the sector of job ${pm_activity_index}</v>
      </c>
      <c r="K1068" s="172" t="str">
        <f t="shared" si="170"/>
        <v>164. Veuillez décrire le travail ${pm_activity_index}.
 enquêteur, coder le secteur de l'emploi</v>
      </c>
      <c r="L1068" s="172" t="str">
        <f t="shared" si="170"/>
        <v>164. Da fatan za a baiyana aikin ${pm_activity_index}.
 Ɗan bincike, sanya lamba a sashin aikin</v>
      </c>
    </row>
    <row r="1069">
      <c r="A1069" s="246" t="s">
        <v>231</v>
      </c>
      <c r="B1069" s="247" t="s">
        <v>5066</v>
      </c>
      <c r="C1069" s="247" t="s">
        <v>1994</v>
      </c>
      <c r="D1069" s="247" t="s">
        <v>1995</v>
      </c>
      <c r="E1069" s="247" t="s">
        <v>5067</v>
      </c>
      <c r="F1069" s="182">
        <v>165.0</v>
      </c>
      <c r="G1069" s="172" t="str">
        <f>IFERROR(__xludf.DUMMYFUNCTION("TRIM(REGEXREPLACE(C1069, ""[0-9]+[a-f]?\."", """"))"),"Other, specify:")</f>
        <v>Other, specify:</v>
      </c>
      <c r="H1069" s="172" t="str">
        <f>IFERROR(__xludf.DUMMYFUNCTION("TRIM(REGEXREPLACE(D1069, ""[0-9]+[a-f]?\."", """"))"),"Autre précisez:")</f>
        <v>Autre précisez:</v>
      </c>
      <c r="I1069" s="172" t="str">
        <f>IFERROR(__xludf.DUMMYFUNCTION("TRIM(REGEXREPLACE(E1069, ""[0-9]+[a-f]?\."", """"))"),"Wani daban a baiyana:")</f>
        <v>Wani daban a baiyana:</v>
      </c>
      <c r="J1069" s="172" t="str">
        <f t="shared" ref="J1069:L1069" si="171">$F1069 &amp; ". " &amp;G1069</f>
        <v>165. Other, specify:</v>
      </c>
      <c r="K1069" s="172" t="str">
        <f t="shared" si="171"/>
        <v>165. Autre précisez:</v>
      </c>
      <c r="L1069" s="172" t="str">
        <f t="shared" si="171"/>
        <v>165. Wani daban a baiyana:</v>
      </c>
    </row>
    <row r="1070" hidden="1">
      <c r="F1070" s="182">
        <v>648.0</v>
      </c>
      <c r="G1070" s="172" t="str">
        <f>IFERROR(__xludf.DUMMYFUNCTION("TRIM(REGEXREPLACE(C1070, ""[0-9]+[a-f]?\."", """"))"),"")</f>
        <v/>
      </c>
      <c r="H1070" s="172" t="str">
        <f>IFERROR(__xludf.DUMMYFUNCTION("TRIM(REGEXREPLACE(D1070, ""[0-9]+[a-f]?\."", """"))"),"")</f>
        <v/>
      </c>
      <c r="I1070" s="172" t="str">
        <f>IFERROR(__xludf.DUMMYFUNCTION("TRIM(REGEXREPLACE(E1070, ""[0-9]+[a-f]?\."", """"))"),"")</f>
        <v/>
      </c>
      <c r="J1070" s="172" t="str">
        <f t="shared" ref="J1070:L1070" si="172">$F1070&amp;". "&amp;G1070</f>
        <v>648. </v>
      </c>
      <c r="K1070" s="172" t="str">
        <f t="shared" si="172"/>
        <v>648. </v>
      </c>
      <c r="L1070" s="172" t="str">
        <f t="shared" si="172"/>
        <v>648. </v>
      </c>
    </row>
    <row r="1071" hidden="1">
      <c r="A1071" s="188" t="s">
        <v>68</v>
      </c>
      <c r="B1071" s="189" t="s">
        <v>5071</v>
      </c>
      <c r="C1071" s="190"/>
      <c r="D1071" s="190"/>
      <c r="E1071" s="190"/>
      <c r="F1071" s="182">
        <v>575.0</v>
      </c>
      <c r="G1071" s="172" t="str">
        <f>IFERROR(__xludf.DUMMYFUNCTION("TRIM(REGEXREPLACE(C1071, ""[0-9]+[a-f]?\."", """"))"),"")</f>
        <v/>
      </c>
      <c r="H1071" s="172" t="str">
        <f>IFERROR(__xludf.DUMMYFUNCTION("TRIM(REGEXREPLACE(D1071, ""[0-9]+[a-f]?\."", """"))"),"")</f>
        <v/>
      </c>
      <c r="I1071" s="172" t="str">
        <f>IFERROR(__xludf.DUMMYFUNCTION("TRIM(REGEXREPLACE(E1071, ""[0-9]+[a-f]?\."", """"))"),"")</f>
        <v/>
      </c>
      <c r="J1071" s="172" t="s">
        <v>5072</v>
      </c>
      <c r="K1071" s="172" t="s">
        <v>5073</v>
      </c>
      <c r="L1071" s="172" t="s">
        <v>5074</v>
      </c>
    </row>
    <row r="1072">
      <c r="A1072" s="215" t="s">
        <v>353</v>
      </c>
      <c r="B1072" s="216" t="s">
        <v>5075</v>
      </c>
      <c r="C1072" s="216" t="s">
        <v>5076</v>
      </c>
      <c r="D1072" s="216" t="s">
        <v>2007</v>
      </c>
      <c r="E1072" s="216" t="s">
        <v>2008</v>
      </c>
      <c r="F1072" s="182">
        <v>166.0</v>
      </c>
      <c r="G1072" s="172" t="str">
        <f>IFERROR(__xludf.DUMMYFUNCTION("TRIM(REGEXREPLACE(C1072, ""[0-9]+[a-f]?\."", """"))"),"Did you receive payment for working in ${pm_activity_name}?")</f>
        <v>Did you receive payment for working in ${pm_activity_name}?</v>
      </c>
      <c r="H1072" s="172" t="str">
        <f>IFERROR(__xludf.DUMMYFUNCTION("TRIM(REGEXREPLACE(D1072, ""[0-9]+[a-f]?\."", """"))"),"Avez-vous reçu un paiement pour le travail effectué à ${pm_activity_name} ?")</f>
        <v>Avez-vous reçu un paiement pour le travail effectué à ${pm_activity_name} ?</v>
      </c>
      <c r="I1072" s="172" t="str">
        <f>IFERROR(__xludf.DUMMYFUNCTION("TRIM(REGEXREPLACE(E1072, ""[0-9]+[a-f]?\."", """"))"),"An biya ku don aikin da kuka yi a ${pm_activity_name}?")</f>
        <v>An biya ku don aikin da kuka yi a ${pm_activity_name}?</v>
      </c>
      <c r="J1072" s="172" t="str">
        <f t="shared" ref="J1072:L1072" si="173">$F1072 &amp; ". " &amp;G1072</f>
        <v>166. Did you receive payment for working in ${pm_activity_name}?</v>
      </c>
      <c r="K1072" s="172" t="str">
        <f t="shared" si="173"/>
        <v>166. Avez-vous reçu un paiement pour le travail effectué à ${pm_activity_name} ?</v>
      </c>
      <c r="L1072" s="172" t="str">
        <f t="shared" si="173"/>
        <v>166. An biya ku don aikin da kuka yi a ${pm_activity_name}?</v>
      </c>
    </row>
    <row r="1073">
      <c r="A1073" s="215" t="s">
        <v>5080</v>
      </c>
      <c r="B1073" s="216" t="s">
        <v>5081</v>
      </c>
      <c r="C1073" s="216" t="s">
        <v>2011</v>
      </c>
      <c r="D1073" s="216" t="s">
        <v>2012</v>
      </c>
      <c r="E1073" s="216" t="s">
        <v>2013</v>
      </c>
      <c r="F1073" s="182">
        <v>167.0</v>
      </c>
      <c r="G1073" s="172" t="str">
        <f>IFERROR(__xludf.DUMMYFUNCTION("TRIM(REGEXREPLACE(C1073, ""[0-9]+[a-f]?\."", """"))"),"What is the main reason you were not paid for your work in ${pm_activity_name}?")</f>
        <v>What is the main reason you were not paid for your work in ${pm_activity_name}?</v>
      </c>
      <c r="H1073" s="172" t="str">
        <f>IFERROR(__xludf.DUMMYFUNCTION("TRIM(REGEXREPLACE(D1073, ""[0-9]+[a-f]?\."", """"))"),"Quelle est la principale raison pour laquelle vous n'avez pas été payé pour votre travail à ${pm_activity_name} ?")</f>
        <v>Quelle est la principale raison pour laquelle vous n'avez pas été payé pour votre travail à ${pm_activity_name} ?</v>
      </c>
      <c r="I1073" s="172" t="str">
        <f>IFERROR(__xludf.DUMMYFUNCTION("TRIM(REGEXREPLACE(E1073, ""[0-9]+[a-f]?\."", """"))"),"Menene babban dalilin da ya sa ba a biya ku kuɗin aikinku ba a ${pm_activity_name}?")</f>
        <v>Menene babban dalilin da ya sa ba a biya ku kuɗin aikinku ba a ${pm_activity_name}?</v>
      </c>
      <c r="J1073" s="172" t="str">
        <f t="shared" ref="J1073:L1073" si="174">$F1073 &amp; ". " &amp;G1073</f>
        <v>167. What is the main reason you were not paid for your work in ${pm_activity_name}?</v>
      </c>
      <c r="K1073" s="172" t="str">
        <f t="shared" si="174"/>
        <v>167. Quelle est la principale raison pour laquelle vous n'avez pas été payé pour votre travail à ${pm_activity_name} ?</v>
      </c>
      <c r="L1073" s="172" t="str">
        <f t="shared" si="174"/>
        <v>167. Menene babban dalilin da ya sa ba a biya ku kuɗin aikinku ba a ${pm_activity_name}?</v>
      </c>
    </row>
    <row r="1074" hidden="1">
      <c r="B1074" s="260"/>
      <c r="C1074" s="260"/>
      <c r="D1074" s="260"/>
      <c r="E1074" s="260"/>
      <c r="F1074" s="182">
        <v>634.0</v>
      </c>
      <c r="G1074" s="172" t="str">
        <f>IFERROR(__xludf.DUMMYFUNCTION("TRIM(REGEXREPLACE(C1074, ""[0-9]+[a-f]?\."", """"))"),"")</f>
        <v/>
      </c>
      <c r="H1074" s="172" t="str">
        <f>IFERROR(__xludf.DUMMYFUNCTION("TRIM(REGEXREPLACE(D1074, ""[0-9]+[a-f]?\."", """"))"),"")</f>
        <v/>
      </c>
      <c r="I1074" s="172" t="str">
        <f>IFERROR(__xludf.DUMMYFUNCTION("TRIM(REGEXREPLACE(E1074, ""[0-9]+[a-f]?\."", """"))"),"")</f>
        <v/>
      </c>
      <c r="J1074" s="172" t="s">
        <v>5085</v>
      </c>
      <c r="K1074" s="172" t="s">
        <v>5086</v>
      </c>
      <c r="L1074" s="172" t="s">
        <v>5087</v>
      </c>
    </row>
    <row r="1075" hidden="1">
      <c r="B1075" s="260"/>
      <c r="C1075" s="260"/>
      <c r="D1075" s="260"/>
      <c r="E1075" s="260"/>
      <c r="F1075" s="182">
        <v>635.0</v>
      </c>
      <c r="G1075" s="172" t="str">
        <f>IFERROR(__xludf.DUMMYFUNCTION("TRIM(REGEXREPLACE(C1075, ""[0-9]+[a-f]?\."", """"))"),"")</f>
        <v/>
      </c>
      <c r="H1075" s="172" t="str">
        <f>IFERROR(__xludf.DUMMYFUNCTION("TRIM(REGEXREPLACE(D1075, ""[0-9]+[a-f]?\."", """"))"),"")</f>
        <v/>
      </c>
      <c r="I1075" s="172" t="str">
        <f>IFERROR(__xludf.DUMMYFUNCTION("TRIM(REGEXREPLACE(E1075, ""[0-9]+[a-f]?\."", """"))"),"")</f>
        <v/>
      </c>
      <c r="J1075" s="172" t="s">
        <v>5091</v>
      </c>
      <c r="K1075" s="172" t="s">
        <v>5092</v>
      </c>
      <c r="L1075" s="172" t="s">
        <v>5093</v>
      </c>
    </row>
    <row r="1076" hidden="1">
      <c r="B1076" s="260"/>
      <c r="C1076" s="260"/>
      <c r="D1076" s="260"/>
      <c r="E1076" s="260"/>
      <c r="F1076" s="182">
        <v>636.0</v>
      </c>
      <c r="G1076" s="172" t="str">
        <f>IFERROR(__xludf.DUMMYFUNCTION("TRIM(REGEXREPLACE(C1076, ""[0-9]+[a-f]?\."", """"))"),"")</f>
        <v/>
      </c>
      <c r="H1076" s="172" t="str">
        <f>IFERROR(__xludf.DUMMYFUNCTION("TRIM(REGEXREPLACE(D1076, ""[0-9]+[a-f]?\."", """"))"),"")</f>
        <v/>
      </c>
      <c r="I1076" s="172" t="str">
        <f>IFERROR(__xludf.DUMMYFUNCTION("TRIM(REGEXREPLACE(E1076, ""[0-9]+[a-f]?\."", """"))"),"")</f>
        <v/>
      </c>
      <c r="J1076" s="172" t="s">
        <v>5094</v>
      </c>
      <c r="K1076" s="172" t="s">
        <v>5095</v>
      </c>
      <c r="L1076" s="172" t="s">
        <v>5096</v>
      </c>
    </row>
    <row r="1077" hidden="1">
      <c r="F1077" s="182">
        <v>655.0</v>
      </c>
      <c r="G1077" s="172" t="str">
        <f>IFERROR(__xludf.DUMMYFUNCTION("TRIM(REGEXREPLACE(C1077, ""[0-9]+[a-f]?\."", """"))"),"")</f>
        <v/>
      </c>
      <c r="H1077" s="172" t="str">
        <f>IFERROR(__xludf.DUMMYFUNCTION("TRIM(REGEXREPLACE(D1077, ""[0-9]+[a-f]?\."", """"))"),"")</f>
        <v/>
      </c>
      <c r="I1077" s="172" t="str">
        <f>IFERROR(__xludf.DUMMYFUNCTION("TRIM(REGEXREPLACE(E1077, ""[0-9]+[a-f]?\."", """"))"),"")</f>
        <v/>
      </c>
      <c r="J1077" s="172" t="str">
        <f t="shared" ref="J1077:L1077" si="175">$F1077&amp;". "&amp;G1077</f>
        <v>655. </v>
      </c>
      <c r="K1077" s="172" t="str">
        <f t="shared" si="175"/>
        <v>655. </v>
      </c>
      <c r="L1077" s="172" t="str">
        <f t="shared" si="175"/>
        <v>655. </v>
      </c>
    </row>
    <row r="1078" hidden="1">
      <c r="F1078" s="182">
        <v>656.0</v>
      </c>
      <c r="G1078" s="172" t="str">
        <f>IFERROR(__xludf.DUMMYFUNCTION("TRIM(REGEXREPLACE(C1078, ""[0-9]+[a-f]?\."", """"))"),"")</f>
        <v/>
      </c>
      <c r="H1078" s="172" t="str">
        <f>IFERROR(__xludf.DUMMYFUNCTION("TRIM(REGEXREPLACE(D1078, ""[0-9]+[a-f]?\."", """"))"),"")</f>
        <v/>
      </c>
      <c r="I1078" s="172" t="str">
        <f>IFERROR(__xludf.DUMMYFUNCTION("TRIM(REGEXREPLACE(E1078, ""[0-9]+[a-f]?\."", """"))"),"")</f>
        <v/>
      </c>
      <c r="J1078" s="172" t="str">
        <f t="shared" ref="J1078:L1078" si="176">$F1078&amp;". "&amp;G1078</f>
        <v>656. </v>
      </c>
      <c r="K1078" s="172" t="str">
        <f t="shared" si="176"/>
        <v>656. </v>
      </c>
      <c r="L1078" s="172" t="str">
        <f t="shared" si="176"/>
        <v>656. </v>
      </c>
    </row>
    <row r="1079" hidden="1">
      <c r="B1079" s="260"/>
      <c r="C1079" s="260"/>
      <c r="D1079" s="260"/>
      <c r="E1079" s="260"/>
      <c r="F1079" s="182">
        <v>637.0</v>
      </c>
      <c r="G1079" s="172" t="str">
        <f>IFERROR(__xludf.DUMMYFUNCTION("TRIM(REGEXREPLACE(C1079, ""[0-9]+[a-f]?\."", """"))"),"")</f>
        <v/>
      </c>
      <c r="H1079" s="172" t="str">
        <f>IFERROR(__xludf.DUMMYFUNCTION("TRIM(REGEXREPLACE(D1079, ""[0-9]+[a-f]?\."", """"))"),"")</f>
        <v/>
      </c>
      <c r="I1079" s="172" t="str">
        <f>IFERROR(__xludf.DUMMYFUNCTION("TRIM(REGEXREPLACE(E1079, ""[0-9]+[a-f]?\."", """"))"),"")</f>
        <v/>
      </c>
      <c r="J1079" s="172" t="s">
        <v>5099</v>
      </c>
      <c r="K1079" s="172" t="s">
        <v>5100</v>
      </c>
      <c r="L1079" s="172" t="s">
        <v>5101</v>
      </c>
    </row>
    <row r="1080">
      <c r="A1080" s="246" t="s">
        <v>231</v>
      </c>
      <c r="B1080" s="247" t="s">
        <v>5102</v>
      </c>
      <c r="C1080" s="247" t="s">
        <v>2017</v>
      </c>
      <c r="D1080" s="247" t="s">
        <v>2018</v>
      </c>
      <c r="E1080" s="247" t="s">
        <v>2019</v>
      </c>
      <c r="F1080" s="182">
        <v>168.0</v>
      </c>
      <c r="G1080" s="172" t="str">
        <f>IFERROR(__xludf.DUMMYFUNCTION("TRIM(REGEXREPLACE(C1080, ""[0-9]+[a-f]?\."", """"))"),"Specify other:")</f>
        <v>Specify other:</v>
      </c>
      <c r="H1080" s="172" t="str">
        <f>IFERROR(__xludf.DUMMYFUNCTION("TRIM(REGEXREPLACE(D1080, ""[0-9]+[a-f]?\."", """"))"),"Autre à Préciser :")</f>
        <v>Autre à Préciser :</v>
      </c>
      <c r="I1080" s="172" t="str">
        <f>IFERROR(__xludf.DUMMYFUNCTION("TRIM(REGEXREPLACE(E1080, ""[0-9]+[a-f]?\."", """"))"),"Wani daban a bayyana:")</f>
        <v>Wani daban a bayyana:</v>
      </c>
      <c r="J1080" s="172" t="str">
        <f t="shared" ref="J1080:L1080" si="177">$F1080 &amp; ". " &amp;G1080</f>
        <v>168. Specify other:</v>
      </c>
      <c r="K1080" s="172" t="str">
        <f t="shared" si="177"/>
        <v>168. Autre à Préciser :</v>
      </c>
      <c r="L1080" s="172" t="str">
        <f t="shared" si="177"/>
        <v>168. Wani daban a bayyana:</v>
      </c>
    </row>
    <row r="1081" hidden="1">
      <c r="A1081" s="255" t="s">
        <v>1064</v>
      </c>
      <c r="B1081" s="261" t="s">
        <v>5040</v>
      </c>
      <c r="C1081" s="261" t="s">
        <v>5041</v>
      </c>
      <c r="D1081" s="261" t="s">
        <v>5042</v>
      </c>
      <c r="E1081" s="261" t="s">
        <v>5043</v>
      </c>
      <c r="F1081" s="182">
        <v>579.0</v>
      </c>
      <c r="G1081" s="172" t="str">
        <f>IFERROR(__xludf.DUMMYFUNCTION("TRIM(REGEXREPLACE(C1081, ""[0-9]+[a-f]?\."", """"))"),"Activities")</f>
        <v>Activities</v>
      </c>
      <c r="H1081" s="172" t="str">
        <f>IFERROR(__xludf.DUMMYFUNCTION("TRIM(REGEXREPLACE(D1081, ""[0-9]+[a-f]?\."", """"))"),"Activités")</f>
        <v>Activités</v>
      </c>
      <c r="I1081" s="172" t="str">
        <f>IFERROR(__xludf.DUMMYFUNCTION("TRIM(REGEXREPLACE(E1081, ""[0-9]+[a-f]?\."", """"))"),"Ayyuka")</f>
        <v>Ayyuka</v>
      </c>
      <c r="J1081" s="172" t="s">
        <v>5104</v>
      </c>
      <c r="K1081" s="172" t="s">
        <v>5105</v>
      </c>
      <c r="L1081" s="172" t="s">
        <v>5106</v>
      </c>
    </row>
    <row r="1082" hidden="1">
      <c r="A1082" s="188" t="s">
        <v>118</v>
      </c>
      <c r="B1082" s="189" t="s">
        <v>5107</v>
      </c>
      <c r="C1082" s="190"/>
      <c r="D1082" s="190"/>
      <c r="E1082" s="190"/>
      <c r="F1082" s="182">
        <v>580.0</v>
      </c>
      <c r="G1082" s="172" t="str">
        <f>IFERROR(__xludf.DUMMYFUNCTION("TRIM(REGEXREPLACE(C1082, ""[0-9]+[a-f]?\."", """"))"),"")</f>
        <v/>
      </c>
      <c r="H1082" s="172" t="str">
        <f>IFERROR(__xludf.DUMMYFUNCTION("TRIM(REGEXREPLACE(D1082, ""[0-9]+[a-f]?\."", """"))"),"")</f>
        <v/>
      </c>
      <c r="I1082" s="172" t="str">
        <f>IFERROR(__xludf.DUMMYFUNCTION("TRIM(REGEXREPLACE(E1082, ""[0-9]+[a-f]?\."", """"))"),"")</f>
        <v/>
      </c>
      <c r="J1082" s="172" t="s">
        <v>5109</v>
      </c>
      <c r="K1082" s="172" t="s">
        <v>5111</v>
      </c>
      <c r="L1082" s="172" t="s">
        <v>5113</v>
      </c>
    </row>
    <row r="1083" hidden="1">
      <c r="A1083" s="188" t="s">
        <v>68</v>
      </c>
      <c r="B1083" s="189" t="s">
        <v>5114</v>
      </c>
      <c r="C1083" s="190"/>
      <c r="D1083" s="190"/>
      <c r="E1083" s="190"/>
      <c r="F1083" s="182">
        <v>581.0</v>
      </c>
      <c r="G1083" s="172" t="str">
        <f>IFERROR(__xludf.DUMMYFUNCTION("TRIM(REGEXREPLACE(C1083, ""[0-9]+[a-f]?\."", """"))"),"")</f>
        <v/>
      </c>
      <c r="H1083" s="172" t="str">
        <f>IFERROR(__xludf.DUMMYFUNCTION("TRIM(REGEXREPLACE(D1083, ""[0-9]+[a-f]?\."", """"))"),"")</f>
        <v/>
      </c>
      <c r="I1083" s="172" t="str">
        <f>IFERROR(__xludf.DUMMYFUNCTION("TRIM(REGEXREPLACE(E1083, ""[0-9]+[a-f]?\."", """"))"),"")</f>
        <v/>
      </c>
      <c r="J1083" s="172" t="s">
        <v>5115</v>
      </c>
      <c r="K1083" s="172" t="s">
        <v>5116</v>
      </c>
      <c r="L1083" s="172" t="s">
        <v>5117</v>
      </c>
    </row>
    <row r="1084" hidden="1">
      <c r="A1084" s="188" t="s">
        <v>68</v>
      </c>
      <c r="B1084" s="189" t="s">
        <v>5118</v>
      </c>
      <c r="C1084" s="190"/>
      <c r="D1084" s="190"/>
      <c r="E1084" s="190"/>
      <c r="F1084" s="182">
        <v>582.0</v>
      </c>
      <c r="G1084" s="172" t="str">
        <f>IFERROR(__xludf.DUMMYFUNCTION("TRIM(REGEXREPLACE(C1084, ""[0-9]+[a-f]?\."", """"))"),"")</f>
        <v/>
      </c>
      <c r="H1084" s="172" t="str">
        <f>IFERROR(__xludf.DUMMYFUNCTION("TRIM(REGEXREPLACE(D1084, ""[0-9]+[a-f]?\."", """"))"),"")</f>
        <v/>
      </c>
      <c r="I1084" s="172" t="str">
        <f>IFERROR(__xludf.DUMMYFUNCTION("TRIM(REGEXREPLACE(E1084, ""[0-9]+[a-f]?\."", """"))"),"")</f>
        <v/>
      </c>
      <c r="J1084" s="172" t="s">
        <v>5122</v>
      </c>
      <c r="K1084" s="172" t="s">
        <v>5123</v>
      </c>
      <c r="L1084" s="172" t="s">
        <v>5124</v>
      </c>
    </row>
    <row r="1085" hidden="1">
      <c r="A1085" s="188" t="s">
        <v>68</v>
      </c>
      <c r="B1085" s="189" t="s">
        <v>5125</v>
      </c>
      <c r="C1085" s="190"/>
      <c r="D1085" s="190"/>
      <c r="E1085" s="190"/>
      <c r="F1085" s="182">
        <v>583.0</v>
      </c>
      <c r="G1085" s="172" t="str">
        <f>IFERROR(__xludf.DUMMYFUNCTION("TRIM(REGEXREPLACE(C1085, ""[0-9]+[a-f]?\."", """"))"),"")</f>
        <v/>
      </c>
      <c r="H1085" s="172" t="str">
        <f>IFERROR(__xludf.DUMMYFUNCTION("TRIM(REGEXREPLACE(D1085, ""[0-9]+[a-f]?\."", """"))"),"")</f>
        <v/>
      </c>
      <c r="I1085" s="172" t="str">
        <f>IFERROR(__xludf.DUMMYFUNCTION("TRIM(REGEXREPLACE(E1085, ""[0-9]+[a-f]?\."", """"))"),"")</f>
        <v/>
      </c>
      <c r="J1085" s="172" t="s">
        <v>5126</v>
      </c>
      <c r="K1085" s="172" t="s">
        <v>5127</v>
      </c>
      <c r="L1085" s="172" t="s">
        <v>5128</v>
      </c>
    </row>
    <row r="1086" hidden="1">
      <c r="A1086" s="188" t="s">
        <v>68</v>
      </c>
      <c r="B1086" s="189" t="s">
        <v>5131</v>
      </c>
      <c r="C1086" s="190"/>
      <c r="D1086" s="190"/>
      <c r="E1086" s="190"/>
      <c r="F1086" s="182">
        <v>584.0</v>
      </c>
      <c r="G1086" s="172" t="str">
        <f>IFERROR(__xludf.DUMMYFUNCTION("TRIM(REGEXREPLACE(C1086, ""[0-9]+[a-f]?\."", """"))"),"")</f>
        <v/>
      </c>
      <c r="H1086" s="172" t="str">
        <f>IFERROR(__xludf.DUMMYFUNCTION("TRIM(REGEXREPLACE(D1086, ""[0-9]+[a-f]?\."", """"))"),"")</f>
        <v/>
      </c>
      <c r="I1086" s="172" t="str">
        <f>IFERROR(__xludf.DUMMYFUNCTION("TRIM(REGEXREPLACE(E1086, ""[0-9]+[a-f]?\."", """"))"),"")</f>
        <v/>
      </c>
      <c r="J1086" s="172" t="s">
        <v>5133</v>
      </c>
      <c r="K1086" s="172" t="s">
        <v>5134</v>
      </c>
      <c r="L1086" s="172" t="s">
        <v>5135</v>
      </c>
    </row>
    <row r="1087" hidden="1">
      <c r="A1087" s="188" t="s">
        <v>68</v>
      </c>
      <c r="B1087" s="189" t="s">
        <v>5136</v>
      </c>
      <c r="C1087" s="190"/>
      <c r="D1087" s="190"/>
      <c r="E1087" s="190"/>
      <c r="F1087" s="182">
        <v>585.0</v>
      </c>
      <c r="G1087" s="172" t="str">
        <f>IFERROR(__xludf.DUMMYFUNCTION("TRIM(REGEXREPLACE(C1087, ""[0-9]+[a-f]?\."", """"))"),"")</f>
        <v/>
      </c>
      <c r="H1087" s="172" t="str">
        <f>IFERROR(__xludf.DUMMYFUNCTION("TRIM(REGEXREPLACE(D1087, ""[0-9]+[a-f]?\."", """"))"),"")</f>
        <v/>
      </c>
      <c r="I1087" s="172" t="str">
        <f>IFERROR(__xludf.DUMMYFUNCTION("TRIM(REGEXREPLACE(E1087, ""[0-9]+[a-f]?\."", """"))"),"")</f>
        <v/>
      </c>
      <c r="J1087" s="172" t="s">
        <v>5139</v>
      </c>
      <c r="K1087" s="172" t="s">
        <v>5141</v>
      </c>
      <c r="L1087" s="172" t="s">
        <v>5142</v>
      </c>
    </row>
    <row r="1088" hidden="1">
      <c r="A1088" s="188" t="s">
        <v>68</v>
      </c>
      <c r="B1088" s="189" t="s">
        <v>5143</v>
      </c>
      <c r="C1088" s="190"/>
      <c r="D1088" s="190"/>
      <c r="E1088" s="190"/>
      <c r="F1088" s="182">
        <v>586.0</v>
      </c>
      <c r="G1088" s="172" t="str">
        <f>IFERROR(__xludf.DUMMYFUNCTION("TRIM(REGEXREPLACE(C1088, ""[0-9]+[a-f]?\."", """"))"),"")</f>
        <v/>
      </c>
      <c r="H1088" s="172" t="str">
        <f>IFERROR(__xludf.DUMMYFUNCTION("TRIM(REGEXREPLACE(D1088, ""[0-9]+[a-f]?\."", """"))"),"")</f>
        <v/>
      </c>
      <c r="I1088" s="172" t="str">
        <f>IFERROR(__xludf.DUMMYFUNCTION("TRIM(REGEXREPLACE(E1088, ""[0-9]+[a-f]?\."", """"))"),"")</f>
        <v/>
      </c>
      <c r="J1088" s="172" t="s">
        <v>5144</v>
      </c>
      <c r="K1088" s="172" t="s">
        <v>5145</v>
      </c>
      <c r="L1088" s="172" t="s">
        <v>5146</v>
      </c>
    </row>
    <row r="1089" hidden="1">
      <c r="A1089" s="188" t="s">
        <v>118</v>
      </c>
      <c r="B1089" s="189" t="s">
        <v>5147</v>
      </c>
      <c r="C1089" s="190"/>
      <c r="D1089" s="190"/>
      <c r="E1089" s="190"/>
      <c r="F1089" s="182">
        <v>587.0</v>
      </c>
      <c r="G1089" s="172" t="str">
        <f>IFERROR(__xludf.DUMMYFUNCTION("TRIM(REGEXREPLACE(C1089, ""[0-9]+[a-f]?\."", """"))"),"")</f>
        <v/>
      </c>
      <c r="H1089" s="172" t="str">
        <f>IFERROR(__xludf.DUMMYFUNCTION("TRIM(REGEXREPLACE(D1089, ""[0-9]+[a-f]?\."", """"))"),"")</f>
        <v/>
      </c>
      <c r="I1089" s="172" t="str">
        <f>IFERROR(__xludf.DUMMYFUNCTION("TRIM(REGEXREPLACE(E1089, ""[0-9]+[a-f]?\."", """"))"),"")</f>
        <v/>
      </c>
      <c r="J1089" s="172" t="s">
        <v>5151</v>
      </c>
      <c r="K1089" s="172" t="s">
        <v>5152</v>
      </c>
      <c r="L1089" s="172" t="s">
        <v>5153</v>
      </c>
    </row>
    <row r="1090">
      <c r="A1090" s="215" t="s">
        <v>5154</v>
      </c>
      <c r="B1090" s="216" t="s">
        <v>5155</v>
      </c>
      <c r="C1090" s="216" t="s">
        <v>2054</v>
      </c>
      <c r="D1090" s="216" t="s">
        <v>2055</v>
      </c>
      <c r="E1090" s="216" t="s">
        <v>5156</v>
      </c>
      <c r="F1090" s="182">
        <v>169.0</v>
      </c>
      <c r="G1090" s="172" t="str">
        <f>IFERROR(__xludf.DUMMYFUNCTION("TRIM(REGEXREPLACE(C1090, ""[0-9]+[a-f]?\."", """"))"),"Which of these activities was your primary source of income?")</f>
        <v>Which of these activities was your primary source of income?</v>
      </c>
      <c r="H1090" s="172" t="str">
        <f>IFERROR(__xludf.DUMMYFUNCTION("TRIM(REGEXREPLACE(D1090, ""[0-9]+[a-f]?\."", """"))"),"Laquelle de ces activités était votre principale source de revenus ?")</f>
        <v>Laquelle de ces activités était votre principale source de revenus ?</v>
      </c>
      <c r="I1090" s="172" t="str">
        <f>IFERROR(__xludf.DUMMYFUNCTION("TRIM(REGEXREPLACE(E1090, ""[0-9]+[a-f]?\."", """"))"),"Wanne ne daga cikin waɗannan ayyukan tushen samun kuɗin ku?")</f>
        <v>Wanne ne daga cikin waɗannan ayyukan tushen samun kuɗin ku?</v>
      </c>
      <c r="J1090" s="172" t="str">
        <f t="shared" ref="J1090:L1090" si="178">$F1090 &amp; ". " &amp;G1090</f>
        <v>169. Which of these activities was your primary source of income?</v>
      </c>
      <c r="K1090" s="172" t="str">
        <f t="shared" si="178"/>
        <v>169. Laquelle de ces activités était votre principale source de revenus ?</v>
      </c>
      <c r="L1090" s="172" t="str">
        <f t="shared" si="178"/>
        <v>169. Wanne ne daga cikin waɗannan ayyukan tushen samun kuɗin ku?</v>
      </c>
    </row>
    <row r="1091" hidden="1">
      <c r="A1091" s="188" t="s">
        <v>68</v>
      </c>
      <c r="B1091" s="189" t="s">
        <v>5160</v>
      </c>
      <c r="C1091" s="190"/>
      <c r="D1091" s="190"/>
      <c r="E1091" s="190"/>
      <c r="F1091" s="182">
        <v>589.0</v>
      </c>
      <c r="G1091" s="172" t="str">
        <f>IFERROR(__xludf.DUMMYFUNCTION("TRIM(REGEXREPLACE(C1091, ""[0-9]+[a-f]?\."", """"))"),"")</f>
        <v/>
      </c>
      <c r="H1091" s="172" t="str">
        <f>IFERROR(__xludf.DUMMYFUNCTION("TRIM(REGEXREPLACE(D1091, ""[0-9]+[a-f]?\."", """"))"),"")</f>
        <v/>
      </c>
      <c r="I1091" s="172" t="str">
        <f>IFERROR(__xludf.DUMMYFUNCTION("TRIM(REGEXREPLACE(E1091, ""[0-9]+[a-f]?\."", """"))"),"")</f>
        <v/>
      </c>
      <c r="J1091" s="172" t="s">
        <v>5161</v>
      </c>
      <c r="K1091" s="172" t="s">
        <v>5162</v>
      </c>
      <c r="L1091" s="172" t="s">
        <v>5163</v>
      </c>
    </row>
    <row r="1092" hidden="1">
      <c r="A1092" s="188" t="s">
        <v>68</v>
      </c>
      <c r="B1092" s="189" t="s">
        <v>5164</v>
      </c>
      <c r="C1092" s="190"/>
      <c r="D1092" s="190"/>
      <c r="E1092" s="190"/>
      <c r="F1092" s="182">
        <v>590.0</v>
      </c>
      <c r="G1092" s="172" t="str">
        <f>IFERROR(__xludf.DUMMYFUNCTION("TRIM(REGEXREPLACE(C1092, ""[0-9]+[a-f]?\."", """"))"),"")</f>
        <v/>
      </c>
      <c r="H1092" s="172" t="str">
        <f>IFERROR(__xludf.DUMMYFUNCTION("TRIM(REGEXREPLACE(D1092, ""[0-9]+[a-f]?\."", """"))"),"")</f>
        <v/>
      </c>
      <c r="I1092" s="172" t="str">
        <f>IFERROR(__xludf.DUMMYFUNCTION("TRIM(REGEXREPLACE(E1092, ""[0-9]+[a-f]?\."", """"))"),"")</f>
        <v/>
      </c>
      <c r="J1092" s="172" t="s">
        <v>5165</v>
      </c>
      <c r="K1092" s="172" t="s">
        <v>5166</v>
      </c>
      <c r="L1092" s="172" t="s">
        <v>5167</v>
      </c>
    </row>
    <row r="1093" hidden="1">
      <c r="A1093" s="211" t="s">
        <v>107</v>
      </c>
      <c r="B1093" s="212" t="s">
        <v>5168</v>
      </c>
      <c r="C1093" s="212" t="s">
        <v>5169</v>
      </c>
      <c r="D1093" s="212" t="s">
        <v>5170</v>
      </c>
      <c r="E1093" s="212" t="s">
        <v>5171</v>
      </c>
      <c r="F1093" s="182">
        <v>591.0</v>
      </c>
      <c r="G1093" s="172" t="str">
        <f>IFERROR(__xludf.DUMMYFUNCTION("TRIM(REGEXREPLACE(C1093, ""[0-9]+[a-f]?\."", """"))"),"Primary Activity")</f>
        <v>Primary Activity</v>
      </c>
      <c r="H1093" s="172" t="str">
        <f>IFERROR(__xludf.DUMMYFUNCTION("TRIM(REGEXREPLACE(D1093, ""[0-9]+[a-f]?\."", """"))"),"Activité principale")</f>
        <v>Activité principale</v>
      </c>
      <c r="I1093" s="172" t="str">
        <f>IFERROR(__xludf.DUMMYFUNCTION("TRIM(REGEXREPLACE(E1093, ""[0-9]+[a-f]?\."", """"))"),"Muhimmin aiki")</f>
        <v>Muhimmin aiki</v>
      </c>
      <c r="J1093" s="172" t="s">
        <v>5172</v>
      </c>
      <c r="K1093" s="172" t="s">
        <v>5173</v>
      </c>
      <c r="L1093" s="172" t="s">
        <v>5174</v>
      </c>
    </row>
    <row r="1094">
      <c r="A1094" s="253" t="s">
        <v>246</v>
      </c>
      <c r="B1094" s="254" t="s">
        <v>5175</v>
      </c>
      <c r="C1094" s="254" t="s">
        <v>5176</v>
      </c>
      <c r="D1094" s="254" t="s">
        <v>5177</v>
      </c>
      <c r="E1094" s="254" t="s">
        <v>5178</v>
      </c>
      <c r="F1094" s="182">
        <v>170.0</v>
      </c>
      <c r="G1094" s="172" t="str">
        <f>IFERROR(__xludf.DUMMYFUNCTION("TRIM(REGEXREPLACE(C1094, ""[0-9]+[a-f]?\."", """"))"),"In ${pm_location_name}, what is your best estimate of the total number of weeks you worked in ${pm_primary_activity_name} for pay in ${pm_location_period_lab}?")</f>
        <v>In ${pm_location_name}, what is your best estimate of the total number of weeks you worked in ${pm_primary_activity_name} for pay in ${pm_location_period_lab}?</v>
      </c>
      <c r="H1094" s="172" t="str">
        <f>IFERROR(__xludf.DUMMYFUNCTION("TRIM(REGEXREPLACE(D1094, ""[0-9]+[a-f]?\."", """"))"),"À ${pm_location_name}, quelle est votre meilleure estimation du nombre total de semaines pendant lesquelles vous avez travaillé à ${pm_primary_activity_name} contre un salaire entre ${pm_location_period_lab_fr} ?")</f>
        <v>À ${pm_location_name}, quelle est votre meilleure estimation du nombre total de semaines pendant lesquelles vous avez travaillé à ${pm_primary_activity_name} contre un salaire entre ${pm_location_period_lab_fr} ?</v>
      </c>
      <c r="I1094" s="172" t="str">
        <f>IFERROR(__xludf.DUMMYFUNCTION("TRIM(REGEXREPLACE(E1094, ""[0-9]+[a-f]?\."", """"))"),"A ${pm_location_name}, a ganinku nawa ne jimillar satin da kuka yi aiki a ${pm_primary_activity_name} don samun biya a ${pm_location_period_lab_ha}?")</f>
        <v>A ${pm_location_name}, a ganinku nawa ne jimillar satin da kuka yi aiki a ${pm_primary_activity_name} don samun biya a ${pm_location_period_lab_ha}?</v>
      </c>
      <c r="J1094" s="172" t="str">
        <f t="shared" ref="J1094:L1094" si="179">$F1094 &amp; ". " &amp;G1094</f>
        <v>170. In ${pm_location_name}, what is your best estimate of the total number of weeks you worked in ${pm_primary_activity_name} for pay in ${pm_location_period_lab}?</v>
      </c>
      <c r="K1094" s="172" t="str">
        <f t="shared" si="179"/>
        <v>170. À ${pm_location_name}, quelle est votre meilleure estimation du nombre total de semaines pendant lesquelles vous avez travaillé à ${pm_primary_activity_name} contre un salaire entre ${pm_location_period_lab_fr} ?</v>
      </c>
      <c r="L1094" s="172" t="str">
        <f t="shared" si="179"/>
        <v>170. A ${pm_location_name}, a ganinku nawa ne jimillar satin da kuka yi aiki a ${pm_primary_activity_name} don samun biya a ${pm_location_period_lab_ha}?</v>
      </c>
    </row>
    <row r="1095">
      <c r="A1095" s="215" t="s">
        <v>5183</v>
      </c>
      <c r="B1095" s="216" t="s">
        <v>5184</v>
      </c>
      <c r="C1095" s="216" t="s">
        <v>2068</v>
      </c>
      <c r="D1095" s="216" t="s">
        <v>2069</v>
      </c>
      <c r="E1095" s="216" t="s">
        <v>2070</v>
      </c>
      <c r="F1095" s="182">
        <v>171.0</v>
      </c>
      <c r="G1095" s="172" t="str">
        <f>IFERROR(__xludf.DUMMYFUNCTION("TRIM(REGEXREPLACE(C1095, ""[0-9]+[a-f]?\."", """"))"),"For ${pm_primary_activity_name} were you paid in cash or in kind?")</f>
        <v>For ${pm_primary_activity_name} were you paid in cash or in kind?</v>
      </c>
      <c r="H1095" s="172" t="str">
        <f>IFERROR(__xludf.DUMMYFUNCTION("TRIM(REGEXREPLACE(D1095, ""[0-9]+[a-f]?\."", """"))"),"Pour ${pm_primary_activity_name} avez-vous été payé en espèces ou en nature ?")</f>
        <v>Pour ${pm_primary_activity_name} avez-vous été payé en espèces ou en nature ?</v>
      </c>
      <c r="I1095" s="172" t="str">
        <f>IFERROR(__xludf.DUMMYFUNCTION("TRIM(REGEXREPLACE(E1095, ""[0-9]+[a-f]?\."", """"))"),"Don ${pm_primary_activity_name} an biya ku a tsabar kuɗi ko a wani kaya?")</f>
        <v>Don ${pm_primary_activity_name} an biya ku a tsabar kuɗi ko a wani kaya?</v>
      </c>
      <c r="J1095" s="172" t="str">
        <f t="shared" ref="J1095:L1095" si="180">$F1095 &amp; ". " &amp;G1095</f>
        <v>171. For ${pm_primary_activity_name} were you paid in cash or in kind?</v>
      </c>
      <c r="K1095" s="172" t="str">
        <f t="shared" si="180"/>
        <v>171. Pour ${pm_primary_activity_name} avez-vous été payé en espèces ou en nature ?</v>
      </c>
      <c r="L1095" s="172" t="str">
        <f t="shared" si="180"/>
        <v>171. Don ${pm_primary_activity_name} an biya ku a tsabar kuɗi ko a wani kaya?</v>
      </c>
    </row>
    <row r="1096">
      <c r="A1096" s="253" t="s">
        <v>246</v>
      </c>
      <c r="B1096" s="254" t="s">
        <v>5188</v>
      </c>
      <c r="C1096" s="254" t="s">
        <v>2074</v>
      </c>
      <c r="D1096" s="254" t="s">
        <v>2075</v>
      </c>
      <c r="E1096" s="254" t="s">
        <v>2076</v>
      </c>
      <c r="F1096" s="182">
        <v>172.0</v>
      </c>
      <c r="G1096" s="172" t="str">
        <f>IFERROR(__xludf.DUMMYFUNCTION("TRIM(REGEXREPLACE(C1096, ""[0-9]+[a-f]?\."", """"))"),"Approximately how much did you earn each week from ${pm_primary_activity_name} in ${pm_location_name} in cash (in CFA)?")</f>
        <v>Approximately how much did you earn each week from ${pm_primary_activity_name} in ${pm_location_name} in cash (in CFA)?</v>
      </c>
      <c r="H1096" s="172" t="str">
        <f>IFERROR(__xludf.DUMMYFUNCTION("TRIM(REGEXREPLACE(D1096, ""[0-9]+[a-f]?\."", """"))"),"Environ combien avez-vous gagné chaque semaine grâce à ${pm_primary_activity_name} à ${pm_location_name} (en CFA)?")</f>
        <v>Environ combien avez-vous gagné chaque semaine grâce à ${pm_primary_activity_name} à ${pm_location_name} (en CFA)?</v>
      </c>
      <c r="I1096" s="172" t="str">
        <f>IFERROR(__xludf.DUMMYFUNCTION("TRIM(REGEXREPLACE(E1096, ""[0-9]+[a-f]?\."", """"))"),"Kimanin nawa kuke samu kowane sati don ${pm_primary_activity_name} a ${pm_location_name} (in CFA)?")</f>
        <v>Kimanin nawa kuke samu kowane sati don ${pm_primary_activity_name} a ${pm_location_name} (in CFA)?</v>
      </c>
      <c r="J1096" s="172" t="str">
        <f t="shared" ref="J1096:L1096" si="181">$F1096 &amp; ". " &amp;G1096</f>
        <v>172. Approximately how much did you earn each week from ${pm_primary_activity_name} in ${pm_location_name} in cash (in CFA)?</v>
      </c>
      <c r="K1096" s="172" t="str">
        <f t="shared" si="181"/>
        <v>172. Environ combien avez-vous gagné chaque semaine grâce à ${pm_primary_activity_name} à ${pm_location_name} (en CFA)?</v>
      </c>
      <c r="L1096" s="172" t="str">
        <f t="shared" si="181"/>
        <v>172. Kimanin nawa kuke samu kowane sati don ${pm_primary_activity_name} a ${pm_location_name} (in CFA)?</v>
      </c>
    </row>
    <row r="1097">
      <c r="A1097" s="253" t="s">
        <v>246</v>
      </c>
      <c r="B1097" s="254" t="s">
        <v>5191</v>
      </c>
      <c r="C1097" s="254" t="s">
        <v>2080</v>
      </c>
      <c r="D1097" s="254" t="s">
        <v>2081</v>
      </c>
      <c r="E1097" s="254" t="s">
        <v>5193</v>
      </c>
      <c r="F1097" s="182">
        <v>173.0</v>
      </c>
      <c r="G1097" s="172" t="str">
        <f>IFERROR(__xludf.DUMMYFUNCTION("TRIM(REGEXREPLACE(C1097, ""[0-9]+[a-f]?\."", """"))"),"Approximately what was the value of the in-kind payments for ${pm_primary_activity_name} in ${pm_location_name} (in CFA)?")</f>
        <v>Approximately what was the value of the in-kind payments for ${pm_primary_activity_name} in ${pm_location_name} (in CFA)?</v>
      </c>
      <c r="H1097" s="172" t="str">
        <f>IFERROR(__xludf.DUMMYFUNCTION("TRIM(REGEXREPLACE(D1097, ""[0-9]+[a-f]?\."", """"))"),"Quelle était la valeur approximative des paiements en nature pour le ${pm_primary_activity_name} à ${pm_location_name} (en CFA) ?")</f>
        <v>Quelle était la valeur approximative des paiements en nature pour le ${pm_primary_activity_name} à ${pm_location_name} (en CFA) ?</v>
      </c>
      <c r="I1097" s="172" t="str">
        <f>IFERROR(__xludf.DUMMYFUNCTION("TRIM(REGEXREPLACE(E1097, ""[0-9]+[a-f]?\."", """"))"),"Menene kimanin farashin kayan da aka biya ku ${pm_primary_activity_name} a ${pm_location_name} (a CFA)?")</f>
        <v>Menene kimanin farashin kayan da aka biya ku ${pm_primary_activity_name} a ${pm_location_name} (a CFA)?</v>
      </c>
      <c r="J1097" s="172" t="str">
        <f t="shared" ref="J1097:L1097" si="182">$F1097 &amp; ". " &amp;G1097</f>
        <v>173. Approximately what was the value of the in-kind payments for ${pm_primary_activity_name} in ${pm_location_name} (in CFA)?</v>
      </c>
      <c r="K1097" s="172" t="str">
        <f t="shared" si="182"/>
        <v>173. Quelle était la valeur approximative des paiements en nature pour le ${pm_primary_activity_name} à ${pm_location_name} (en CFA) ?</v>
      </c>
      <c r="L1097" s="172" t="str">
        <f t="shared" si="182"/>
        <v>173. Menene kimanin farashin kayan da aka biya ku ${pm_primary_activity_name} a ${pm_location_name} (a CFA)?</v>
      </c>
    </row>
    <row r="1098">
      <c r="A1098" s="215" t="s">
        <v>5194</v>
      </c>
      <c r="B1098" s="216" t="s">
        <v>5195</v>
      </c>
      <c r="C1098" s="216" t="s">
        <v>2084</v>
      </c>
      <c r="D1098" s="216" t="s">
        <v>2086</v>
      </c>
      <c r="E1098" s="216" t="s">
        <v>2088</v>
      </c>
      <c r="F1098" s="182">
        <v>174.0</v>
      </c>
      <c r="G1098" s="172" t="str">
        <f>IFERROR(__xludf.DUMMYFUNCTION("TRIM(REGEXREPLACE(C1098, ""[0-9]+[a-f]?\."", """"))"),"For ${pm_primary_activity_name} in ${pm_location_name}, were you employed self-employed, employed by another individual, employed by private business, or employed by public sector?")</f>
        <v>For ${pm_primary_activity_name} in ${pm_location_name}, were you employed self-employed, employed by another individual, employed by private business, or employed by public sector?</v>
      </c>
      <c r="H1098" s="172" t="str">
        <f>IFERROR(__xludf.DUMMYFUNCTION("TRIM(REGEXREPLACE(D1098, ""[0-9]+[a-f]?\."", """"))"),"Pour ${pm_primary_activity_name} à ${pm_location_name}, étiez-vous employé à votre compte, employé par une autre personne, employé par une entreprise privée ou employé par le secteur public ?")</f>
        <v>Pour ${pm_primary_activity_name} à ${pm_location_name}, étiez-vous employé à votre compte, employé par une autre personne, employé par une entreprise privée ou employé par le secteur public ?</v>
      </c>
      <c r="I1098" s="172" t="str">
        <f>IFERROR(__xludf.DUMMYFUNCTION("TRIM(REGEXREPLACE(E1098, ""[0-9]+[a-f]?\."", """"))"),"Domin ${pm_primary_activity_name} da kuka yi a ${pm_location_name}, ko kuna aikin kanku ne, ko wani mutum kuke yi wa aiki, ko wani kampani mai zaman kanshi kuke yi wa aikin, ko kuma aikin gwanati ne?")</f>
        <v>Domin ${pm_primary_activity_name} da kuka yi a ${pm_location_name}, ko kuna aikin kanku ne, ko wani mutum kuke yi wa aiki, ko wani kampani mai zaman kanshi kuke yi wa aikin, ko kuma aikin gwanati ne?</v>
      </c>
      <c r="J1098" s="172" t="str">
        <f t="shared" ref="J1098:L1098" si="183">$F1098 &amp; ". " &amp;G1098</f>
        <v>174. For ${pm_primary_activity_name} in ${pm_location_name}, were you employed self-employed, employed by another individual, employed by private business, or employed by public sector?</v>
      </c>
      <c r="K1098" s="172" t="str">
        <f t="shared" si="183"/>
        <v>174. Pour ${pm_primary_activity_name} à ${pm_location_name}, étiez-vous employé à votre compte, employé par une autre personne, employé par une entreprise privée ou employé par le secteur public ?</v>
      </c>
      <c r="L1098" s="172" t="str">
        <f t="shared" si="183"/>
        <v>174. Domin ${pm_primary_activity_name} da kuka yi a ${pm_location_name}, ko kuna aikin kanku ne, ko wani mutum kuke yi wa aiki, ko wani kampani mai zaman kanshi kuke yi wa aikin, ko kuma aikin gwanati ne?</v>
      </c>
    </row>
    <row r="1099">
      <c r="A1099" s="215" t="s">
        <v>5199</v>
      </c>
      <c r="B1099" s="216" t="s">
        <v>5200</v>
      </c>
      <c r="C1099" s="216" t="s">
        <v>2091</v>
      </c>
      <c r="D1099" s="216" t="s">
        <v>2092</v>
      </c>
      <c r="E1099" s="216" t="s">
        <v>2093</v>
      </c>
      <c r="F1099" s="182">
        <v>175.0</v>
      </c>
      <c r="G1099" s="172" t="str">
        <f>IFERROR(__xludf.DUMMYFUNCTION("TRIM(REGEXREPLACE(C1099, ""[0-9]+[a-f]?\."", """"))"),"For ${pm_primary_activity_name} in ${pm_location_name}, did you receive any other benefits, such as housing or food allowance as compensation for your labor? Enumerator: code all that apply")</f>
        <v>For ${pm_primary_activity_name} in ${pm_location_name}, did you receive any other benefits, such as housing or food allowance as compensation for your labor? Enumerator: code all that apply</v>
      </c>
      <c r="H1099" s="172" t="str">
        <f>IFERROR(__xludf.DUMMYFUNCTION("TRIM(REGEXREPLACE(D1099, ""[0-9]+[a-f]?\."", """"))"),"Pour ${pm_primary_activity_name} à ${pm_location_name}, avez-vous reçu d'autres avantages, tels qu'une allocation de logement ou de nourriture en compensation de votre travail ? enquêteur : codez tout ce qui s'applique")</f>
        <v>Pour ${pm_primary_activity_name} à ${pm_location_name}, avez-vous reçu d'autres avantages, tels qu'une allocation de logement ou de nourriture en compensation de votre travail ? enquêteur : codez tout ce qui s'applique</v>
      </c>
      <c r="I1099" s="172" t="str">
        <f>IFERROR(__xludf.DUMMYFUNCTION("TRIM(REGEXREPLACE(E1099, ""[0-9]+[a-f]?\."", """"))"),"Don ${pm_primary_activity_name} a ${pm_location_name}, kun samu wasu fa'idodi, kamar alawus na gidaje ko abinci a matsayin diyya na aikinku? Ɗan bincike: sanya lambar da ta yi daidai")</f>
        <v>Don ${pm_primary_activity_name} a ${pm_location_name}, kun samu wasu fa'idodi, kamar alawus na gidaje ko abinci a matsayin diyya na aikinku? Ɗan bincike: sanya lambar da ta yi daidai</v>
      </c>
      <c r="J1099" s="172" t="str">
        <f t="shared" ref="J1099:L1099" si="184">$F1099 &amp; ". " &amp;G1099</f>
        <v>175. For ${pm_primary_activity_name} in ${pm_location_name}, did you receive any other benefits, such as housing or food allowance as compensation for your labor? Enumerator: code all that apply</v>
      </c>
      <c r="K1099" s="172" t="str">
        <f t="shared" si="184"/>
        <v>175. Pour ${pm_primary_activity_name} à ${pm_location_name}, avez-vous reçu d'autres avantages, tels qu'une allocation de logement ou de nourriture en compensation de votre travail ? enquêteur : codez tout ce qui s'applique</v>
      </c>
      <c r="L1099" s="172" t="str">
        <f t="shared" si="184"/>
        <v>175. Don ${pm_primary_activity_name} a ${pm_location_name}, kun samu wasu fa'idodi, kamar alawus na gidaje ko abinci a matsayin diyya na aikinku? Ɗan bincike: sanya lambar da ta yi daidai</v>
      </c>
    </row>
    <row r="1100">
      <c r="A1100" s="246" t="s">
        <v>231</v>
      </c>
      <c r="B1100" s="247" t="s">
        <v>5204</v>
      </c>
      <c r="C1100" s="247" t="s">
        <v>2095</v>
      </c>
      <c r="D1100" s="247" t="s">
        <v>2096</v>
      </c>
      <c r="E1100" s="247" t="s">
        <v>2097</v>
      </c>
      <c r="F1100" s="182">
        <v>176.0</v>
      </c>
      <c r="G1100" s="172" t="str">
        <f>IFERROR(__xludf.DUMMYFUNCTION("TRIM(REGEXREPLACE(C1100, ""[0-9]+[a-f]?\."", """"))"),"Specify other")</f>
        <v>Specify other</v>
      </c>
      <c r="H1100" s="172" t="str">
        <f>IFERROR(__xludf.DUMMYFUNCTION("TRIM(REGEXREPLACE(D1100, ""[0-9]+[a-f]?\."", """"))"),"Autre à préciser")</f>
        <v>Autre à préciser</v>
      </c>
      <c r="I1100" s="172" t="str">
        <f>IFERROR(__xludf.DUMMYFUNCTION("TRIM(REGEXREPLACE(E1100, ""[0-9]+[a-f]?\."", """"))"),"Wani daban a bayyana")</f>
        <v>Wani daban a bayyana</v>
      </c>
      <c r="J1100" s="172" t="str">
        <f t="shared" ref="J1100:L1100" si="185">$F1100 &amp; ". " &amp;G1100</f>
        <v>176. Specify other</v>
      </c>
      <c r="K1100" s="172" t="str">
        <f t="shared" si="185"/>
        <v>176. Autre à préciser</v>
      </c>
      <c r="L1100" s="172" t="str">
        <f t="shared" si="185"/>
        <v>176. Wani daban a bayyana</v>
      </c>
    </row>
    <row r="1101">
      <c r="A1101" s="253" t="s">
        <v>246</v>
      </c>
      <c r="B1101" s="254" t="s">
        <v>5208</v>
      </c>
      <c r="C1101" s="254" t="s">
        <v>2102</v>
      </c>
      <c r="D1101" s="254" t="s">
        <v>2103</v>
      </c>
      <c r="E1101" s="254" t="s">
        <v>2104</v>
      </c>
      <c r="F1101" s="182">
        <v>177.0</v>
      </c>
      <c r="G1101" s="172" t="str">
        <f>IFERROR(__xludf.DUMMYFUNCTION("TRIM(REGEXREPLACE(C1101, ""[0-9]+[a-f]?\."", """"))"),"What is the weekly value in CFA of the payment you received in kind for housing from working in ${pm_primary_activity_name}?")</f>
        <v>What is the weekly value in CFA of the payment you received in kind for housing from working in ${pm_primary_activity_name}?</v>
      </c>
      <c r="H1101" s="172" t="str">
        <f>IFERROR(__xludf.DUMMYFUNCTION("TRIM(REGEXREPLACE(D1101, ""[0-9]+[a-f]?\."", """"))"),"Quelle est la valeur hebdomadaire en CFA du paiement en nature que vous avez reçu pour le logement en travaillant à ${pm_primary_activity_name} ?")</f>
        <v>Quelle est la valeur hebdomadaire en CFA du paiement en nature que vous avez reçu pour le logement en travaillant à ${pm_primary_activity_name} ?</v>
      </c>
      <c r="I1101" s="172" t="str">
        <f>IFERROR(__xludf.DUMMYFUNCTION("TRIM(REGEXREPLACE(E1101, ""[0-9]+[a-f]?\."", """"))"),"Nawa kimar biyan da kuka samu a kowane sati na gidan haya don aikin ${pm_primary_activity_name} da kuka yi?")</f>
        <v>Nawa kimar biyan da kuka samu a kowane sati na gidan haya don aikin ${pm_primary_activity_name} da kuka yi?</v>
      </c>
      <c r="J1101" s="172" t="str">
        <f t="shared" ref="J1101:L1101" si="186">$F1101 &amp; ". " &amp;G1101</f>
        <v>177. What is the weekly value in CFA of the payment you received in kind for housing from working in ${pm_primary_activity_name}?</v>
      </c>
      <c r="K1101" s="172" t="str">
        <f t="shared" si="186"/>
        <v>177. Quelle est la valeur hebdomadaire en CFA du paiement en nature que vous avez reçu pour le logement en travaillant à ${pm_primary_activity_name} ?</v>
      </c>
      <c r="L1101" s="172" t="str">
        <f t="shared" si="186"/>
        <v>177. Nawa kimar biyan da kuka samu a kowane sati na gidan haya don aikin ${pm_primary_activity_name} da kuka yi?</v>
      </c>
    </row>
    <row r="1102">
      <c r="A1102" s="253" t="s">
        <v>246</v>
      </c>
      <c r="B1102" s="254" t="s">
        <v>5212</v>
      </c>
      <c r="C1102" s="254" t="s">
        <v>2106</v>
      </c>
      <c r="D1102" s="254" t="s">
        <v>2107</v>
      </c>
      <c r="E1102" s="254" t="s">
        <v>2108</v>
      </c>
      <c r="F1102" s="182">
        <v>178.0</v>
      </c>
      <c r="G1102" s="172" t="str">
        <f>IFERROR(__xludf.DUMMYFUNCTION("TRIM(REGEXREPLACE(C1102, ""[0-9]+[a-f]?\."", """"))"),"What is the weekly value in CFA of the payment you received in kind for food from working in ${pm_primary_activity_name}?")</f>
        <v>What is the weekly value in CFA of the payment you received in kind for food from working in ${pm_primary_activity_name}?</v>
      </c>
      <c r="H1102" s="172" t="str">
        <f>IFERROR(__xludf.DUMMYFUNCTION("TRIM(REGEXREPLACE(D1102, ""[0-9]+[a-f]?\."", """"))"),"Quelle est la valeur hebdomadaire en CFA du paiement en nature que vous avez reçu pour la nourriture en travaillant à ${pm_primary_activity_name} ?")</f>
        <v>Quelle est la valeur hebdomadaire en CFA du paiement en nature que vous avez reçu pour la nourriture en travaillant à ${pm_primary_activity_name} ?</v>
      </c>
      <c r="I1102" s="172" t="str">
        <f>IFERROR(__xludf.DUMMYFUNCTION("TRIM(REGEXREPLACE(E1102, ""[0-9]+[a-f]?\."", """"))"),"Nawa kimar biyan da kuka samu na abinci a kowane sati don aikin ${pm_primary_activity_name} da kuka yi?")</f>
        <v>Nawa kimar biyan da kuka samu na abinci a kowane sati don aikin ${pm_primary_activity_name} da kuka yi?</v>
      </c>
      <c r="J1102" s="172" t="str">
        <f t="shared" ref="J1102:L1102" si="187">$F1102 &amp; ". " &amp;G1102</f>
        <v>178. What is the weekly value in CFA of the payment you received in kind for food from working in ${pm_primary_activity_name}?</v>
      </c>
      <c r="K1102" s="172" t="str">
        <f t="shared" si="187"/>
        <v>178. Quelle est la valeur hebdomadaire en CFA du paiement en nature que vous avez reçu pour la nourriture en travaillant à ${pm_primary_activity_name} ?</v>
      </c>
      <c r="L1102" s="172" t="str">
        <f t="shared" si="187"/>
        <v>178. Nawa kimar biyan da kuka samu na abinci a kowane sati don aikin ${pm_primary_activity_name} da kuka yi?</v>
      </c>
    </row>
    <row r="1103">
      <c r="A1103" s="253" t="s">
        <v>246</v>
      </c>
      <c r="B1103" s="254" t="s">
        <v>5213</v>
      </c>
      <c r="C1103" s="254" t="s">
        <v>2112</v>
      </c>
      <c r="D1103" s="254" t="s">
        <v>2114</v>
      </c>
      <c r="E1103" s="254" t="s">
        <v>2115</v>
      </c>
      <c r="F1103" s="182">
        <v>179.0</v>
      </c>
      <c r="G1103" s="172" t="str">
        <f>IFERROR(__xludf.DUMMYFUNCTION("TRIM(REGEXREPLACE(C1103, ""[0-9]+[a-f]?\."", """"))"),"What is the weekly value in CFA of the payment you received in kind for phone credit from working in ${pm_primary_activity_name}?")</f>
        <v>What is the weekly value in CFA of the payment you received in kind for phone credit from working in ${pm_primary_activity_name}?</v>
      </c>
      <c r="H1103" s="172" t="str">
        <f>IFERROR(__xludf.DUMMYFUNCTION("TRIM(REGEXREPLACE(D1103, ""[0-9]+[a-f]?\."", """"))"),"Quelle est la valeur hebdomadaire en CFA du paiement que vous avez reçu en nature pour le crédit téléphonique en travaillant à ${pm_primary_activity_name} ?")</f>
        <v>Quelle est la valeur hebdomadaire en CFA du paiement que vous avez reçu en nature pour le crédit téléphonique en travaillant à ${pm_primary_activity_name} ?</v>
      </c>
      <c r="I1103" s="172" t="str">
        <f>IFERROR(__xludf.DUMMYFUNCTION("TRIM(REGEXREPLACE(E1103, ""[0-9]+[a-f]?\."", """"))"),"Nawa ne kimar biyan da kuka samu na kiredi a kowane sati don aikin ${pm_primary_activity_name} da kuka yi?")</f>
        <v>Nawa ne kimar biyan da kuka samu na kiredi a kowane sati don aikin ${pm_primary_activity_name} da kuka yi?</v>
      </c>
      <c r="J1103" s="172" t="str">
        <f t="shared" ref="J1103:L1103" si="188">$F1103 &amp; ". " &amp;G1103</f>
        <v>179. What is the weekly value in CFA of the payment you received in kind for phone credit from working in ${pm_primary_activity_name}?</v>
      </c>
      <c r="K1103" s="172" t="str">
        <f t="shared" si="188"/>
        <v>179. Quelle est la valeur hebdomadaire en CFA du paiement que vous avez reçu en nature pour le crédit téléphonique en travaillant à ${pm_primary_activity_name} ?</v>
      </c>
      <c r="L1103" s="172" t="str">
        <f t="shared" si="188"/>
        <v>179. Nawa ne kimar biyan da kuka samu na kiredi a kowane sati don aikin ${pm_primary_activity_name} da kuka yi?</v>
      </c>
    </row>
    <row r="1104">
      <c r="A1104" s="253" t="s">
        <v>246</v>
      </c>
      <c r="B1104" s="254" t="s">
        <v>5217</v>
      </c>
      <c r="C1104" s="254" t="s">
        <v>2117</v>
      </c>
      <c r="D1104" s="254" t="s">
        <v>2118</v>
      </c>
      <c r="E1104" s="254" t="s">
        <v>2119</v>
      </c>
      <c r="F1104" s="182">
        <v>180.0</v>
      </c>
      <c r="G1104" s="172" t="str">
        <f>IFERROR(__xludf.DUMMYFUNCTION("TRIM(REGEXREPLACE(C1104, ""[0-9]+[a-f]?\."", """"))"),"What is the weekly value in CFA of the payment you received in kind for all other benefits from working in ${pm_primary_activity_name}?")</f>
        <v>What is the weekly value in CFA of the payment you received in kind for all other benefits from working in ${pm_primary_activity_name}?</v>
      </c>
      <c r="H1104" s="172" t="str">
        <f>IFERROR(__xludf.DUMMYFUNCTION("TRIM(REGEXREPLACE(D1104, ""[0-9]+[a-f]?\."", """"))"),"Quelle est la valeur hebdomadaire en CFA du paiement que vous avez reçu en nature pour tous les autres avantages liés au travail à ${pm_primary_activity_name} ?")</f>
        <v>Quelle est la valeur hebdomadaire en CFA du paiement que vous avez reçu en nature pour tous les autres avantages liés au travail à ${pm_primary_activity_name} ?</v>
      </c>
      <c r="I1104" s="172" t="str">
        <f>IFERROR(__xludf.DUMMYFUNCTION("TRIM(REGEXREPLACE(E1104, ""[0-9]+[a-f]?\."", """"))"),"Nawa kimar biyan da kuka samu na wasu fa'idodi da kuka samu a kan aikin ${pm_primary_activity_name}da kuka yi?")</f>
        <v>Nawa kimar biyan da kuka samu na wasu fa'idodi da kuka samu a kan aikin ${pm_primary_activity_name}da kuka yi?</v>
      </c>
      <c r="J1104" s="172" t="str">
        <f t="shared" ref="J1104:L1104" si="189">$F1104 &amp; ". " &amp;G1104</f>
        <v>180. What is the weekly value in CFA of the payment you received in kind for all other benefits from working in ${pm_primary_activity_name}?</v>
      </c>
      <c r="K1104" s="172" t="str">
        <f t="shared" si="189"/>
        <v>180. Quelle est la valeur hebdomadaire en CFA du paiement que vous avez reçu en nature pour tous les autres avantages liés au travail à ${pm_primary_activity_name} ?</v>
      </c>
      <c r="L1104" s="172" t="str">
        <f t="shared" si="189"/>
        <v>180. Nawa kimar biyan da kuka samu na wasu fa'idodi da kuka samu a kan aikin ${pm_primary_activity_name}da kuka yi?</v>
      </c>
    </row>
    <row r="1105">
      <c r="A1105" s="215" t="s">
        <v>353</v>
      </c>
      <c r="B1105" s="216" t="s">
        <v>5221</v>
      </c>
      <c r="C1105" s="216" t="s">
        <v>2124</v>
      </c>
      <c r="D1105" s="216" t="s">
        <v>2125</v>
      </c>
      <c r="E1105" s="216" t="s">
        <v>2126</v>
      </c>
      <c r="F1105" s="182">
        <v>181.0</v>
      </c>
      <c r="G1105" s="172" t="str">
        <f>IFERROR(__xludf.DUMMYFUNCTION("TRIM(REGEXREPLACE(C1105, ""[0-9]+[a-f]?\."", """"))"),"For ${pm_primary_activity_name} in ${pm_location_name}, did your employer deduct any expenses from your earnings before paying you? Some examples of deductions are the cost of supplies or food that the employer provides to you.")</f>
        <v>For ${pm_primary_activity_name} in ${pm_location_name}, did your employer deduct any expenses from your earnings before paying you? Some examples of deductions are the cost of supplies or food that the employer provides to you.</v>
      </c>
      <c r="H1105" s="172" t="str">
        <f>IFERROR(__xludf.DUMMYFUNCTION("TRIM(REGEXREPLACE(D1105, ""[0-9]+[a-f]?\."", """"))"),"Pour ${pm_primary_activity_name} à ${pm_location_name}, votre employeur a-t-il déduit des dépenses de vos revenus avant de vous payer ? Quelques exemples de déductions sont le coût des fournitures ou de la nourriture que l'employeur vous fournit.")</f>
        <v>Pour ${pm_primary_activity_name} à ${pm_location_name}, votre employeur a-t-il déduit des dépenses de vos revenus avant de vous payer ? Quelques exemples de déductions sont le coût des fournitures ou de la nourriture que l'employeur vous fournit.</v>
      </c>
      <c r="I1105" s="172" t="str">
        <f>IFERROR(__xludf.DUMMYFUNCTION("TRIM(REGEXREPLACE(E1105, ""[0-9]+[a-f]?\."", """"))"),"Don ${pm_primary_activity_name} a cikin ${pm_location_name}, ko mai gidanku ya cire wani sashen kuɗin daga abin da kuka samu kafin ya biya ku? Kamar kuɗin wasu kayayyaki ko abincin da mai gida ke baku.")</f>
        <v>Don ${pm_primary_activity_name} a cikin ${pm_location_name}, ko mai gidanku ya cire wani sashen kuɗin daga abin da kuka samu kafin ya biya ku? Kamar kuɗin wasu kayayyaki ko abincin da mai gida ke baku.</v>
      </c>
      <c r="J1105" s="172" t="str">
        <f t="shared" ref="J1105:L1105" si="190">$F1105 &amp; ". " &amp;G1105</f>
        <v>181. For ${pm_primary_activity_name} in ${pm_location_name}, did your employer deduct any expenses from your earnings before paying you? Some examples of deductions are the cost of supplies or food that the employer provides to you.</v>
      </c>
      <c r="K1105" s="172" t="str">
        <f t="shared" si="190"/>
        <v>181. Pour ${pm_primary_activity_name} à ${pm_location_name}, votre employeur a-t-il déduit des dépenses de vos revenus avant de vous payer ? Quelques exemples de déductions sont le coût des fournitures ou de la nourriture que l'employeur vous fournit.</v>
      </c>
      <c r="L1105" s="172" t="str">
        <f t="shared" si="190"/>
        <v>181. Don ${pm_primary_activity_name} a cikin ${pm_location_name}, ko mai gidanku ya cire wani sashen kuɗin daga abin da kuka samu kafin ya biya ku? Kamar kuɗin wasu kayayyaki ko abincin da mai gida ke baku.</v>
      </c>
    </row>
    <row r="1106">
      <c r="A1106" s="253" t="s">
        <v>246</v>
      </c>
      <c r="B1106" s="254" t="s">
        <v>5225</v>
      </c>
      <c r="C1106" s="254" t="s">
        <v>2128</v>
      </c>
      <c r="D1106" s="254" t="s">
        <v>2129</v>
      </c>
      <c r="E1106" s="254" t="s">
        <v>2130</v>
      </c>
      <c r="F1106" s="182">
        <v>182.0</v>
      </c>
      <c r="G1106" s="172" t="str">
        <f>IFERROR(__xludf.DUMMYFUNCTION("TRIM(REGEXREPLACE(C1106, ""[0-9]+[a-f]?\."", """"))"),"What is the weekly value in CFA that your employer deducted from your earnings?")</f>
        <v>What is the weekly value in CFA that your employer deducted from your earnings?</v>
      </c>
      <c r="H1106" s="172" t="str">
        <f>IFERROR(__xludf.DUMMYFUNCTION("TRIM(REGEXREPLACE(D1106, ""[0-9]+[a-f]?\."", """"))"),"Quelle est la valeur hebdomadaire en CFA que votre employeur a déduit de vos revenus ?")</f>
        <v>Quelle est la valeur hebdomadaire en CFA que votre employeur a déduit de vos revenus ?</v>
      </c>
      <c r="I1106" s="172" t="str">
        <f>IFERROR(__xludf.DUMMYFUNCTION("TRIM(REGEXREPLACE(E1106, ""[0-9]+[a-f]?\."", """"))"),"Nawa ne kimar kuɗin da mai gidanku ya cira a cikin kuɗinku da kuka samu?")</f>
        <v>Nawa ne kimar kuɗin da mai gidanku ya cira a cikin kuɗinku da kuka samu?</v>
      </c>
      <c r="J1106" s="172" t="str">
        <f t="shared" ref="J1106:L1106" si="191">$F1106 &amp; ". " &amp;G1106</f>
        <v>182. What is the weekly value in CFA that your employer deducted from your earnings?</v>
      </c>
      <c r="K1106" s="172" t="str">
        <f t="shared" si="191"/>
        <v>182. Quelle est la valeur hebdomadaire en CFA que votre employeur a déduit de vos revenus ?</v>
      </c>
      <c r="L1106" s="172" t="str">
        <f t="shared" si="191"/>
        <v>182. Nawa ne kimar kuɗin da mai gidanku ya cira a cikin kuɗinku da kuka samu?</v>
      </c>
    </row>
    <row r="1107" hidden="1">
      <c r="A1107" s="188" t="s">
        <v>68</v>
      </c>
      <c r="B1107" s="189" t="s">
        <v>5229</v>
      </c>
      <c r="C1107" s="190"/>
      <c r="D1107" s="190"/>
      <c r="E1107" s="190"/>
      <c r="F1107" s="182">
        <v>605.0</v>
      </c>
      <c r="G1107" s="172" t="str">
        <f>IFERROR(__xludf.DUMMYFUNCTION("TRIM(REGEXREPLACE(C1107, ""[0-9]+[a-f]?\."", """"))"),"")</f>
        <v/>
      </c>
      <c r="H1107" s="172" t="str">
        <f>IFERROR(__xludf.DUMMYFUNCTION("TRIM(REGEXREPLACE(D1107, ""[0-9]+[a-f]?\."", """"))"),"")</f>
        <v/>
      </c>
      <c r="I1107" s="172" t="str">
        <f>IFERROR(__xludf.DUMMYFUNCTION("TRIM(REGEXREPLACE(E1107, ""[0-9]+[a-f]?\."", """"))"),"")</f>
        <v/>
      </c>
      <c r="J1107" s="172" t="s">
        <v>5230</v>
      </c>
      <c r="K1107" s="172" t="s">
        <v>5231</v>
      </c>
      <c r="L1107" s="172" t="s">
        <v>5232</v>
      </c>
    </row>
    <row r="1108" hidden="1">
      <c r="A1108" s="188" t="s">
        <v>68</v>
      </c>
      <c r="B1108" s="189" t="s">
        <v>5233</v>
      </c>
      <c r="C1108" s="190"/>
      <c r="D1108" s="190"/>
      <c r="E1108" s="190"/>
      <c r="F1108" s="182">
        <v>606.0</v>
      </c>
      <c r="G1108" s="172" t="str">
        <f>IFERROR(__xludf.DUMMYFUNCTION("TRIM(REGEXREPLACE(C1108, ""[0-9]+[a-f]?\."", """"))"),"")</f>
        <v/>
      </c>
      <c r="H1108" s="172" t="str">
        <f>IFERROR(__xludf.DUMMYFUNCTION("TRIM(REGEXREPLACE(D1108, ""[0-9]+[a-f]?\."", """"))"),"")</f>
        <v/>
      </c>
      <c r="I1108" s="172" t="str">
        <f>IFERROR(__xludf.DUMMYFUNCTION("TRIM(REGEXREPLACE(E1108, ""[0-9]+[a-f]?\."", """"))"),"")</f>
        <v/>
      </c>
      <c r="J1108" s="172" t="s">
        <v>5234</v>
      </c>
      <c r="K1108" s="172" t="s">
        <v>5235</v>
      </c>
      <c r="L1108" s="172" t="s">
        <v>5236</v>
      </c>
    </row>
    <row r="1109" hidden="1">
      <c r="A1109" s="188" t="s">
        <v>68</v>
      </c>
      <c r="B1109" s="189" t="s">
        <v>5237</v>
      </c>
      <c r="C1109" s="190"/>
      <c r="D1109" s="190"/>
      <c r="E1109" s="190"/>
      <c r="F1109" s="182">
        <v>607.0</v>
      </c>
      <c r="G1109" s="172" t="str">
        <f>IFERROR(__xludf.DUMMYFUNCTION("TRIM(REGEXREPLACE(C1109, ""[0-9]+[a-f]?\."", """"))"),"")</f>
        <v/>
      </c>
      <c r="H1109" s="172" t="str">
        <f>IFERROR(__xludf.DUMMYFUNCTION("TRIM(REGEXREPLACE(D1109, ""[0-9]+[a-f]?\."", """"))"),"")</f>
        <v/>
      </c>
      <c r="I1109" s="172" t="str">
        <f>IFERROR(__xludf.DUMMYFUNCTION("TRIM(REGEXREPLACE(E1109, ""[0-9]+[a-f]?\."", """"))"),"")</f>
        <v/>
      </c>
      <c r="J1109" s="172" t="s">
        <v>5238</v>
      </c>
      <c r="K1109" s="172" t="s">
        <v>5239</v>
      </c>
      <c r="L1109" s="172" t="s">
        <v>5240</v>
      </c>
    </row>
    <row r="1110" hidden="1">
      <c r="A1110" s="188" t="s">
        <v>68</v>
      </c>
      <c r="B1110" s="189" t="s">
        <v>5241</v>
      </c>
      <c r="C1110" s="190"/>
      <c r="D1110" s="190"/>
      <c r="E1110" s="190"/>
      <c r="F1110" s="182">
        <v>608.0</v>
      </c>
      <c r="G1110" s="172" t="str">
        <f>IFERROR(__xludf.DUMMYFUNCTION("TRIM(REGEXREPLACE(C1110, ""[0-9]+[a-f]?\."", """"))"),"")</f>
        <v/>
      </c>
      <c r="H1110" s="172" t="str">
        <f>IFERROR(__xludf.DUMMYFUNCTION("TRIM(REGEXREPLACE(D1110, ""[0-9]+[a-f]?\."", """"))"),"")</f>
        <v/>
      </c>
      <c r="I1110" s="172" t="str">
        <f>IFERROR(__xludf.DUMMYFUNCTION("TRIM(REGEXREPLACE(E1110, ""[0-9]+[a-f]?\."", """"))"),"")</f>
        <v/>
      </c>
      <c r="J1110" s="172" t="s">
        <v>5242</v>
      </c>
      <c r="K1110" s="172" t="s">
        <v>5243</v>
      </c>
      <c r="L1110" s="172" t="s">
        <v>5244</v>
      </c>
    </row>
    <row r="1111" hidden="1">
      <c r="A1111" s="188" t="s">
        <v>68</v>
      </c>
      <c r="B1111" s="189" t="s">
        <v>5245</v>
      </c>
      <c r="C1111" s="190"/>
      <c r="D1111" s="190"/>
      <c r="E1111" s="190"/>
      <c r="F1111" s="182">
        <v>609.0</v>
      </c>
      <c r="G1111" s="172" t="str">
        <f>IFERROR(__xludf.DUMMYFUNCTION("TRIM(REGEXREPLACE(C1111, ""[0-9]+[a-f]?\."", """"))"),"")</f>
        <v/>
      </c>
      <c r="H1111" s="172" t="str">
        <f>IFERROR(__xludf.DUMMYFUNCTION("TRIM(REGEXREPLACE(D1111, ""[0-9]+[a-f]?\."", """"))"),"")</f>
        <v/>
      </c>
      <c r="I1111" s="172" t="str">
        <f>IFERROR(__xludf.DUMMYFUNCTION("TRIM(REGEXREPLACE(E1111, ""[0-9]+[a-f]?\."", """"))"),"")</f>
        <v/>
      </c>
      <c r="J1111" s="172" t="s">
        <v>5246</v>
      </c>
      <c r="K1111" s="172" t="s">
        <v>5247</v>
      </c>
      <c r="L1111" s="172" t="s">
        <v>5248</v>
      </c>
    </row>
    <row r="1112" hidden="1">
      <c r="A1112" s="188" t="s">
        <v>68</v>
      </c>
      <c r="B1112" s="189" t="s">
        <v>5250</v>
      </c>
      <c r="C1112" s="190"/>
      <c r="D1112" s="190"/>
      <c r="E1112" s="190"/>
      <c r="F1112" s="182">
        <v>610.0</v>
      </c>
      <c r="G1112" s="172" t="str">
        <f>IFERROR(__xludf.DUMMYFUNCTION("TRIM(REGEXREPLACE(C1112, ""[0-9]+[a-f]?\."", """"))"),"")</f>
        <v/>
      </c>
      <c r="H1112" s="172" t="str">
        <f>IFERROR(__xludf.DUMMYFUNCTION("TRIM(REGEXREPLACE(D1112, ""[0-9]+[a-f]?\."", """"))"),"")</f>
        <v/>
      </c>
      <c r="I1112" s="172" t="str">
        <f>IFERROR(__xludf.DUMMYFUNCTION("TRIM(REGEXREPLACE(E1112, ""[0-9]+[a-f]?\."", """"))"),"")</f>
        <v/>
      </c>
      <c r="J1112" s="172" t="s">
        <v>5252</v>
      </c>
      <c r="K1112" s="172" t="s">
        <v>5253</v>
      </c>
      <c r="L1112" s="172" t="s">
        <v>5254</v>
      </c>
    </row>
    <row r="1113" hidden="1">
      <c r="A1113" s="188" t="s">
        <v>68</v>
      </c>
      <c r="B1113" s="189" t="s">
        <v>5257</v>
      </c>
      <c r="C1113" s="190"/>
      <c r="D1113" s="190"/>
      <c r="E1113" s="190"/>
      <c r="F1113" s="182">
        <v>611.0</v>
      </c>
      <c r="G1113" s="172" t="str">
        <f>IFERROR(__xludf.DUMMYFUNCTION("TRIM(REGEXREPLACE(C1113, ""[0-9]+[a-f]?\."", """"))"),"")</f>
        <v/>
      </c>
      <c r="H1113" s="172" t="str">
        <f>IFERROR(__xludf.DUMMYFUNCTION("TRIM(REGEXREPLACE(D1113, ""[0-9]+[a-f]?\."", """"))"),"")</f>
        <v/>
      </c>
      <c r="I1113" s="172" t="str">
        <f>IFERROR(__xludf.DUMMYFUNCTION("TRIM(REGEXREPLACE(E1113, ""[0-9]+[a-f]?\."", """"))"),"")</f>
        <v/>
      </c>
      <c r="J1113" s="172" t="s">
        <v>5258</v>
      </c>
      <c r="K1113" s="172" t="s">
        <v>5259</v>
      </c>
      <c r="L1113" s="172" t="s">
        <v>5260</v>
      </c>
    </row>
    <row r="1114" hidden="1">
      <c r="A1114" s="188" t="s">
        <v>68</v>
      </c>
      <c r="B1114" s="189" t="s">
        <v>5261</v>
      </c>
      <c r="C1114" s="217" t="s">
        <v>5262</v>
      </c>
      <c r="D1114" s="217" t="s">
        <v>5263</v>
      </c>
      <c r="E1114" s="217" t="s">
        <v>5264</v>
      </c>
      <c r="F1114" s="182">
        <v>612.0</v>
      </c>
      <c r="G1114" s="172" t="str">
        <f>IFERROR(__xludf.DUMMYFUNCTION("TRIM(REGEXREPLACE(C1114, ""[0-9]+[a-f]?\."", """"))"),"Weekly income (activity_payment_amt + inkind_payment_val/activity_weeks + sum(main_activity_benefit) - main_activity_deduction) * number of weeks")</f>
        <v>Weekly income (activity_payment_amt + inkind_payment_val/activity_weeks + sum(main_activity_benefit) - main_activity_deduction) * number of weeks</v>
      </c>
      <c r="H1114" s="172" t="str">
        <f>IFERROR(__xludf.DUMMYFUNCTION("TRIM(REGEXREPLACE(D1114, ""[0-9]+[a-f]?\."", """"))"),"Revenu hebdomadaire (activity_payment_amt + sum(main_activity_benefit) - main_activity_deduction) * nombre de semaines")</f>
        <v>Revenu hebdomadaire (activity_payment_amt + sum(main_activity_benefit) - main_activity_deduction) * nombre de semaines</v>
      </c>
      <c r="I1114" s="172" t="str">
        <f>IFERROR(__xludf.DUMMYFUNCTION("TRIM(REGEXREPLACE(E1114, ""[0-9]+[a-f]?\."", """"))"),"Kudin shiga na mako-mako (aikin_payment_amt + jimla(babban_aiki_amfanin) - babban_aiki_rage) * adadin makonni")</f>
        <v>Kudin shiga na mako-mako (aikin_payment_amt + jimla(babban_aiki_amfanin) - babban_aiki_rage) * adadin makonni</v>
      </c>
      <c r="J1114" s="172" t="s">
        <v>5265</v>
      </c>
      <c r="K1114" s="172" t="s">
        <v>5266</v>
      </c>
      <c r="L1114" s="172" t="s">
        <v>5268</v>
      </c>
    </row>
    <row r="1115" hidden="1">
      <c r="F1115" s="182">
        <v>693.0</v>
      </c>
      <c r="G1115" s="172" t="str">
        <f>IFERROR(__xludf.DUMMYFUNCTION("TRIM(REGEXREPLACE(C1115, ""[0-9]+[a-f]?\."", """"))"),"")</f>
        <v/>
      </c>
      <c r="H1115" s="172" t="str">
        <f>IFERROR(__xludf.DUMMYFUNCTION("TRIM(REGEXREPLACE(D1115, ""[0-9]+[a-f]?\."", """"))"),"")</f>
        <v/>
      </c>
      <c r="I1115" s="172" t="str">
        <f>IFERROR(__xludf.DUMMYFUNCTION("TRIM(REGEXREPLACE(E1115, ""[0-9]+[a-f]?\."", """"))"),"")</f>
        <v/>
      </c>
      <c r="J1115" s="172" t="str">
        <f t="shared" ref="J1115:L1115" si="192">$F1115&amp;". "&amp;G1115</f>
        <v>693. </v>
      </c>
      <c r="K1115" s="172" t="str">
        <f t="shared" si="192"/>
        <v>693. </v>
      </c>
      <c r="L1115" s="172" t="str">
        <f t="shared" si="192"/>
        <v>693. </v>
      </c>
    </row>
    <row r="1116" hidden="1">
      <c r="F1116" s="182">
        <v>694.0</v>
      </c>
      <c r="G1116" s="172" t="str">
        <f>IFERROR(__xludf.DUMMYFUNCTION("TRIM(REGEXREPLACE(C1116, ""[0-9]+[a-f]?\."", """"))"),"")</f>
        <v/>
      </c>
      <c r="H1116" s="172" t="str">
        <f>IFERROR(__xludf.DUMMYFUNCTION("TRIM(REGEXREPLACE(D1116, ""[0-9]+[a-f]?\."", """"))"),"")</f>
        <v/>
      </c>
      <c r="I1116" s="172" t="str">
        <f>IFERROR(__xludf.DUMMYFUNCTION("TRIM(REGEXREPLACE(E1116, ""[0-9]+[a-f]?\."", """"))"),"")</f>
        <v/>
      </c>
      <c r="J1116" s="172" t="str">
        <f t="shared" ref="J1116:L1116" si="193">$F1116&amp;". "&amp;G1116</f>
        <v>694. </v>
      </c>
      <c r="K1116" s="172" t="str">
        <f t="shared" si="193"/>
        <v>694. </v>
      </c>
      <c r="L1116" s="172" t="str">
        <f t="shared" si="193"/>
        <v>694. </v>
      </c>
    </row>
    <row r="1117" hidden="1">
      <c r="B1117" s="260"/>
      <c r="C1117" s="260"/>
      <c r="D1117" s="260"/>
      <c r="E1117" s="260"/>
      <c r="F1117" s="182">
        <v>662.0</v>
      </c>
      <c r="G1117" s="172" t="str">
        <f>IFERROR(__xludf.DUMMYFUNCTION("TRIM(REGEXREPLACE(C1117, ""[0-9]+[a-f]?\."", """"))"),"")</f>
        <v/>
      </c>
      <c r="H1117" s="172" t="str">
        <f>IFERROR(__xludf.DUMMYFUNCTION("TRIM(REGEXREPLACE(D1117, ""[0-9]+[a-f]?\."", """"))"),"")</f>
        <v/>
      </c>
      <c r="I1117" s="172" t="str">
        <f>IFERROR(__xludf.DUMMYFUNCTION("TRIM(REGEXREPLACE(E1117, ""[0-9]+[a-f]?\."", """"))"),"")</f>
        <v/>
      </c>
      <c r="J1117" s="172" t="s">
        <v>5274</v>
      </c>
      <c r="K1117" s="172" t="s">
        <v>5275</v>
      </c>
      <c r="L1117" s="172" t="s">
        <v>5276</v>
      </c>
    </row>
    <row r="1118" hidden="1">
      <c r="F1118" s="182">
        <v>696.0</v>
      </c>
      <c r="G1118" s="172" t="str">
        <f>IFERROR(__xludf.DUMMYFUNCTION("TRIM(REGEXREPLACE(C1118, ""[0-9]+[a-f]?\."", """"))"),"")</f>
        <v/>
      </c>
      <c r="H1118" s="172" t="str">
        <f>IFERROR(__xludf.DUMMYFUNCTION("TRIM(REGEXREPLACE(D1118, ""[0-9]+[a-f]?\."", """"))"),"")</f>
        <v/>
      </c>
      <c r="I1118" s="172" t="str">
        <f>IFERROR(__xludf.DUMMYFUNCTION("TRIM(REGEXREPLACE(E1118, ""[0-9]+[a-f]?\."", """"))"),"")</f>
        <v/>
      </c>
      <c r="J1118" s="172" t="str">
        <f t="shared" ref="J1118:L1118" si="194">$F1118&amp;". "&amp;G1118</f>
        <v>696. </v>
      </c>
      <c r="K1118" s="172" t="str">
        <f t="shared" si="194"/>
        <v>696. </v>
      </c>
      <c r="L1118" s="172" t="str">
        <f t="shared" si="194"/>
        <v>696. </v>
      </c>
    </row>
    <row r="1119" hidden="1">
      <c r="F1119" s="182">
        <v>697.0</v>
      </c>
      <c r="G1119" s="172" t="str">
        <f>IFERROR(__xludf.DUMMYFUNCTION("TRIM(REGEXREPLACE(C1119, ""[0-9]+[a-f]?\."", """"))"),"")</f>
        <v/>
      </c>
      <c r="H1119" s="172" t="str">
        <f>IFERROR(__xludf.DUMMYFUNCTION("TRIM(REGEXREPLACE(D1119, ""[0-9]+[a-f]?\."", """"))"),"")</f>
        <v/>
      </c>
      <c r="I1119" s="172" t="str">
        <f>IFERROR(__xludf.DUMMYFUNCTION("TRIM(REGEXREPLACE(E1119, ""[0-9]+[a-f]?\."", """"))"),"")</f>
        <v/>
      </c>
      <c r="J1119" s="172" t="str">
        <f t="shared" ref="J1119:L1119" si="195">$F1119&amp;". "&amp;G1119</f>
        <v>697. </v>
      </c>
      <c r="K1119" s="172" t="str">
        <f t="shared" si="195"/>
        <v>697. </v>
      </c>
      <c r="L1119" s="172" t="str">
        <f t="shared" si="195"/>
        <v>697. </v>
      </c>
    </row>
    <row r="1120">
      <c r="A1120" s="215" t="s">
        <v>353</v>
      </c>
      <c r="B1120" s="216" t="s">
        <v>5280</v>
      </c>
      <c r="C1120" s="216" t="s">
        <v>2160</v>
      </c>
      <c r="D1120" s="216" t="s">
        <v>2161</v>
      </c>
      <c r="E1120" s="216" t="s">
        <v>2162</v>
      </c>
      <c r="F1120" s="182">
        <v>183.0</v>
      </c>
      <c r="G1120" s="172" t="str">
        <f>IFERROR(__xludf.DUMMYFUNCTION("TRIM(REGEXREPLACE(C1120, ""[0-9]+[a-f]?\."", """"))"),"Taking all your responses above into account, would you say that it is accurate that in location your total income during period from ${pm_primary_activity_name} was ${pm_calc_total_income} CFA?")</f>
        <v>Taking all your responses above into account, would you say that it is accurate that in location your total income during period from ${pm_primary_activity_name} was ${pm_calc_total_income} CFA?</v>
      </c>
      <c r="H1120" s="172" t="str">
        <f>IFERROR(__xludf.DUMMYFUNCTION("TRIM(REGEXREPLACE(D1120, ""[0-9]+[a-f]?\."", """"))"),"En tenant compte de toutes vos réponses ci-dessus, diriez-vous qu'il est exact qu'en ce lieu votre revenu total pendant au cours de trois dernieres mois de ${pm_primary_activity_name} était de ${pm_calc_total_income} CFA ?")</f>
        <v>En tenant compte de toutes vos réponses ci-dessus, diriez-vous qu'il est exact qu'en ce lieu votre revenu total pendant au cours de trois dernieres mois de ${pm_primary_activity_name} était de ${pm_calc_total_income} CFA ?</v>
      </c>
      <c r="I1120" s="172" t="str">
        <f>IFERROR(__xludf.DUMMYFUNCTION("TRIM(REGEXREPLACE(E1120, ""[0-9]+[a-f]?\."", """"))"),"Idan muka yi la'aƙari da duk amsoshin da kuka bada a sama, za ku ce daidai ne cewa a wannan wurin jimillar kuɗin da kuka samu daga ${pm_primary_activity_name} shine ${pm_calc_total_income} CFA?")</f>
        <v>Idan muka yi la'aƙari da duk amsoshin da kuka bada a sama, za ku ce daidai ne cewa a wannan wurin jimillar kuɗin da kuka samu daga ${pm_primary_activity_name} shine ${pm_calc_total_income} CFA?</v>
      </c>
      <c r="J1120" s="172" t="str">
        <f t="shared" ref="J1120:L1120" si="196">$F1120 &amp; ". " &amp;G1120</f>
        <v>183. Taking all your responses above into account, would you say that it is accurate that in location your total income during period from ${pm_primary_activity_name} was ${pm_calc_total_income} CFA?</v>
      </c>
      <c r="K1120" s="172" t="str">
        <f t="shared" si="196"/>
        <v>183. En tenant compte de toutes vos réponses ci-dessus, diriez-vous qu'il est exact qu'en ce lieu votre revenu total pendant au cours de trois dernieres mois de ${pm_primary_activity_name} était de ${pm_calc_total_income} CFA ?</v>
      </c>
      <c r="L1120" s="172" t="str">
        <f t="shared" si="196"/>
        <v>183. Idan muka yi la'aƙari da duk amsoshin da kuka bada a sama, za ku ce daidai ne cewa a wannan wurin jimillar kuɗin da kuka samu daga ${pm_primary_activity_name} shine ${pm_calc_total_income} CFA?</v>
      </c>
    </row>
    <row r="1121">
      <c r="A1121" s="207" t="s">
        <v>41</v>
      </c>
      <c r="B1121" s="208" t="s">
        <v>5287</v>
      </c>
      <c r="C1121" s="208" t="s">
        <v>2164</v>
      </c>
      <c r="D1121" s="208" t="s">
        <v>2165</v>
      </c>
      <c r="E1121" s="208" t="s">
        <v>2166</v>
      </c>
      <c r="F1121" s="182">
        <v>184.0</v>
      </c>
      <c r="G1121" s="172" t="str">
        <f>IFERROR(__xludf.DUMMYFUNCTION("TRIM(REGEXREPLACE(C1121, ""[0-9]+[a-f]?\."", """"))"),"Now I would like you to think about any costs associated with ${pm_primary_activity_name}")</f>
        <v>Now I would like you to think about any costs associated with ${pm_primary_activity_name}</v>
      </c>
      <c r="H1121" s="172" t="str">
        <f>IFERROR(__xludf.DUMMYFUNCTION("TRIM(REGEXREPLACE(D1121, ""[0-9]+[a-f]?\."", """"))"),"Maintenant, je voudrais que vous réfléchissiez aux coûts associés à ${pm_primary_activity_name}")</f>
        <v>Maintenant, je voudrais que vous réfléchissiez aux coûts associés à ${pm_primary_activity_name}</v>
      </c>
      <c r="I1121" s="172" t="str">
        <f>IFERROR(__xludf.DUMMYFUNCTION("TRIM(REGEXREPLACE(E1121, ""[0-9]+[a-f]?\."", """"))"),"Yanzu ina so ku yi tunani game da kowane farashi mai alaƙa da ${pm_primary_activity_name}")</f>
        <v>Yanzu ina so ku yi tunani game da kowane farashi mai alaƙa da ${pm_primary_activity_name}</v>
      </c>
      <c r="J1121" s="172" t="str">
        <f t="shared" ref="J1121:L1121" si="197">$F1121 &amp; ". " &amp;G1121</f>
        <v>184. Now I would like you to think about any costs associated with ${pm_primary_activity_name}</v>
      </c>
      <c r="K1121" s="172" t="str">
        <f t="shared" si="197"/>
        <v>184. Maintenant, je voudrais que vous réfléchissiez aux coûts associés à ${pm_primary_activity_name}</v>
      </c>
      <c r="L1121" s="172" t="str">
        <f t="shared" si="197"/>
        <v>184. Yanzu ina so ku yi tunani game da kowane farashi mai alaƙa da ${pm_primary_activity_name}</v>
      </c>
    </row>
    <row r="1122">
      <c r="A1122" s="253" t="s">
        <v>246</v>
      </c>
      <c r="B1122" s="254" t="s">
        <v>5290</v>
      </c>
      <c r="C1122" s="254" t="s">
        <v>2168</v>
      </c>
      <c r="D1122" s="254" t="s">
        <v>5292</v>
      </c>
      <c r="E1122" s="254" t="s">
        <v>5293</v>
      </c>
      <c r="F1122" s="182">
        <v>185.0</v>
      </c>
      <c r="G1122" s="172" t="str">
        <f>IFERROR(__xludf.DUMMYFUNCTION("TRIM(REGEXREPLACE(C1122, ""[0-9]+[a-f]?\."", """"))"),"How much, if any did you pay a fixer or job placement agency?")</f>
        <v>How much, if any did you pay a fixer or job placement agency?</v>
      </c>
      <c r="H1122" s="172" t="str">
        <f>IFERROR(__xludf.DUMMYFUNCTION("TRIM(REGEXREPLACE(D1122, ""[0-9]+[a-f]?\."", """"))"),"Combien, si cest déjà arrivé, avez-vous payé à un facilitateur ou à une agence de placement ?")</f>
        <v>Combien, si cest déjà arrivé, avez-vous payé à un facilitateur ou à une agence de placement ?</v>
      </c>
      <c r="I1122" s="172" t="str">
        <f>IFERROR(__xludf.DUMMYFUNCTION("TRIM(REGEXREPLACE(E1122, ""[0-9]+[a-f]?\."", """"))"),"Nawa, idan ya taɓa faruwa, wanda kuka biya wani idon gari ko wata ma'aikata mai bada aiki?")</f>
        <v>Nawa, idan ya taɓa faruwa, wanda kuka biya wani idon gari ko wata ma'aikata mai bada aiki?</v>
      </c>
      <c r="J1122" s="172" t="str">
        <f t="shared" ref="J1122:L1122" si="198">$F1122 &amp; ". " &amp;G1122</f>
        <v>185. How much, if any did you pay a fixer or job placement agency?</v>
      </c>
      <c r="K1122" s="172" t="str">
        <f t="shared" si="198"/>
        <v>185. Combien, si cest déjà arrivé, avez-vous payé à un facilitateur ou à une agence de placement ?</v>
      </c>
      <c r="L1122" s="172" t="str">
        <f t="shared" si="198"/>
        <v>185. Nawa, idan ya taɓa faruwa, wanda kuka biya wani idon gari ko wata ma'aikata mai bada aiki?</v>
      </c>
    </row>
    <row r="1123">
      <c r="A1123" s="215" t="s">
        <v>353</v>
      </c>
      <c r="B1123" s="216" t="s">
        <v>5294</v>
      </c>
      <c r="C1123" s="216" t="s">
        <v>2173</v>
      </c>
      <c r="D1123" s="216" t="s">
        <v>2174</v>
      </c>
      <c r="E1123" s="216" t="s">
        <v>2175</v>
      </c>
      <c r="F1123" s="182">
        <v>186.0</v>
      </c>
      <c r="G1123" s="172" t="str">
        <f>IFERROR(__xludf.DUMMYFUNCTION("TRIM(REGEXREPLACE(C1123, ""[0-9]+[a-f]?\."", """"))"),"Did you incur a debt to be able to work in ${pm_primary_activity_name}?")</f>
        <v>Did you incur a debt to be able to work in ${pm_primary_activity_name}?</v>
      </c>
      <c r="H1123" s="172" t="str">
        <f>IFERROR(__xludf.DUMMYFUNCTION("TRIM(REGEXREPLACE(D1123, ""[0-9]+[a-f]?\."", """"))"),"Avez-vous contracté une dette pour pouvoir travailler à ${pm_primary_activity_name} ?")</f>
        <v>Avez-vous contracté une dette pour pouvoir travailler à ${pm_primary_activity_name} ?</v>
      </c>
      <c r="I1123" s="172" t="str">
        <f>IFERROR(__xludf.DUMMYFUNCTION("TRIM(REGEXREPLACE(E1123, ""[0-9]+[a-f]?\."", """"))"),"Ko kun ci bashi don samun damar yin aiki a ${pm_primary_activity_name}?")</f>
        <v>Ko kun ci bashi don samun damar yin aiki a ${pm_primary_activity_name}?</v>
      </c>
      <c r="J1123" s="172" t="str">
        <f t="shared" ref="J1123:L1123" si="199">$F1123 &amp; ". " &amp;G1123</f>
        <v>186. Did you incur a debt to be able to work in ${pm_primary_activity_name}?</v>
      </c>
      <c r="K1123" s="172" t="str">
        <f t="shared" si="199"/>
        <v>186. Avez-vous contracté une dette pour pouvoir travailler à ${pm_primary_activity_name} ?</v>
      </c>
      <c r="L1123" s="172" t="str">
        <f t="shared" si="199"/>
        <v>186. Ko kun ci bashi don samun damar yin aiki a ${pm_primary_activity_name}?</v>
      </c>
    </row>
    <row r="1124">
      <c r="A1124" s="253" t="s">
        <v>246</v>
      </c>
      <c r="B1124" s="254" t="s">
        <v>5295</v>
      </c>
      <c r="C1124" s="254" t="s">
        <v>2177</v>
      </c>
      <c r="D1124" s="254" t="s">
        <v>2179</v>
      </c>
      <c r="E1124" s="254" t="s">
        <v>2180</v>
      </c>
      <c r="F1124" s="182">
        <v>187.0</v>
      </c>
      <c r="G1124" s="172" t="str">
        <f>IFERROR(__xludf.DUMMYFUNCTION("TRIM(REGEXREPLACE(C1124, ""[0-9]+[a-f]?\."", """"))"),"How much debt in CFA did you take to be able to engage in ${pm_primary_activity_name}?")</f>
        <v>How much debt in CFA did you take to be able to engage in ${pm_primary_activity_name}?</v>
      </c>
      <c r="H1124" s="172" t="str">
        <f>IFERROR(__xludf.DUMMYFUNCTION("TRIM(REGEXREPLACE(D1124, ""[0-9]+[a-f]?\."", """"))"),"Combien avez-vous contracté de dettes en CFA pour pouvoir vous engager dans ${pm_primary_activity_name} ?")</f>
        <v>Combien avez-vous contracté de dettes en CFA pour pouvoir vous engager dans ${pm_primary_activity_name} ?</v>
      </c>
      <c r="I1124" s="172" t="str">
        <f>IFERROR(__xludf.DUMMYFUNCTION("TRIM(REGEXREPLACE(E1124, ""[0-9]+[a-f]?\."", """"))"),"Bashin nawa a CFA kuka ci don samun damar shiga ${pm_primary_activity_name}?")</f>
        <v>Bashin nawa a CFA kuka ci don samun damar shiga ${pm_primary_activity_name}?</v>
      </c>
      <c r="J1124" s="172" t="str">
        <f t="shared" ref="J1124:L1124" si="200">$F1124 &amp; ". " &amp;G1124</f>
        <v>187. How much debt in CFA did you take to be able to engage in ${pm_primary_activity_name}?</v>
      </c>
      <c r="K1124" s="172" t="str">
        <f t="shared" si="200"/>
        <v>187. Combien avez-vous contracté de dettes en CFA pour pouvoir vous engager dans ${pm_primary_activity_name} ?</v>
      </c>
      <c r="L1124" s="172" t="str">
        <f t="shared" si="200"/>
        <v>187. Bashin nawa a CFA kuka ci don samun damar shiga ${pm_primary_activity_name}?</v>
      </c>
    </row>
    <row r="1125">
      <c r="A1125" s="253" t="s">
        <v>246</v>
      </c>
      <c r="B1125" s="254" t="s">
        <v>5297</v>
      </c>
      <c r="C1125" s="254" t="s">
        <v>2182</v>
      </c>
      <c r="D1125" s="254" t="s">
        <v>2183</v>
      </c>
      <c r="E1125" s="254" t="s">
        <v>2184</v>
      </c>
      <c r="F1125" s="182">
        <v>188.0</v>
      </c>
      <c r="G1125" s="172" t="str">
        <f>IFERROR(__xludf.DUMMYFUNCTION("TRIM(REGEXREPLACE(C1125, ""[0-9]+[a-f]?\."", """"))"),"Now think about your total income from other jobs you worked in ${pm_location_name}. What is your best estimate of your total income from these jobs per week?")</f>
        <v>Now think about your total income from other jobs you worked in ${pm_location_name}. What is your best estimate of your total income from these jobs per week?</v>
      </c>
      <c r="H1125" s="172" t="str">
        <f>IFERROR(__xludf.DUMMYFUNCTION("TRIM(REGEXREPLACE(D1125, ""[0-9]+[a-f]?\."", """"))"),"Pensez maintenant à vos revenus totaux provenant d'autres emplois que vous avez occupés à ${pm_location_name}. Quelle est votre meilleure estimation de votre revenu total de ces emplois par semaine ?")</f>
        <v>Pensez maintenant à vos revenus totaux provenant d'autres emplois que vous avez occupés à ${pm_location_name}. Quelle est votre meilleure estimation de votre revenu total de ces emplois par semaine ?</v>
      </c>
      <c r="I1125" s="172" t="str">
        <f>IFERROR(__xludf.DUMMYFUNCTION("TRIM(REGEXREPLACE(E1125, ""[0-9]+[a-f]?\."", """"))"),"Yanzu ku tuna da jimillar kuɗin shiga da kuka samu daga wasu ayyukan da kuka yi a ${pm_location_name}. Misalin nawa a tunaninku jimillar kuɗin shiga daga waɗannan ayyukan a kowane mako?")</f>
        <v>Yanzu ku tuna da jimillar kuɗin shiga da kuka samu daga wasu ayyukan da kuka yi a ${pm_location_name}. Misalin nawa a tunaninku jimillar kuɗin shiga daga waɗannan ayyukan a kowane mako?</v>
      </c>
      <c r="J1125" s="172" t="str">
        <f t="shared" ref="J1125:L1125" si="201">$F1125 &amp; ". " &amp;G1125</f>
        <v>188. Now think about your total income from other jobs you worked in ${pm_location_name}. What is your best estimate of your total income from these jobs per week?</v>
      </c>
      <c r="K1125" s="172" t="str">
        <f t="shared" si="201"/>
        <v>188. Pensez maintenant à vos revenus totaux provenant d'autres emplois que vous avez occupés à ${pm_location_name}. Quelle est votre meilleure estimation de votre revenu total de ces emplois par semaine ?</v>
      </c>
      <c r="L1125" s="172" t="str">
        <f t="shared" si="201"/>
        <v>188. Yanzu ku tuna da jimillar kuɗin shiga da kuka samu daga wasu ayyukan da kuka yi a ${pm_location_name}. Misalin nawa a tunaninku jimillar kuɗin shiga daga waɗannan ayyukan a kowane mako?</v>
      </c>
    </row>
    <row r="1126" hidden="1">
      <c r="B1126" s="260"/>
      <c r="C1126" s="260"/>
      <c r="D1126" s="260"/>
      <c r="E1126" s="260"/>
      <c r="F1126" s="182">
        <v>667.0</v>
      </c>
      <c r="G1126" s="172" t="str">
        <f>IFERROR(__xludf.DUMMYFUNCTION("TRIM(REGEXREPLACE(C1126, ""[0-9]+[a-f]?\."", """"))"),"")</f>
        <v/>
      </c>
      <c r="H1126" s="172" t="str">
        <f>IFERROR(__xludf.DUMMYFUNCTION("TRIM(REGEXREPLACE(D1126, ""[0-9]+[a-f]?\."", """"))"),"")</f>
        <v/>
      </c>
      <c r="I1126" s="172" t="str">
        <f>IFERROR(__xludf.DUMMYFUNCTION("TRIM(REGEXREPLACE(E1126, ""[0-9]+[a-f]?\."", """"))"),"")</f>
        <v/>
      </c>
      <c r="J1126" s="172" t="s">
        <v>5298</v>
      </c>
      <c r="K1126" s="172" t="s">
        <v>5299</v>
      </c>
      <c r="L1126" s="172" t="s">
        <v>5300</v>
      </c>
    </row>
    <row r="1127">
      <c r="A1127" s="253" t="s">
        <v>246</v>
      </c>
      <c r="B1127" s="254" t="s">
        <v>5301</v>
      </c>
      <c r="C1127" s="254" t="s">
        <v>5302</v>
      </c>
      <c r="D1127" s="254" t="s">
        <v>5303</v>
      </c>
      <c r="E1127" s="254" t="s">
        <v>5304</v>
      </c>
      <c r="F1127" s="182">
        <v>189.0</v>
      </c>
      <c r="G1127" s="172" t="str">
        <f>IFERROR(__xludf.DUMMYFUNCTION("TRIM(REGEXREPLACE(C1127, ""[0-9]+[a-f]?\."", """"))"),"For approximately how many weeks in ${pm_location_name} during ${pm_location_period_lab} did you earn ${pm_other_income}?")</f>
        <v>For approximately how many weeks in ${pm_location_name} during ${pm_location_period_lab} did you earn ${pm_other_income}?</v>
      </c>
      <c r="H1127" s="172" t="str">
        <f>IFERROR(__xludf.DUMMYFUNCTION("TRIM(REGEXREPLACE(D1127, ""[0-9]+[a-f]?\."", """"))"),"Pendant environ combien de semaines à ${pm_location_name} pendant ${pm_location_period_lab_fr} avez-vous gagné ${pm_other_income} ?")</f>
        <v>Pendant environ combien de semaines à ${pm_location_name} pendant ${pm_location_period_lab_fr} avez-vous gagné ${pm_other_income} ?</v>
      </c>
      <c r="I1127" s="172" t="str">
        <f>IFERROR(__xludf.DUMMYFUNCTION("TRIM(REGEXREPLACE(E1127, ""[0-9]+[a-f]?\."", """"))"),"Kimanin sati nawa a ${pm_location_name} a lokacin ${pm_location_period_lab_ha} kuka samu ${pm_other_income}?")</f>
        <v>Kimanin sati nawa a ${pm_location_name} a lokacin ${pm_location_period_lab_ha} kuka samu ${pm_other_income}?</v>
      </c>
      <c r="J1127" s="172" t="str">
        <f t="shared" ref="J1127:L1127" si="202">$F1127 &amp; ". " &amp;G1127</f>
        <v>189. For approximately how many weeks in ${pm_location_name} during ${pm_location_period_lab} did you earn ${pm_other_income}?</v>
      </c>
      <c r="K1127" s="172" t="str">
        <f t="shared" si="202"/>
        <v>189. Pendant environ combien de semaines à ${pm_location_name} pendant ${pm_location_period_lab_fr} avez-vous gagné ${pm_other_income} ?</v>
      </c>
      <c r="L1127" s="172" t="str">
        <f t="shared" si="202"/>
        <v>189. Kimanin sati nawa a ${pm_location_name} a lokacin ${pm_location_period_lab_ha} kuka samu ${pm_other_income}?</v>
      </c>
    </row>
    <row r="1128" hidden="1">
      <c r="A1128" s="188" t="s">
        <v>68</v>
      </c>
      <c r="B1128" s="189" t="s">
        <v>5306</v>
      </c>
      <c r="C1128" s="217" t="s">
        <v>5307</v>
      </c>
      <c r="D1128" s="217" t="s">
        <v>5308</v>
      </c>
      <c r="E1128" s="217" t="s">
        <v>5309</v>
      </c>
      <c r="F1128" s="182">
        <v>620.0</v>
      </c>
      <c r="G1128" s="172" t="str">
        <f>IFERROR(__xludf.DUMMYFUNCTION("TRIM(REGEXREPLACE(C1128, ""[0-9]+[a-f]?\."", """"))"),"Calculate other income")</f>
        <v>Calculate other income</v>
      </c>
      <c r="H1128" s="172" t="str">
        <f>IFERROR(__xludf.DUMMYFUNCTION("TRIM(REGEXREPLACE(D1128, ""[0-9]+[a-f]?\."", """"))"),"Calculer d'autres revenus")</f>
        <v>Calculer d'autres revenus</v>
      </c>
      <c r="I1128" s="172" t="str">
        <f>IFERROR(__xludf.DUMMYFUNCTION("TRIM(REGEXREPLACE(E1128, ""[0-9]+[a-f]?\."", """"))"),"Yi lissafin sauran kudin shiga")</f>
        <v>Yi lissafin sauran kudin shiga</v>
      </c>
      <c r="J1128" s="172" t="s">
        <v>5310</v>
      </c>
      <c r="K1128" s="172" t="s">
        <v>5311</v>
      </c>
      <c r="L1128" s="172" t="s">
        <v>5312</v>
      </c>
    </row>
    <row r="1129" hidden="1">
      <c r="A1129" s="188" t="s">
        <v>68</v>
      </c>
      <c r="B1129" s="189" t="s">
        <v>5313</v>
      </c>
      <c r="C1129" s="217" t="s">
        <v>5314</v>
      </c>
      <c r="D1129" s="190"/>
      <c r="E1129" s="190"/>
      <c r="F1129" s="182">
        <v>621.0</v>
      </c>
      <c r="G1129" s="172" t="str">
        <f>IFERROR(__xludf.DUMMYFUNCTION("TRIM(REGEXREPLACE(C1129, ""[0-9]+[a-f]?\."", """"))"),"Calculate total income")</f>
        <v>Calculate total income</v>
      </c>
      <c r="H1129" s="172" t="str">
        <f>IFERROR(__xludf.DUMMYFUNCTION("TRIM(REGEXREPLACE(D1129, ""[0-9]+[a-f]?\."", """"))"),"")</f>
        <v/>
      </c>
      <c r="I1129" s="172" t="str">
        <f>IFERROR(__xludf.DUMMYFUNCTION("TRIM(REGEXREPLACE(E1129, ""[0-9]+[a-f]?\."", """"))"),"")</f>
        <v/>
      </c>
      <c r="J1129" s="172" t="s">
        <v>5315</v>
      </c>
      <c r="K1129" s="172" t="s">
        <v>5316</v>
      </c>
      <c r="L1129" s="172" t="s">
        <v>5317</v>
      </c>
    </row>
    <row r="1130">
      <c r="A1130" s="215" t="s">
        <v>353</v>
      </c>
      <c r="B1130" s="216" t="s">
        <v>5318</v>
      </c>
      <c r="C1130" s="216" t="s">
        <v>5319</v>
      </c>
      <c r="D1130" s="216" t="s">
        <v>5320</v>
      </c>
      <c r="E1130" s="216" t="s">
        <v>5321</v>
      </c>
      <c r="F1130" s="182">
        <v>190.0</v>
      </c>
      <c r="G1130" s="172" t="str">
        <f>IFERROR(__xludf.DUMMYFUNCTION("TRIM(REGEXREPLACE(C1130, ""[0-9]+[a-f]?\."", """"))"),"Would you say that it is accurate that in ${pm_location_name} your total income during ${pm_location_period_lab} from activities other than ${pm_primary_activity_name} was ${pm_calc_other_income}?")</f>
        <v>Would you say that it is accurate that in ${pm_location_name} your total income during ${pm_location_period_lab} from activities other than ${pm_primary_activity_name} was ${pm_calc_other_income}?</v>
      </c>
      <c r="H1130" s="172" t="str">
        <f>IFERROR(__xludf.DUMMYFUNCTION("TRIM(REGEXREPLACE(D1130, ""[0-9]+[a-f]?\."", """"))"),"Diriez-vous que c'est exact qu'à ${pm_location_name}, votre revenu total pendant ${pm_location_period_lab_fr} provenant d'activités autres que ${pm_primary_activity_name} était de ${pm_calc_other_income} CFA ?")</f>
        <v>Diriez-vous que c'est exact qu'à ${pm_location_name}, votre revenu total pendant ${pm_location_period_lab_fr} provenant d'activités autres que ${pm_primary_activity_name} était de ${pm_calc_other_income} CFA ?</v>
      </c>
      <c r="I1130" s="172" t="str">
        <f>IFERROR(__xludf.DUMMYFUNCTION("TRIM(REGEXREPLACE(E1130, ""[0-9]+[a-f]?\."", """"))"),"Za ku iya cewa daidai ne a ${pm_location_name} jimillar kuɗin da kuka samu a lokacin ${pm_location_period_lab_ha} daga ayyukan da ba ${pm_primary_activity_name} shine ${pm_calc_other_income} CFA?")</f>
        <v>Za ku iya cewa daidai ne a ${pm_location_name} jimillar kuɗin da kuka samu a lokacin ${pm_location_period_lab_ha} daga ayyukan da ba ${pm_primary_activity_name} shine ${pm_calc_other_income} CFA?</v>
      </c>
      <c r="J1130" s="172" t="str">
        <f t="shared" ref="J1130:L1130" si="203">$F1130 &amp; ". " &amp;G1130</f>
        <v>190. Would you say that it is accurate that in ${pm_location_name} your total income during ${pm_location_period_lab} from activities other than ${pm_primary_activity_name} was ${pm_calc_other_income}?</v>
      </c>
      <c r="K1130" s="172" t="str">
        <f t="shared" si="203"/>
        <v>190. Diriez-vous que c'est exact qu'à ${pm_location_name}, votre revenu total pendant ${pm_location_period_lab_fr} provenant d'activités autres que ${pm_primary_activity_name} était de ${pm_calc_other_income} CFA ?</v>
      </c>
      <c r="L1130" s="172" t="str">
        <f t="shared" si="203"/>
        <v>190. Za ku iya cewa daidai ne a ${pm_location_name} jimillar kuɗin da kuka samu a lokacin ${pm_location_period_lab_ha} daga ayyukan da ba ${pm_primary_activity_name} shine ${pm_calc_other_income} CFA?</v>
      </c>
    </row>
    <row r="1131" hidden="1">
      <c r="A1131" s="188" t="s">
        <v>118</v>
      </c>
      <c r="B1131" s="189" t="s">
        <v>5325</v>
      </c>
      <c r="C1131" s="190"/>
      <c r="D1131" s="190"/>
      <c r="E1131" s="190"/>
      <c r="F1131" s="182">
        <v>623.0</v>
      </c>
      <c r="G1131" s="172" t="str">
        <f>IFERROR(__xludf.DUMMYFUNCTION("TRIM(REGEXREPLACE(C1131, ""[0-9]+[a-f]?\."", """"))"),"")</f>
        <v/>
      </c>
      <c r="H1131" s="172" t="str">
        <f>IFERROR(__xludf.DUMMYFUNCTION("TRIM(REGEXREPLACE(D1131, ""[0-9]+[a-f]?\."", """"))"),"")</f>
        <v/>
      </c>
      <c r="I1131" s="172" t="str">
        <f>IFERROR(__xludf.DUMMYFUNCTION("TRIM(REGEXREPLACE(E1131, ""[0-9]+[a-f]?\."", """"))"),"")</f>
        <v/>
      </c>
      <c r="J1131" s="172" t="s">
        <v>5328</v>
      </c>
      <c r="K1131" s="172" t="s">
        <v>5330</v>
      </c>
      <c r="L1131" s="172" t="s">
        <v>5331</v>
      </c>
    </row>
    <row r="1132" hidden="1">
      <c r="A1132" s="188" t="s">
        <v>68</v>
      </c>
      <c r="B1132" s="189" t="s">
        <v>5332</v>
      </c>
      <c r="C1132" s="190"/>
      <c r="D1132" s="190"/>
      <c r="E1132" s="190"/>
      <c r="F1132" s="182">
        <v>624.0</v>
      </c>
      <c r="G1132" s="172" t="str">
        <f>IFERROR(__xludf.DUMMYFUNCTION("TRIM(REGEXREPLACE(C1132, ""[0-9]+[a-f]?\."", """"))"),"")</f>
        <v/>
      </c>
      <c r="H1132" s="172" t="str">
        <f>IFERROR(__xludf.DUMMYFUNCTION("TRIM(REGEXREPLACE(D1132, ""[0-9]+[a-f]?\."", """"))"),"")</f>
        <v/>
      </c>
      <c r="I1132" s="172" t="str">
        <f>IFERROR(__xludf.DUMMYFUNCTION("TRIM(REGEXREPLACE(E1132, ""[0-9]+[a-f]?\."", """"))"),"")</f>
        <v/>
      </c>
      <c r="J1132" s="172" t="s">
        <v>5333</v>
      </c>
      <c r="K1132" s="172" t="s">
        <v>5334</v>
      </c>
      <c r="L1132" s="172" t="s">
        <v>5335</v>
      </c>
    </row>
    <row r="1133" hidden="1">
      <c r="F1133" s="182">
        <v>711.0</v>
      </c>
      <c r="G1133" s="172" t="str">
        <f>IFERROR(__xludf.DUMMYFUNCTION("TRIM(REGEXREPLACE(C1133, ""[0-9]+[a-f]?\."", """"))"),"")</f>
        <v/>
      </c>
      <c r="H1133" s="172" t="str">
        <f>IFERROR(__xludf.DUMMYFUNCTION("TRIM(REGEXREPLACE(D1133, ""[0-9]+[a-f]?\."", """"))"),"")</f>
        <v/>
      </c>
      <c r="I1133" s="172" t="str">
        <f>IFERROR(__xludf.DUMMYFUNCTION("TRIM(REGEXREPLACE(E1133, ""[0-9]+[a-f]?\."", """"))"),"")</f>
        <v/>
      </c>
      <c r="J1133" s="172" t="str">
        <f t="shared" ref="J1133:L1133" si="204">$F1133&amp;". "&amp;G1133</f>
        <v>711. </v>
      </c>
      <c r="K1133" s="172" t="str">
        <f t="shared" si="204"/>
        <v>711. </v>
      </c>
      <c r="L1133" s="172" t="str">
        <f t="shared" si="204"/>
        <v>711. </v>
      </c>
    </row>
    <row r="1134" hidden="1">
      <c r="F1134" s="182">
        <v>712.0</v>
      </c>
      <c r="G1134" s="172" t="str">
        <f>IFERROR(__xludf.DUMMYFUNCTION("TRIM(REGEXREPLACE(C1134, ""[0-9]+[a-f]?\."", """"))"),"")</f>
        <v/>
      </c>
      <c r="H1134" s="172" t="str">
        <f>IFERROR(__xludf.DUMMYFUNCTION("TRIM(REGEXREPLACE(D1134, ""[0-9]+[a-f]?\."", """"))"),"")</f>
        <v/>
      </c>
      <c r="I1134" s="172" t="str">
        <f>IFERROR(__xludf.DUMMYFUNCTION("TRIM(REGEXREPLACE(E1134, ""[0-9]+[a-f]?\."", """"))"),"")</f>
        <v/>
      </c>
      <c r="J1134" s="172" t="str">
        <f t="shared" ref="J1134:L1134" si="205">$F1134&amp;". "&amp;G1134</f>
        <v>712. </v>
      </c>
      <c r="K1134" s="172" t="str">
        <f t="shared" si="205"/>
        <v>712. </v>
      </c>
      <c r="L1134" s="172" t="str">
        <f t="shared" si="205"/>
        <v>712. </v>
      </c>
    </row>
    <row r="1135" hidden="1">
      <c r="F1135" s="182">
        <v>713.0</v>
      </c>
      <c r="G1135" s="172" t="str">
        <f>IFERROR(__xludf.DUMMYFUNCTION("TRIM(REGEXREPLACE(C1135, ""[0-9]+[a-f]?\."", """"))"),"")</f>
        <v/>
      </c>
      <c r="H1135" s="172" t="str">
        <f>IFERROR(__xludf.DUMMYFUNCTION("TRIM(REGEXREPLACE(D1135, ""[0-9]+[a-f]?\."", """"))"),"")</f>
        <v/>
      </c>
      <c r="I1135" s="172" t="str">
        <f>IFERROR(__xludf.DUMMYFUNCTION("TRIM(REGEXREPLACE(E1135, ""[0-9]+[a-f]?\."", """"))"),"")</f>
        <v/>
      </c>
      <c r="J1135" s="172" t="str">
        <f t="shared" ref="J1135:L1135" si="206">$F1135&amp;". "&amp;G1135</f>
        <v>713. </v>
      </c>
      <c r="K1135" s="172" t="str">
        <f t="shared" si="206"/>
        <v>713. </v>
      </c>
      <c r="L1135" s="172" t="str">
        <f t="shared" si="206"/>
        <v>713. </v>
      </c>
    </row>
    <row r="1136" hidden="1">
      <c r="A1136" s="211" t="s">
        <v>238</v>
      </c>
      <c r="B1136" s="224" t="s">
        <v>5168</v>
      </c>
      <c r="C1136" s="224" t="s">
        <v>5169</v>
      </c>
      <c r="D1136" s="224" t="s">
        <v>5170</v>
      </c>
      <c r="E1136" s="224" t="s">
        <v>5171</v>
      </c>
      <c r="F1136" s="182">
        <v>625.0</v>
      </c>
      <c r="G1136" s="172" t="str">
        <f>IFERROR(__xludf.DUMMYFUNCTION("TRIM(REGEXREPLACE(C1136, ""[0-9]+[a-f]?\."", """"))"),"Primary Activity")</f>
        <v>Primary Activity</v>
      </c>
      <c r="H1136" s="172" t="str">
        <f>IFERROR(__xludf.DUMMYFUNCTION("TRIM(REGEXREPLACE(D1136, ""[0-9]+[a-f]?\."", """"))"),"Activité principale")</f>
        <v>Activité principale</v>
      </c>
      <c r="I1136" s="172" t="str">
        <f>IFERROR(__xludf.DUMMYFUNCTION("TRIM(REGEXREPLACE(E1136, ""[0-9]+[a-f]?\."", """"))"),"Muhimmin aiki")</f>
        <v>Muhimmin aiki</v>
      </c>
      <c r="J1136" s="172" t="s">
        <v>5343</v>
      </c>
      <c r="K1136" s="172" t="s">
        <v>5344</v>
      </c>
      <c r="L1136" s="172" t="s">
        <v>5345</v>
      </c>
    </row>
    <row r="1137" hidden="1">
      <c r="A1137" s="263"/>
      <c r="B1137" s="214"/>
      <c r="C1137" s="214"/>
      <c r="D1137" s="214"/>
      <c r="E1137" s="214"/>
      <c r="F1137" s="182">
        <v>626.0</v>
      </c>
      <c r="G1137" s="172" t="str">
        <f>IFERROR(__xludf.DUMMYFUNCTION("TRIM(REGEXREPLACE(C1137, ""[0-9]+[a-f]?\."", """"))"),"")</f>
        <v/>
      </c>
      <c r="H1137" s="172" t="str">
        <f>IFERROR(__xludf.DUMMYFUNCTION("TRIM(REGEXREPLACE(D1137, ""[0-9]+[a-f]?\."", """"))"),"")</f>
        <v/>
      </c>
      <c r="I1137" s="172" t="str">
        <f>IFERROR(__xludf.DUMMYFUNCTION("TRIM(REGEXREPLACE(E1137, ""[0-9]+[a-f]?\."", """"))"),"")</f>
        <v/>
      </c>
      <c r="J1137" s="172" t="s">
        <v>5347</v>
      </c>
      <c r="K1137" s="172" t="s">
        <v>5348</v>
      </c>
      <c r="L1137" s="172" t="s">
        <v>5349</v>
      </c>
    </row>
    <row r="1138" hidden="1">
      <c r="A1138" s="172"/>
      <c r="B1138" s="174"/>
      <c r="C1138" s="174"/>
      <c r="D1138" s="174"/>
      <c r="E1138" s="174"/>
      <c r="F1138" s="182">
        <v>627.0</v>
      </c>
      <c r="G1138" s="172" t="str">
        <f>IFERROR(__xludf.DUMMYFUNCTION("TRIM(REGEXREPLACE(C1138, ""[0-9]+[a-f]?\."", """"))"),"")</f>
        <v/>
      </c>
      <c r="H1138" s="172" t="str">
        <f>IFERROR(__xludf.DUMMYFUNCTION("TRIM(REGEXREPLACE(D1138, ""[0-9]+[a-f]?\."", """"))"),"")</f>
        <v/>
      </c>
      <c r="I1138" s="172" t="str">
        <f>IFERROR(__xludf.DUMMYFUNCTION("TRIM(REGEXREPLACE(E1138, ""[0-9]+[a-f]?\."", """"))"),"")</f>
        <v/>
      </c>
      <c r="J1138" s="172" t="s">
        <v>5353</v>
      </c>
      <c r="K1138" s="172" t="s">
        <v>5355</v>
      </c>
      <c r="L1138" s="172" t="s">
        <v>5356</v>
      </c>
    </row>
    <row r="1139" hidden="1">
      <c r="C1139" s="260"/>
      <c r="D1139" s="260"/>
      <c r="E1139" s="260"/>
      <c r="F1139" s="182">
        <v>669.0</v>
      </c>
      <c r="G1139" s="172" t="str">
        <f>IFERROR(__xludf.DUMMYFUNCTION("TRIM(REGEXREPLACE(C1139, ""[0-9]+[a-f]?\."", """"))"),"")</f>
        <v/>
      </c>
      <c r="H1139" s="172" t="str">
        <f>IFERROR(__xludf.DUMMYFUNCTION("TRIM(REGEXREPLACE(D1139, ""[0-9]+[a-f]?\."", """"))"),"")</f>
        <v/>
      </c>
      <c r="I1139" s="172" t="str">
        <f>IFERROR(__xludf.DUMMYFUNCTION("TRIM(REGEXREPLACE(E1139, ""[0-9]+[a-f]?\."", """"))"),"")</f>
        <v/>
      </c>
      <c r="J1139" s="172" t="s">
        <v>5358</v>
      </c>
      <c r="K1139" s="172" t="s">
        <v>5359</v>
      </c>
      <c r="L1139" s="172" t="s">
        <v>5360</v>
      </c>
    </row>
    <row r="1140" hidden="1">
      <c r="C1140" s="260"/>
      <c r="D1140" s="260"/>
      <c r="E1140" s="260"/>
      <c r="F1140" s="182">
        <v>670.0</v>
      </c>
      <c r="G1140" s="172" t="str">
        <f>IFERROR(__xludf.DUMMYFUNCTION("TRIM(REGEXREPLACE(C1140, ""[0-9]+[a-f]?\."", """"))"),"")</f>
        <v/>
      </c>
      <c r="H1140" s="172" t="str">
        <f>IFERROR(__xludf.DUMMYFUNCTION("TRIM(REGEXREPLACE(D1140, ""[0-9]+[a-f]?\."", """"))"),"")</f>
        <v/>
      </c>
      <c r="I1140" s="172" t="str">
        <f>IFERROR(__xludf.DUMMYFUNCTION("TRIM(REGEXREPLACE(E1140, ""[0-9]+[a-f]?\."", """"))"),"")</f>
        <v/>
      </c>
      <c r="J1140" s="172" t="s">
        <v>5362</v>
      </c>
      <c r="K1140" s="172" t="s">
        <v>5364</v>
      </c>
      <c r="L1140" s="172" t="s">
        <v>5366</v>
      </c>
    </row>
    <row r="1141" hidden="1">
      <c r="C1141" s="260"/>
      <c r="D1141" s="260"/>
      <c r="E1141" s="260"/>
      <c r="F1141" s="182">
        <v>671.0</v>
      </c>
      <c r="G1141" s="172" t="str">
        <f>IFERROR(__xludf.DUMMYFUNCTION("TRIM(REGEXREPLACE(C1141, ""[0-9]+[a-f]?\."", """"))"),"")</f>
        <v/>
      </c>
      <c r="H1141" s="172" t="str">
        <f>IFERROR(__xludf.DUMMYFUNCTION("TRIM(REGEXREPLACE(D1141, ""[0-9]+[a-f]?\."", """"))"),"")</f>
        <v/>
      </c>
      <c r="I1141" s="172" t="str">
        <f>IFERROR(__xludf.DUMMYFUNCTION("TRIM(REGEXREPLACE(E1141, ""[0-9]+[a-f]?\."", """"))"),"")</f>
        <v/>
      </c>
      <c r="J1141" s="172" t="s">
        <v>5367</v>
      </c>
      <c r="K1141" s="172" t="s">
        <v>5368</v>
      </c>
      <c r="L1141" s="172" t="s">
        <v>5369</v>
      </c>
    </row>
    <row r="1142" hidden="1">
      <c r="A1142" s="211" t="s">
        <v>107</v>
      </c>
      <c r="B1142" s="212" t="s">
        <v>5370</v>
      </c>
      <c r="C1142" s="212" t="s">
        <v>5371</v>
      </c>
      <c r="D1142" s="212" t="s">
        <v>5372</v>
      </c>
      <c r="E1142" s="212" t="s">
        <v>5373</v>
      </c>
      <c r="F1142" s="182">
        <v>628.0</v>
      </c>
      <c r="G1142" s="172" t="str">
        <f>IFERROR(__xludf.DUMMYFUNCTION("TRIM(REGEXREPLACE(C1142, ""[0-9]+[a-f]?\."", """"))"),"Location not at home")</f>
        <v>Location not at home</v>
      </c>
      <c r="H1142" s="172" t="str">
        <f>IFERROR(__xludf.DUMMYFUNCTION("TRIM(REGEXREPLACE(D1142, ""[0-9]+[a-f]?\."", """"))"),"Localité pas à la maison")</f>
        <v>Localité pas à la maison</v>
      </c>
      <c r="I1142" s="172" t="str">
        <f>IFERROR(__xludf.DUMMYFUNCTION("TRIM(REGEXREPLACE(E1142, ""[0-9]+[a-f]?\."", """"))"),"Wuri ba a gida ba")</f>
        <v>Wuri ba a gida ba</v>
      </c>
      <c r="J1142" s="172" t="s">
        <v>5374</v>
      </c>
      <c r="K1142" s="172" t="s">
        <v>5375</v>
      </c>
      <c r="L1142" s="172" t="s">
        <v>5376</v>
      </c>
    </row>
    <row r="1143" hidden="1">
      <c r="A1143" s="188" t="s">
        <v>118</v>
      </c>
      <c r="B1143" s="189" t="s">
        <v>5377</v>
      </c>
      <c r="C1143" s="190"/>
      <c r="D1143" s="190"/>
      <c r="E1143" s="190"/>
      <c r="F1143" s="182">
        <v>629.0</v>
      </c>
      <c r="G1143" s="172" t="str">
        <f>IFERROR(__xludf.DUMMYFUNCTION("TRIM(REGEXREPLACE(C1143, ""[0-9]+[a-f]?\."", """"))"),"")</f>
        <v/>
      </c>
      <c r="H1143" s="172" t="str">
        <f>IFERROR(__xludf.DUMMYFUNCTION("TRIM(REGEXREPLACE(D1143, ""[0-9]+[a-f]?\."", """"))"),"")</f>
        <v/>
      </c>
      <c r="I1143" s="172" t="str">
        <f>IFERROR(__xludf.DUMMYFUNCTION("TRIM(REGEXREPLACE(E1143, ""[0-9]+[a-f]?\."", """"))"),"")</f>
        <v/>
      </c>
      <c r="J1143" s="172" t="s">
        <v>5379</v>
      </c>
      <c r="K1143" s="172" t="s">
        <v>5380</v>
      </c>
      <c r="L1143" s="172" t="s">
        <v>5381</v>
      </c>
    </row>
    <row r="1144" hidden="1">
      <c r="C1144" s="260"/>
      <c r="D1144" s="260"/>
      <c r="E1144" s="260"/>
      <c r="F1144" s="182">
        <v>674.0</v>
      </c>
      <c r="G1144" s="172" t="str">
        <f>IFERROR(__xludf.DUMMYFUNCTION("TRIM(REGEXREPLACE(C1144, ""[0-9]+[a-f]?\."", """"))"),"")</f>
        <v/>
      </c>
      <c r="H1144" s="172" t="str">
        <f>IFERROR(__xludf.DUMMYFUNCTION("TRIM(REGEXREPLACE(D1144, ""[0-9]+[a-f]?\."", """"))"),"")</f>
        <v/>
      </c>
      <c r="I1144" s="172" t="str">
        <f>IFERROR(__xludf.DUMMYFUNCTION("TRIM(REGEXREPLACE(E1144, ""[0-9]+[a-f]?\."", """"))"),"")</f>
        <v/>
      </c>
      <c r="J1144" s="172" t="s">
        <v>5382</v>
      </c>
      <c r="K1144" s="172" t="s">
        <v>5383</v>
      </c>
      <c r="L1144" s="172" t="s">
        <v>5384</v>
      </c>
    </row>
    <row r="1145" hidden="1">
      <c r="C1145" s="260"/>
      <c r="D1145" s="260"/>
      <c r="E1145" s="260"/>
      <c r="F1145" s="182">
        <v>675.0</v>
      </c>
      <c r="G1145" s="172" t="str">
        <f>IFERROR(__xludf.DUMMYFUNCTION("TRIM(REGEXREPLACE(C1145, ""[0-9]+[a-f]?\."", """"))"),"")</f>
        <v/>
      </c>
      <c r="H1145" s="172" t="str">
        <f>IFERROR(__xludf.DUMMYFUNCTION("TRIM(REGEXREPLACE(D1145, ""[0-9]+[a-f]?\."", """"))"),"")</f>
        <v/>
      </c>
      <c r="I1145" s="172" t="str">
        <f>IFERROR(__xludf.DUMMYFUNCTION("TRIM(REGEXREPLACE(E1145, ""[0-9]+[a-f]?\."", """"))"),"")</f>
        <v/>
      </c>
      <c r="J1145" s="172" t="s">
        <v>5385</v>
      </c>
      <c r="K1145" s="172" t="s">
        <v>5386</v>
      </c>
      <c r="L1145" s="172" t="s">
        <v>5387</v>
      </c>
    </row>
    <row r="1146" hidden="1">
      <c r="C1146" s="260"/>
      <c r="D1146" s="260"/>
      <c r="E1146" s="260"/>
      <c r="F1146" s="182">
        <v>676.0</v>
      </c>
      <c r="G1146" s="172" t="str">
        <f>IFERROR(__xludf.DUMMYFUNCTION("TRIM(REGEXREPLACE(C1146, ""[0-9]+[a-f]?\."", """"))"),"")</f>
        <v/>
      </c>
      <c r="H1146" s="172" t="str">
        <f>IFERROR(__xludf.DUMMYFUNCTION("TRIM(REGEXREPLACE(D1146, ""[0-9]+[a-f]?\."", """"))"),"")</f>
        <v/>
      </c>
      <c r="I1146" s="172" t="str">
        <f>IFERROR(__xludf.DUMMYFUNCTION("TRIM(REGEXREPLACE(E1146, ""[0-9]+[a-f]?\."", """"))"),"")</f>
        <v/>
      </c>
      <c r="J1146" s="172" t="s">
        <v>5388</v>
      </c>
      <c r="K1146" s="172" t="s">
        <v>5389</v>
      </c>
      <c r="L1146" s="172" t="s">
        <v>5390</v>
      </c>
    </row>
    <row r="1147" hidden="1">
      <c r="C1147" s="260"/>
      <c r="D1147" s="260"/>
      <c r="E1147" s="260"/>
      <c r="F1147" s="182">
        <v>677.0</v>
      </c>
      <c r="G1147" s="172" t="str">
        <f>IFERROR(__xludf.DUMMYFUNCTION("TRIM(REGEXREPLACE(C1147, ""[0-9]+[a-f]?\."", """"))"),"")</f>
        <v/>
      </c>
      <c r="H1147" s="172" t="str">
        <f>IFERROR(__xludf.DUMMYFUNCTION("TRIM(REGEXREPLACE(D1147, ""[0-9]+[a-f]?\."", """"))"),"")</f>
        <v/>
      </c>
      <c r="I1147" s="172" t="str">
        <f>IFERROR(__xludf.DUMMYFUNCTION("TRIM(REGEXREPLACE(E1147, ""[0-9]+[a-f]?\."", """"))"),"")</f>
        <v/>
      </c>
      <c r="J1147" s="172" t="s">
        <v>5395</v>
      </c>
      <c r="K1147" s="172" t="s">
        <v>5396</v>
      </c>
      <c r="L1147" s="172" t="s">
        <v>5397</v>
      </c>
    </row>
    <row r="1148">
      <c r="A1148" s="215" t="s">
        <v>1818</v>
      </c>
      <c r="B1148" s="216" t="s">
        <v>5398</v>
      </c>
      <c r="C1148" s="216" t="s">
        <v>5399</v>
      </c>
      <c r="D1148" s="216" t="s">
        <v>5400</v>
      </c>
      <c r="E1148" s="216" t="s">
        <v>5401</v>
      </c>
      <c r="F1148" s="182">
        <v>191.0</v>
      </c>
      <c r="G1148" s="172" t="str">
        <f>IFERROR(__xludf.DUMMYFUNCTION("TRIM(REGEXREPLACE(C1148, ""[0-9]+[a-f]?\."", """"))"),"What was the main reason you spent time in ${pm_location_name} during ${pm_location_period_lab}?")</f>
        <v>What was the main reason you spent time in ${pm_location_name} during ${pm_location_period_lab}?</v>
      </c>
      <c r="H1148" s="172" t="str">
        <f>IFERROR(__xludf.DUMMYFUNCTION("TRIM(REGEXREPLACE(D1148, ""[0-9]+[a-f]?\."", """"))"),"Quelle est la principale raison pour laquelle vous avez passé du temps à ${pm_location_name} pendant ${pm_location_period_lab_fr} ?")</f>
        <v>Quelle est la principale raison pour laquelle vous avez passé du temps à ${pm_location_name} pendant ${pm_location_period_lab_fr} ?</v>
      </c>
      <c r="I1148" s="172" t="str">
        <f>IFERROR(__xludf.DUMMYFUNCTION("TRIM(REGEXREPLACE(E1148, ""[0-9]+[a-f]?\."", """"))"),"Menene babban dalilin da ya sa kuka zauna tsawon wani lokaci a ${pm_location_name} lokacin ${pm_location_period_lab_ha}?")</f>
        <v>Menene babban dalilin da ya sa kuka zauna tsawon wani lokaci a ${pm_location_name} lokacin ${pm_location_period_lab_ha}?</v>
      </c>
      <c r="J1148" s="172" t="str">
        <f t="shared" ref="J1148:L1148" si="207">$F1148 &amp; ". " &amp;G1148</f>
        <v>191. What was the main reason you spent time in ${pm_location_name} during ${pm_location_period_lab}?</v>
      </c>
      <c r="K1148" s="172" t="str">
        <f t="shared" si="207"/>
        <v>191. Quelle est la principale raison pour laquelle vous avez passé du temps à ${pm_location_name} pendant ${pm_location_period_lab_fr} ?</v>
      </c>
      <c r="L1148" s="172" t="str">
        <f t="shared" si="207"/>
        <v>191. Menene babban dalilin da ya sa kuka zauna tsawon wani lokaci a ${pm_location_name} lokacin ${pm_location_period_lab_ha}?</v>
      </c>
    </row>
    <row r="1149" hidden="1">
      <c r="C1149" s="260"/>
      <c r="D1149" s="260"/>
      <c r="E1149" s="260"/>
      <c r="F1149" s="182">
        <v>679.0</v>
      </c>
      <c r="G1149" s="172" t="str">
        <f>IFERROR(__xludf.DUMMYFUNCTION("TRIM(REGEXREPLACE(C1149, ""[0-9]+[a-f]?\."", """"))"),"")</f>
        <v/>
      </c>
      <c r="H1149" s="172" t="str">
        <f>IFERROR(__xludf.DUMMYFUNCTION("TRIM(REGEXREPLACE(D1149, ""[0-9]+[a-f]?\."", """"))"),"")</f>
        <v/>
      </c>
      <c r="I1149" s="172" t="str">
        <f>IFERROR(__xludf.DUMMYFUNCTION("TRIM(REGEXREPLACE(E1149, ""[0-9]+[a-f]?\."", """"))"),"")</f>
        <v/>
      </c>
      <c r="J1149" s="172" t="s">
        <v>5405</v>
      </c>
      <c r="K1149" s="172" t="s">
        <v>5406</v>
      </c>
      <c r="L1149" s="172" t="s">
        <v>5407</v>
      </c>
    </row>
    <row r="1150">
      <c r="A1150" s="215" t="s">
        <v>5408</v>
      </c>
      <c r="B1150" s="216" t="s">
        <v>5410</v>
      </c>
      <c r="C1150" s="216" t="s">
        <v>2223</v>
      </c>
      <c r="D1150" s="216" t="s">
        <v>2224</v>
      </c>
      <c r="E1150" s="216" t="s">
        <v>5413</v>
      </c>
      <c r="F1150" s="182">
        <v>192.0</v>
      </c>
      <c r="G1150" s="172" t="str">
        <f>IFERROR(__xludf.DUMMYFUNCTION("TRIM(REGEXREPLACE(C1150, ""[0-9]+[a-f]?\."", """"))"),"Think about a typical week in ${pm_location_name}, where were you living?")</f>
        <v>Think about a typical week in ${pm_location_name}, where were you living?</v>
      </c>
      <c r="H1150" s="172" t="str">
        <f>IFERROR(__xludf.DUMMYFUNCTION("TRIM(REGEXREPLACE(D1150, ""[0-9]+[a-f]?\."", """"))"),"Pensez à une semaine typique à ${pm_location_name}, où viviez-vous ?")</f>
        <v>Pensez à une semaine typique à ${pm_location_name}, où viviez-vous ?</v>
      </c>
      <c r="I1150" s="172" t="str">
        <f>IFERROR(__xludf.DUMMYFUNCTION("TRIM(REGEXREPLACE(E1150, ""[0-9]+[a-f]?\."", """"))"),"Ku yi tunanin sati guda a cikin ${pm_location_name}, da inda kuke zaune?")</f>
        <v>Ku yi tunanin sati guda a cikin ${pm_location_name}, da inda kuke zaune?</v>
      </c>
      <c r="J1150" s="172" t="str">
        <f t="shared" ref="J1150:L1150" si="208">$F1150 &amp; ". " &amp;G1150</f>
        <v>192. Think about a typical week in ${pm_location_name}, where were you living?</v>
      </c>
      <c r="K1150" s="172" t="str">
        <f t="shared" si="208"/>
        <v>192. Pensez à une semaine typique à ${pm_location_name}, où viviez-vous ?</v>
      </c>
      <c r="L1150" s="172" t="str">
        <f t="shared" si="208"/>
        <v>192. Ku yi tunanin sati guda a cikin ${pm_location_name}, da inda kuke zaune?</v>
      </c>
    </row>
    <row r="1151">
      <c r="A1151" s="215" t="s">
        <v>353</v>
      </c>
      <c r="B1151" s="216" t="s">
        <v>5415</v>
      </c>
      <c r="C1151" s="216" t="s">
        <v>5416</v>
      </c>
      <c r="D1151" s="216" t="s">
        <v>5420</v>
      </c>
      <c r="E1151" s="216" t="s">
        <v>5421</v>
      </c>
      <c r="F1151" s="182">
        <v>193.0</v>
      </c>
      <c r="G1151" s="172" t="str">
        <f>IFERROR(__xludf.DUMMYFUNCTION("TRIM(REGEXREPLACE(C1151, ""[0-9]+[a-f]?\."", """"))"),"In ${pm_location_name} during ${pm_location_period_lab}, did you share money with your household in ${pm_home_location}?")</f>
        <v>In ${pm_location_name} during ${pm_location_period_lab}, did you share money with your household in ${pm_home_location}?</v>
      </c>
      <c r="H1151" s="172" t="str">
        <f>IFERROR(__xludf.DUMMYFUNCTION("TRIM(REGEXREPLACE(D1151, ""[0-9]+[a-f]?\."", """"))"),"À ${pm_location_name} pendant ${pm_location_period_lab_fr} avez-vous envoyé de l'argent a votre ménage à ${pm_home_location} ?")</f>
        <v>À ${pm_location_name} pendant ${pm_location_period_lab_fr} avez-vous envoyé de l'argent a votre ménage à ${pm_home_location} ?</v>
      </c>
      <c r="I1151" s="172" t="str">
        <f>IFERROR(__xludf.DUMMYFUNCTION("TRIM(REGEXREPLACE(E1151, ""[0-9]+[a-f]?\."", """"))"),"A ${pm_location_name} ${period_hausa_bl} kun aika kuɗi zuwa gidanku a ${pm_home_location}?")</f>
        <v>A ${pm_location_name} ${period_hausa_bl} kun aika kuɗi zuwa gidanku a ${pm_home_location}?</v>
      </c>
      <c r="J1151" s="172" t="str">
        <f t="shared" ref="J1151:L1151" si="209">$F1151 &amp; ". " &amp;G1151</f>
        <v>193. In ${pm_location_name} during ${pm_location_period_lab}, did you share money with your household in ${pm_home_location}?</v>
      </c>
      <c r="K1151" s="172" t="str">
        <f t="shared" si="209"/>
        <v>193. À ${pm_location_name} pendant ${pm_location_period_lab_fr} avez-vous envoyé de l'argent a votre ménage à ${pm_home_location} ?</v>
      </c>
      <c r="L1151" s="172" t="str">
        <f t="shared" si="209"/>
        <v>193. A ${pm_location_name} ${period_hausa_bl} kun aika kuɗi zuwa gidanku a ${pm_home_location}?</v>
      </c>
    </row>
    <row r="1152" hidden="1">
      <c r="C1152" s="260"/>
      <c r="D1152" s="260"/>
      <c r="E1152" s="260"/>
      <c r="F1152" s="182">
        <v>681.0</v>
      </c>
      <c r="G1152" s="172" t="str">
        <f>IFERROR(__xludf.DUMMYFUNCTION("TRIM(REGEXREPLACE(C1152, ""[0-9]+[a-f]?\."", """"))"),"")</f>
        <v/>
      </c>
      <c r="H1152" s="172" t="str">
        <f>IFERROR(__xludf.DUMMYFUNCTION("TRIM(REGEXREPLACE(D1152, ""[0-9]+[a-f]?\."", """"))"),"")</f>
        <v/>
      </c>
      <c r="I1152" s="172" t="str">
        <f>IFERROR(__xludf.DUMMYFUNCTION("TRIM(REGEXREPLACE(E1152, ""[0-9]+[a-f]?\."", """"))"),"")</f>
        <v/>
      </c>
      <c r="J1152" s="172" t="s">
        <v>5425</v>
      </c>
      <c r="K1152" s="172" t="s">
        <v>5426</v>
      </c>
      <c r="L1152" s="172" t="s">
        <v>5427</v>
      </c>
    </row>
    <row r="1153" hidden="1">
      <c r="F1153" s="182">
        <v>731.0</v>
      </c>
      <c r="G1153" s="172" t="str">
        <f>IFERROR(__xludf.DUMMYFUNCTION("TRIM(REGEXREPLACE(C1153, ""[0-9]+[a-f]?\."", """"))"),"")</f>
        <v/>
      </c>
      <c r="H1153" s="172" t="str">
        <f>IFERROR(__xludf.DUMMYFUNCTION("TRIM(REGEXREPLACE(D1153, ""[0-9]+[a-f]?\."", """"))"),"")</f>
        <v/>
      </c>
      <c r="I1153" s="172" t="str">
        <f>IFERROR(__xludf.DUMMYFUNCTION("TRIM(REGEXREPLACE(E1153, ""[0-9]+[a-f]?\."", """"))"),"")</f>
        <v/>
      </c>
      <c r="J1153" s="172" t="str">
        <f t="shared" ref="J1153:L1153" si="210">$F1153&amp;". "&amp;G1153</f>
        <v>731. </v>
      </c>
      <c r="K1153" s="172" t="str">
        <f t="shared" si="210"/>
        <v>731. </v>
      </c>
      <c r="L1153" s="172" t="str">
        <f t="shared" si="210"/>
        <v>731. </v>
      </c>
    </row>
    <row r="1154" hidden="1">
      <c r="C1154" s="260"/>
      <c r="D1154" s="260"/>
      <c r="E1154" s="260"/>
      <c r="F1154" s="182">
        <v>682.0</v>
      </c>
      <c r="G1154" s="172" t="str">
        <f>IFERROR(__xludf.DUMMYFUNCTION("TRIM(REGEXREPLACE(C1154, ""[0-9]+[a-f]?\."", """"))"),"")</f>
        <v/>
      </c>
      <c r="H1154" s="172" t="str">
        <f>IFERROR(__xludf.DUMMYFUNCTION("TRIM(REGEXREPLACE(D1154, ""[0-9]+[a-f]?\."", """"))"),"")</f>
        <v/>
      </c>
      <c r="I1154" s="172" t="str">
        <f>IFERROR(__xludf.DUMMYFUNCTION("TRIM(REGEXREPLACE(E1154, ""[0-9]+[a-f]?\."", """"))"),"")</f>
        <v/>
      </c>
      <c r="J1154" s="172" t="s">
        <v>5428</v>
      </c>
      <c r="K1154" s="172" t="s">
        <v>5429</v>
      </c>
      <c r="L1154" s="172" t="s">
        <v>5430</v>
      </c>
    </row>
    <row r="1155" hidden="1">
      <c r="F1155" s="182">
        <v>733.0</v>
      </c>
      <c r="G1155" s="172" t="str">
        <f>IFERROR(__xludf.DUMMYFUNCTION("TRIM(REGEXREPLACE(C1155, ""[0-9]+[a-f]?\."", """"))"),"")</f>
        <v/>
      </c>
      <c r="H1155" s="172" t="str">
        <f>IFERROR(__xludf.DUMMYFUNCTION("TRIM(REGEXREPLACE(D1155, ""[0-9]+[a-f]?\."", """"))"),"")</f>
        <v/>
      </c>
      <c r="I1155" s="172" t="str">
        <f>IFERROR(__xludf.DUMMYFUNCTION("TRIM(REGEXREPLACE(E1155, ""[0-9]+[a-f]?\."", """"))"),"")</f>
        <v/>
      </c>
      <c r="J1155" s="172" t="str">
        <f t="shared" ref="J1155:L1155" si="211">$F1155&amp;". "&amp;G1155</f>
        <v>733. </v>
      </c>
      <c r="K1155" s="172" t="str">
        <f t="shared" si="211"/>
        <v>733. </v>
      </c>
      <c r="L1155" s="172" t="str">
        <f t="shared" si="211"/>
        <v>733. </v>
      </c>
    </row>
    <row r="1156">
      <c r="A1156" s="253" t="s">
        <v>246</v>
      </c>
      <c r="B1156" s="254" t="s">
        <v>5435</v>
      </c>
      <c r="C1156" s="254" t="s">
        <v>5436</v>
      </c>
      <c r="D1156" s="254" t="s">
        <v>5437</v>
      </c>
      <c r="E1156" s="254" t="s">
        <v>5438</v>
      </c>
      <c r="F1156" s="182">
        <v>194.0</v>
      </c>
      <c r="G1156" s="172" t="str">
        <f>IFERROR(__xludf.DUMMYFUNCTION("TRIM(REGEXREPLACE(C1156, ""[0-9]+[a-f]?\."", """"))"),"Thinking about the ${pm_location_weeks} weeks you spent in location during ${pm_location_period_lab}, how much of the money you earned do you estimate you shared with your household in ${pm_home_location}?")</f>
        <v>Thinking about the ${pm_location_weeks} weeks you spent in location during ${pm_location_period_lab}, how much of the money you earned do you estimate you shared with your household in ${pm_home_location}?</v>
      </c>
      <c r="H1156" s="172" t="str">
        <f>IFERROR(__xludf.DUMMYFUNCTION("TRIM(REGEXREPLACE(D1156, ""[0-9]+[a-f]?\."", """"))"),"En pensant aux ${pm_location_weeks} semaines que vous avez passées dans la localité au cours de ${pm_location_period_lab_fr}, quelle part de l'argent que vous avez gagné estimez-vous avoir envoyé à votre ménage en ${pm_home_location}?")</f>
        <v>En pensant aux ${pm_location_weeks} semaines que vous avez passées dans la localité au cours de ${pm_location_period_lab_fr}, quelle part de l'argent que vous avez gagné estimez-vous avoir envoyé à votre ménage en ${pm_home_location}?</v>
      </c>
      <c r="I1156" s="172" t="str">
        <f>IFERROR(__xludf.DUMMYFUNCTION("TRIM(REGEXREPLACE(E1156, ""[0-9]+[a-f]?\."", """"))"),"Ku Tuna da makonnin ${pm_location_weeks} da kuka zauna a wurin ${pm_location_period_lab_ha}, nawa ne daga cikin kudaden da kuka samu kuka kiyasin aika wa gidanku a ${pm_home_location}?")</f>
        <v>Ku Tuna da makonnin ${pm_location_weeks} da kuka zauna a wurin ${pm_location_period_lab_ha}, nawa ne daga cikin kudaden da kuka samu kuka kiyasin aika wa gidanku a ${pm_home_location}?</v>
      </c>
      <c r="J1156" s="172" t="str">
        <f t="shared" ref="J1156:L1156" si="212">$F1156 &amp; ". " &amp;G1156</f>
        <v>194. Thinking about the ${pm_location_weeks} weeks you spent in location during ${pm_location_period_lab}, how much of the money you earned do you estimate you shared with your household in ${pm_home_location}?</v>
      </c>
      <c r="K1156" s="172" t="str">
        <f t="shared" si="212"/>
        <v>194. En pensant aux ${pm_location_weeks} semaines que vous avez passées dans la localité au cours de ${pm_location_period_lab_fr}, quelle part de l'argent que vous avez gagné estimez-vous avoir envoyé à votre ménage en ${pm_home_location}?</v>
      </c>
      <c r="L1156" s="172" t="str">
        <f t="shared" si="212"/>
        <v>194. Ku Tuna da makonnin ${pm_location_weeks} da kuka zauna a wurin ${pm_location_period_lab_ha}, nawa ne daga cikin kudaden da kuka samu kuka kiyasin aika wa gidanku a ${pm_home_location}?</v>
      </c>
    </row>
    <row r="1157">
      <c r="A1157" s="215" t="s">
        <v>5442</v>
      </c>
      <c r="B1157" s="216" t="s">
        <v>5443</v>
      </c>
      <c r="C1157" s="216" t="s">
        <v>2236</v>
      </c>
      <c r="D1157" s="216" t="s">
        <v>5444</v>
      </c>
      <c r="E1157" s="216" t="s">
        <v>2238</v>
      </c>
      <c r="F1157" s="182">
        <v>195.0</v>
      </c>
      <c r="G1157" s="172" t="str">
        <f>IFERROR(__xludf.DUMMYFUNCTION("TRIM(REGEXREPLACE(C1157, ""[0-9]+[a-f]?\."", """"))"),"What method did you use to share money?")</f>
        <v>What method did you use to share money?</v>
      </c>
      <c r="H1157" s="172" t="str">
        <f>IFERROR(__xludf.DUMMYFUNCTION("TRIM(REGEXREPLACE(D1157, ""[0-9]+[a-f]?\."", """"))"),"Quel canal avez-vous utilisé pour envoyer l'argent ?")</f>
        <v>Quel canal avez-vous utilisé pour envoyer l'argent ?</v>
      </c>
      <c r="I1157" s="172" t="str">
        <f>IFERROR(__xludf.DUMMYFUNCTION("TRIM(REGEXREPLACE(E1157, ""[0-9]+[a-f]?\."", """"))"),"Wace hanya kuka yi amfani da ita don tura kuɗin?")</f>
        <v>Wace hanya kuka yi amfani da ita don tura kuɗin?</v>
      </c>
      <c r="J1157" s="172" t="str">
        <f t="shared" ref="J1157:L1157" si="213">$F1157 &amp; ". " &amp;G1157</f>
        <v>195. What method did you use to share money?</v>
      </c>
      <c r="K1157" s="172" t="str">
        <f t="shared" si="213"/>
        <v>195. Quel canal avez-vous utilisé pour envoyer l'argent ?</v>
      </c>
      <c r="L1157" s="172" t="str">
        <f t="shared" si="213"/>
        <v>195. Wace hanya kuka yi amfani da ita don tura kuɗin?</v>
      </c>
    </row>
    <row r="1158">
      <c r="A1158" s="215" t="s">
        <v>353</v>
      </c>
      <c r="B1158" s="216" t="s">
        <v>5448</v>
      </c>
      <c r="C1158" s="216" t="s">
        <v>5449</v>
      </c>
      <c r="D1158" s="216" t="s">
        <v>5450</v>
      </c>
      <c r="E1158" s="216" t="s">
        <v>5451</v>
      </c>
      <c r="F1158" s="182">
        <v>196.0</v>
      </c>
      <c r="G1158" s="172" t="str">
        <f>IFERROR(__xludf.DUMMYFUNCTION("TRIM(REGEXREPLACE(C1158, ""[0-9]+[a-f]?\."", """"))"),"In ${pm_location_name} during ${pm_location_period_lab} did you receive money from your household in ${pm_home_location}?")</f>
        <v>In ${pm_location_name} during ${pm_location_period_lab} did you receive money from your household in ${pm_home_location}?</v>
      </c>
      <c r="H1158" s="172" t="str">
        <f>IFERROR(__xludf.DUMMYFUNCTION("TRIM(REGEXREPLACE(D1158, ""[0-9]+[a-f]?\."", """"))"),"À ${pm_location_name} pendant ${pm_location_period_lab_fr} avez-vous reçu de l'argent de votre menage à ${pm_home_location} ?")</f>
        <v>À ${pm_location_name} pendant ${pm_location_period_lab_fr} avez-vous reçu de l'argent de votre menage à ${pm_home_location} ?</v>
      </c>
      <c r="I1158" s="172" t="str">
        <f>IFERROR(__xludf.DUMMYFUNCTION("TRIM(REGEXREPLACE(E1158, ""[0-9]+[a-f]?\."", """"))"),"A ${pm_location_name} ${pm_location_period_lab_ha} ko kun samu kuɗi daga gidanku a ${pm_home_location}?")</f>
        <v>A ${pm_location_name} ${pm_location_period_lab_ha} ko kun samu kuɗi daga gidanku a ${pm_home_location}?</v>
      </c>
      <c r="J1158" s="172" t="str">
        <f t="shared" ref="J1158:L1158" si="214">$F1158 &amp; ". " &amp;G1158</f>
        <v>196. In ${pm_location_name} during ${pm_location_period_lab} did you receive money from your household in ${pm_home_location}?</v>
      </c>
      <c r="K1158" s="172" t="str">
        <f t="shared" si="214"/>
        <v>196. À ${pm_location_name} pendant ${pm_location_period_lab_fr} avez-vous reçu de l'argent de votre menage à ${pm_home_location} ?</v>
      </c>
      <c r="L1158" s="172" t="str">
        <f t="shared" si="214"/>
        <v>196. A ${pm_location_name} ${pm_location_period_lab_ha} ko kun samu kuɗi daga gidanku a ${pm_home_location}?</v>
      </c>
    </row>
    <row r="1159">
      <c r="A1159" s="253" t="s">
        <v>246</v>
      </c>
      <c r="B1159" s="254" t="s">
        <v>5453</v>
      </c>
      <c r="C1159" s="254" t="s">
        <v>5454</v>
      </c>
      <c r="D1159" s="254" t="s">
        <v>5455</v>
      </c>
      <c r="E1159" s="254" t="s">
        <v>5456</v>
      </c>
      <c r="F1159" s="182">
        <v>197.0</v>
      </c>
      <c r="G1159" s="172" t="str">
        <f>IFERROR(__xludf.DUMMYFUNCTION("TRIM(REGEXREPLACE(C1159, ""[0-9]+[a-f]?\."", """"))"),"Thinking about the ${pm_location_weeks} weeks you spent in location during ${pm_location_period_lab}, how much money do you estimate you recieved from your household in ${pm_home_location}?")</f>
        <v>Thinking about the ${pm_location_weeks} weeks you spent in location during ${pm_location_period_lab}, how much money do you estimate you recieved from your household in ${pm_home_location}?</v>
      </c>
      <c r="H1159" s="172" t="str">
        <f>IFERROR(__xludf.DUMMYFUNCTION("TRIM(REGEXREPLACE(D1159, ""[0-9]+[a-f]?\."", """"))"),"En pensant aux ${pm_location_weeks} semaines que vous avez passées dans la localité au cours de ${pm_location_period_lab_fr}, combien d'argent estimez-vous avoir reçu de votre menage dans ${pm_home_location} ?")</f>
        <v>En pensant aux ${pm_location_weeks} semaines que vous avez passées dans la localité au cours de ${pm_location_period_lab_fr}, combien d'argent estimez-vous avoir reçu de votre menage dans ${pm_home_location} ?</v>
      </c>
      <c r="I1159" s="172" t="str">
        <f>IFERROR(__xludf.DUMMYFUNCTION("TRIM(REGEXREPLACE(E1159, ""[0-9]+[a-f]?\."", """"))"),"KuTuna da makonni ${pm_location_weeks} da kuka zauna a wurin ${pm_location_period_lab_ha}, nawa kuke lissahin kun samu daga gidan ku daga ${pm_home_location}?")</f>
        <v>KuTuna da makonni ${pm_location_weeks} da kuka zauna a wurin ${pm_location_period_lab_ha}, nawa kuke lissahin kun samu daga gidan ku daga ${pm_home_location}?</v>
      </c>
      <c r="J1159" s="172" t="str">
        <f t="shared" ref="J1159:L1159" si="215">$F1159 &amp; ". " &amp;G1159</f>
        <v>197. Thinking about the ${pm_location_weeks} weeks you spent in location during ${pm_location_period_lab}, how much money do you estimate you recieved from your household in ${pm_home_location}?</v>
      </c>
      <c r="K1159" s="172" t="str">
        <f t="shared" si="215"/>
        <v>197. En pensant aux ${pm_location_weeks} semaines que vous avez passées dans la localité au cours de ${pm_location_period_lab_fr}, combien d'argent estimez-vous avoir reçu de votre menage dans ${pm_home_location} ?</v>
      </c>
      <c r="L1159" s="172" t="str">
        <f t="shared" si="215"/>
        <v>197. KuTuna da makonni ${pm_location_weeks} da kuka zauna a wurin ${pm_location_period_lab_ha}, nawa kuke lissahin kun samu daga gidan ku daga ${pm_home_location}?</v>
      </c>
    </row>
    <row r="1160">
      <c r="A1160" s="215" t="s">
        <v>5442</v>
      </c>
      <c r="B1160" s="216" t="s">
        <v>5457</v>
      </c>
      <c r="C1160" s="216" t="s">
        <v>2249</v>
      </c>
      <c r="D1160" s="216" t="s">
        <v>5458</v>
      </c>
      <c r="E1160" s="216" t="s">
        <v>2251</v>
      </c>
      <c r="F1160" s="182">
        <v>198.0</v>
      </c>
      <c r="G1160" s="172" t="str">
        <f>IFERROR(__xludf.DUMMYFUNCTION("TRIM(REGEXREPLACE(C1160, ""[0-9]+[a-f]?\."", """"))"),"What method was used to share this money?")</f>
        <v>What method was used to share this money?</v>
      </c>
      <c r="H1160" s="172" t="str">
        <f>IFERROR(__xludf.DUMMYFUNCTION("TRIM(REGEXREPLACE(D1160, ""[0-9]+[a-f]?\."", """"))"),"Quel canal a été utilisé pour envoyer cet argent?")</f>
        <v>Quel canal a été utilisé pour envoyer cet argent?</v>
      </c>
      <c r="I1160" s="172" t="str">
        <f>IFERROR(__xludf.DUMMYFUNCTION("TRIM(REGEXREPLACE(E1160, ""[0-9]+[a-f]?\."", """"))"),"Wace hanya kuka yi amfani da ita don aika wannan kuɗin?")</f>
        <v>Wace hanya kuka yi amfani da ita don aika wannan kuɗin?</v>
      </c>
      <c r="J1160" s="172" t="str">
        <f t="shared" ref="J1160:L1160" si="216">$F1160 &amp; ". " &amp;G1160</f>
        <v>198. What method was used to share this money?</v>
      </c>
      <c r="K1160" s="172" t="str">
        <f t="shared" si="216"/>
        <v>198. Quel canal a été utilisé pour envoyer cet argent?</v>
      </c>
      <c r="L1160" s="172" t="str">
        <f t="shared" si="216"/>
        <v>198. Wace hanya kuka yi amfani da ita don aika wannan kuɗin?</v>
      </c>
    </row>
    <row r="1161" hidden="1">
      <c r="C1161" s="260"/>
      <c r="D1161" s="260"/>
      <c r="E1161" s="260"/>
      <c r="F1161" s="182">
        <v>686.0</v>
      </c>
      <c r="G1161" s="172" t="str">
        <f>IFERROR(__xludf.DUMMYFUNCTION("TRIM(REGEXREPLACE(C1161, ""[0-9]+[a-f]?\."", """"))"),"")</f>
        <v/>
      </c>
      <c r="H1161" s="172" t="str">
        <f>IFERROR(__xludf.DUMMYFUNCTION("TRIM(REGEXREPLACE(D1161, ""[0-9]+[a-f]?\."", """"))"),"")</f>
        <v/>
      </c>
      <c r="I1161" s="172" t="str">
        <f>IFERROR(__xludf.DUMMYFUNCTION("TRIM(REGEXREPLACE(E1161, ""[0-9]+[a-f]?\."", """"))"),"")</f>
        <v/>
      </c>
      <c r="J1161" s="172" t="s">
        <v>5459</v>
      </c>
      <c r="K1161" s="172" t="s">
        <v>5460</v>
      </c>
      <c r="L1161" s="172" t="s">
        <v>5461</v>
      </c>
    </row>
    <row r="1162" hidden="1">
      <c r="C1162" s="260"/>
      <c r="D1162" s="260"/>
      <c r="E1162" s="260"/>
      <c r="F1162" s="182">
        <v>687.0</v>
      </c>
      <c r="G1162" s="172" t="str">
        <f>IFERROR(__xludf.DUMMYFUNCTION("TRIM(REGEXREPLACE(C1162, ""[0-9]+[a-f]?\."", """"))"),"")</f>
        <v/>
      </c>
      <c r="H1162" s="172" t="str">
        <f>IFERROR(__xludf.DUMMYFUNCTION("TRIM(REGEXREPLACE(D1162, ""[0-9]+[a-f]?\."", """"))"),"")</f>
        <v/>
      </c>
      <c r="I1162" s="172" t="str">
        <f>IFERROR(__xludf.DUMMYFUNCTION("TRIM(REGEXREPLACE(E1162, ""[0-9]+[a-f]?\."", """"))"),"")</f>
        <v/>
      </c>
      <c r="J1162" s="172" t="s">
        <v>5462</v>
      </c>
      <c r="K1162" s="172" t="s">
        <v>5463</v>
      </c>
      <c r="L1162" s="172" t="s">
        <v>5465</v>
      </c>
    </row>
    <row r="1163" hidden="1">
      <c r="A1163" s="188" t="s">
        <v>118</v>
      </c>
      <c r="B1163" s="189" t="s">
        <v>5468</v>
      </c>
      <c r="C1163" s="190"/>
      <c r="D1163" s="190"/>
      <c r="E1163" s="190"/>
      <c r="F1163" s="182">
        <v>638.0</v>
      </c>
      <c r="G1163" s="172" t="str">
        <f>IFERROR(__xludf.DUMMYFUNCTION("TRIM(REGEXREPLACE(C1163, ""[0-9]+[a-f]?\."", """"))"),"")</f>
        <v/>
      </c>
      <c r="H1163" s="172" t="str">
        <f>IFERROR(__xludf.DUMMYFUNCTION("TRIM(REGEXREPLACE(D1163, ""[0-9]+[a-f]?\."", """"))"),"")</f>
        <v/>
      </c>
      <c r="I1163" s="172" t="str">
        <f>IFERROR(__xludf.DUMMYFUNCTION("TRIM(REGEXREPLACE(E1163, ""[0-9]+[a-f]?\."", """"))"),"")</f>
        <v/>
      </c>
      <c r="J1163" s="172" t="s">
        <v>5469</v>
      </c>
      <c r="K1163" s="172" t="s">
        <v>5470</v>
      </c>
      <c r="L1163" s="172" t="s">
        <v>5471</v>
      </c>
    </row>
    <row r="1164" hidden="1">
      <c r="A1164" s="188" t="s">
        <v>68</v>
      </c>
      <c r="B1164" s="189" t="s">
        <v>5472</v>
      </c>
      <c r="C1164" s="190"/>
      <c r="D1164" s="190"/>
      <c r="E1164" s="190"/>
      <c r="F1164" s="182">
        <v>639.0</v>
      </c>
      <c r="G1164" s="172" t="str">
        <f>IFERROR(__xludf.DUMMYFUNCTION("TRIM(REGEXREPLACE(C1164, ""[0-9]+[a-f]?\."", """"))"),"")</f>
        <v/>
      </c>
      <c r="H1164" s="172" t="str">
        <f>IFERROR(__xludf.DUMMYFUNCTION("TRIM(REGEXREPLACE(D1164, ""[0-9]+[a-f]?\."", """"))"),"")</f>
        <v/>
      </c>
      <c r="I1164" s="172" t="str">
        <f>IFERROR(__xludf.DUMMYFUNCTION("TRIM(REGEXREPLACE(E1164, ""[0-9]+[a-f]?\."", """"))"),"")</f>
        <v/>
      </c>
      <c r="J1164" s="172" t="s">
        <v>5473</v>
      </c>
      <c r="K1164" s="172" t="s">
        <v>5474</v>
      </c>
      <c r="L1164" s="172" t="s">
        <v>5475</v>
      </c>
    </row>
    <row r="1165" hidden="1">
      <c r="A1165" s="211" t="s">
        <v>238</v>
      </c>
      <c r="B1165" s="224" t="s">
        <v>5370</v>
      </c>
      <c r="C1165" s="224" t="s">
        <v>5371</v>
      </c>
      <c r="D1165" s="224" t="s">
        <v>5372</v>
      </c>
      <c r="E1165" s="224" t="s">
        <v>5373</v>
      </c>
      <c r="F1165" s="182">
        <v>640.0</v>
      </c>
      <c r="G1165" s="172" t="str">
        <f>IFERROR(__xludf.DUMMYFUNCTION("TRIM(REGEXREPLACE(C1165, ""[0-9]+[a-f]?\."", """"))"),"Location not at home")</f>
        <v>Location not at home</v>
      </c>
      <c r="H1165" s="172" t="str">
        <f>IFERROR(__xludf.DUMMYFUNCTION("TRIM(REGEXREPLACE(D1165, ""[0-9]+[a-f]?\."", """"))"),"Localité pas à la maison")</f>
        <v>Localité pas à la maison</v>
      </c>
      <c r="I1165" s="172" t="str">
        <f>IFERROR(__xludf.DUMMYFUNCTION("TRIM(REGEXREPLACE(E1165, ""[0-9]+[a-f]?\."", """"))"),"Wuri ba a gida ba")</f>
        <v>Wuri ba a gida ba</v>
      </c>
      <c r="J1165" s="172" t="s">
        <v>5476</v>
      </c>
      <c r="K1165" s="172" t="s">
        <v>5477</v>
      </c>
      <c r="L1165" s="172" t="s">
        <v>5478</v>
      </c>
    </row>
    <row r="1166" hidden="1">
      <c r="A1166" s="172"/>
      <c r="B1166" s="174"/>
      <c r="C1166" s="174"/>
      <c r="D1166" s="174"/>
      <c r="E1166" s="174"/>
      <c r="F1166" s="182">
        <v>641.0</v>
      </c>
      <c r="G1166" s="172" t="str">
        <f>IFERROR(__xludf.DUMMYFUNCTION("TRIM(REGEXREPLACE(C1166, ""[0-9]+[a-f]?\."", """"))"),"")</f>
        <v/>
      </c>
      <c r="H1166" s="172" t="str">
        <f>IFERROR(__xludf.DUMMYFUNCTION("TRIM(REGEXREPLACE(D1166, ""[0-9]+[a-f]?\."", """"))"),"")</f>
        <v/>
      </c>
      <c r="I1166" s="172" t="str">
        <f>IFERROR(__xludf.DUMMYFUNCTION("TRIM(REGEXREPLACE(E1166, ""[0-9]+[a-f]?\."", """"))"),"")</f>
        <v/>
      </c>
      <c r="J1166" s="172" t="s">
        <v>5483</v>
      </c>
      <c r="K1166" s="172" t="s">
        <v>5484</v>
      </c>
      <c r="L1166" s="172" t="s">
        <v>5485</v>
      </c>
    </row>
    <row r="1167" hidden="1">
      <c r="F1167" s="182">
        <v>745.0</v>
      </c>
      <c r="G1167" s="172" t="str">
        <f>IFERROR(__xludf.DUMMYFUNCTION("TRIM(REGEXREPLACE(C1167, ""[0-9]+[a-f]?\."", """"))"),"")</f>
        <v/>
      </c>
      <c r="H1167" s="172" t="str">
        <f>IFERROR(__xludf.DUMMYFUNCTION("TRIM(REGEXREPLACE(D1167, ""[0-9]+[a-f]?\."", """"))"),"")</f>
        <v/>
      </c>
      <c r="I1167" s="172" t="str">
        <f>IFERROR(__xludf.DUMMYFUNCTION("TRIM(REGEXREPLACE(E1167, ""[0-9]+[a-f]?\."", """"))"),"")</f>
        <v/>
      </c>
      <c r="J1167" s="172" t="str">
        <f t="shared" ref="J1167:L1167" si="217">$F1167&amp;". "&amp;G1167</f>
        <v>745. </v>
      </c>
      <c r="K1167" s="172" t="str">
        <f t="shared" si="217"/>
        <v>745. </v>
      </c>
      <c r="L1167" s="172" t="str">
        <f t="shared" si="217"/>
        <v>745. </v>
      </c>
    </row>
    <row r="1168" hidden="1">
      <c r="C1168" s="260"/>
      <c r="D1168" s="260"/>
      <c r="E1168" s="260"/>
      <c r="F1168" s="182">
        <v>692.0</v>
      </c>
      <c r="G1168" s="172" t="str">
        <f>IFERROR(__xludf.DUMMYFUNCTION("TRIM(REGEXREPLACE(C1168, ""[0-9]+[a-f]?\."", """"))"),"")</f>
        <v/>
      </c>
      <c r="H1168" s="172" t="str">
        <f>IFERROR(__xludf.DUMMYFUNCTION("TRIM(REGEXREPLACE(D1168, ""[0-9]+[a-f]?\."", """"))"),"")</f>
        <v/>
      </c>
      <c r="I1168" s="172" t="str">
        <f>IFERROR(__xludf.DUMMYFUNCTION("TRIM(REGEXREPLACE(E1168, ""[0-9]+[a-f]?\."", """"))"),"")</f>
        <v/>
      </c>
      <c r="J1168" s="172" t="s">
        <v>5488</v>
      </c>
      <c r="K1168" s="172" t="s">
        <v>5489</v>
      </c>
      <c r="L1168" s="172" t="s">
        <v>5490</v>
      </c>
    </row>
    <row r="1169" hidden="1">
      <c r="C1169" s="260"/>
      <c r="D1169" s="260"/>
      <c r="E1169" s="260"/>
      <c r="F1169" s="182">
        <v>693.0</v>
      </c>
      <c r="G1169" s="172" t="str">
        <f>IFERROR(__xludf.DUMMYFUNCTION("TRIM(REGEXREPLACE(C1169, ""[0-9]+[a-f]?\."", """"))"),"")</f>
        <v/>
      </c>
      <c r="H1169" s="172" t="str">
        <f>IFERROR(__xludf.DUMMYFUNCTION("TRIM(REGEXREPLACE(D1169, ""[0-9]+[a-f]?\."", """"))"),"")</f>
        <v/>
      </c>
      <c r="I1169" s="172" t="str">
        <f>IFERROR(__xludf.DUMMYFUNCTION("TRIM(REGEXREPLACE(E1169, ""[0-9]+[a-f]?\."", """"))"),"")</f>
        <v/>
      </c>
      <c r="J1169" s="172" t="s">
        <v>5494</v>
      </c>
      <c r="K1169" s="172" t="s">
        <v>5495</v>
      </c>
      <c r="L1169" s="172" t="s">
        <v>5496</v>
      </c>
    </row>
    <row r="1170" hidden="1">
      <c r="F1170" s="182">
        <v>748.0</v>
      </c>
      <c r="G1170" s="172" t="str">
        <f>IFERROR(__xludf.DUMMYFUNCTION("TRIM(REGEXREPLACE(C1170, ""[0-9]+[a-f]?\."", """"))"),"")</f>
        <v/>
      </c>
      <c r="H1170" s="172" t="str">
        <f>IFERROR(__xludf.DUMMYFUNCTION("TRIM(REGEXREPLACE(D1170, ""[0-9]+[a-f]?\."", """"))"),"")</f>
        <v/>
      </c>
      <c r="I1170" s="172" t="str">
        <f>IFERROR(__xludf.DUMMYFUNCTION("TRIM(REGEXREPLACE(E1170, ""[0-9]+[a-f]?\."", """"))"),"")</f>
        <v/>
      </c>
      <c r="J1170" s="172" t="str">
        <f t="shared" ref="J1170:L1170" si="218">$F1170&amp;". "&amp;G1170</f>
        <v>748. </v>
      </c>
      <c r="K1170" s="172" t="str">
        <f t="shared" si="218"/>
        <v>748. </v>
      </c>
      <c r="L1170" s="172" t="str">
        <f t="shared" si="218"/>
        <v>748. </v>
      </c>
    </row>
    <row r="1171" hidden="1">
      <c r="F1171" s="182">
        <v>749.0</v>
      </c>
      <c r="G1171" s="172" t="str">
        <f>IFERROR(__xludf.DUMMYFUNCTION("TRIM(REGEXREPLACE(C1171, ""[0-9]+[a-f]?\."", """"))"),"")</f>
        <v/>
      </c>
      <c r="H1171" s="172" t="str">
        <f>IFERROR(__xludf.DUMMYFUNCTION("TRIM(REGEXREPLACE(D1171, ""[0-9]+[a-f]?\."", """"))"),"")</f>
        <v/>
      </c>
      <c r="I1171" s="172" t="str">
        <f>IFERROR(__xludf.DUMMYFUNCTION("TRIM(REGEXREPLACE(E1171, ""[0-9]+[a-f]?\."", """"))"),"")</f>
        <v/>
      </c>
      <c r="J1171" s="172" t="str">
        <f t="shared" ref="J1171:L1171" si="219">$F1171&amp;". "&amp;G1171</f>
        <v>749. </v>
      </c>
      <c r="K1171" s="172" t="str">
        <f t="shared" si="219"/>
        <v>749. </v>
      </c>
      <c r="L1171" s="172" t="str">
        <f t="shared" si="219"/>
        <v>749. </v>
      </c>
    </row>
    <row r="1172" hidden="1">
      <c r="A1172" s="211" t="s">
        <v>107</v>
      </c>
      <c r="B1172" s="212" t="s">
        <v>5497</v>
      </c>
      <c r="C1172" s="212" t="s">
        <v>5498</v>
      </c>
      <c r="D1172" s="212" t="s">
        <v>5499</v>
      </c>
      <c r="E1172" s="212" t="s">
        <v>5500</v>
      </c>
      <c r="F1172" s="182">
        <v>642.0</v>
      </c>
      <c r="G1172" s="172" t="str">
        <f>IFERROR(__xludf.DUMMYFUNCTION("TRIM(REGEXREPLACE(C1172, ""[0-9]+[a-f]?\."", """"))"),"Week in Location")</f>
        <v>Week in Location</v>
      </c>
      <c r="H1172" s="172" t="str">
        <f>IFERROR(__xludf.DUMMYFUNCTION("TRIM(REGEXREPLACE(D1172, ""[0-9]+[a-f]?\."", """"))"),"Semaine dans localite")</f>
        <v>Semaine dans localite</v>
      </c>
      <c r="I1172" s="172" t="str">
        <f>IFERROR(__xludf.DUMMYFUNCTION("TRIM(REGEXREPLACE(E1172, ""[0-9]+[a-f]?\."", """"))"),"Mako a Wuri")</f>
        <v>Mako a Wuri</v>
      </c>
      <c r="J1172" s="172" t="s">
        <v>5501</v>
      </c>
      <c r="K1172" s="172" t="s">
        <v>5502</v>
      </c>
      <c r="L1172" s="172" t="s">
        <v>5503</v>
      </c>
    </row>
    <row r="1173" hidden="1">
      <c r="A1173" s="188" t="s">
        <v>118</v>
      </c>
      <c r="B1173" s="189" t="s">
        <v>5504</v>
      </c>
      <c r="C1173" s="190"/>
      <c r="D1173" s="190"/>
      <c r="E1173" s="190"/>
      <c r="F1173" s="182">
        <v>643.0</v>
      </c>
      <c r="G1173" s="172" t="str">
        <f>IFERROR(__xludf.DUMMYFUNCTION("TRIM(REGEXREPLACE(C1173, ""[0-9]+[a-f]?\."", """"))"),"")</f>
        <v/>
      </c>
      <c r="H1173" s="172" t="str">
        <f>IFERROR(__xludf.DUMMYFUNCTION("TRIM(REGEXREPLACE(D1173, ""[0-9]+[a-f]?\."", """"))"),"")</f>
        <v/>
      </c>
      <c r="I1173" s="172" t="str">
        <f>IFERROR(__xludf.DUMMYFUNCTION("TRIM(REGEXREPLACE(E1173, ""[0-9]+[a-f]?\."", """"))"),"")</f>
        <v/>
      </c>
      <c r="J1173" s="172" t="s">
        <v>5508</v>
      </c>
      <c r="K1173" s="172" t="s">
        <v>5509</v>
      </c>
      <c r="L1173" s="172" t="s">
        <v>5510</v>
      </c>
    </row>
    <row r="1174">
      <c r="A1174" s="207" t="s">
        <v>41</v>
      </c>
      <c r="B1174" s="208" t="s">
        <v>5511</v>
      </c>
      <c r="C1174" s="208" t="s">
        <v>5512</v>
      </c>
      <c r="D1174" s="208" t="s">
        <v>5513</v>
      </c>
      <c r="E1174" s="208" t="s">
        <v>5514</v>
      </c>
      <c r="F1174" s="182">
        <v>199.0</v>
      </c>
      <c r="G1174" s="172" t="str">
        <f>IFERROR(__xludf.DUMMYFUNCTION("TRIM(REGEXREPLACE(C1174, ""[0-9]+[a-f]?\."", """"))"),"Now I would like to ask you about a typical week in ${pm_location_name} during ${pm_location_period_lab}")</f>
        <v>Now I would like to ask you about a typical week in ${pm_location_name} during ${pm_location_period_lab}</v>
      </c>
      <c r="H1174" s="172" t="str">
        <f>IFERROR(__xludf.DUMMYFUNCTION("TRIM(REGEXREPLACE(D1174, ""[0-9]+[a-f]?\."", """"))"),"Maintenant, je voudrais vous poser des questions sur une semaine normale à ${pm_location_name} pendant ${pm_location_period_lab_fr}")</f>
        <v>Maintenant, je voudrais vous poser des questions sur une semaine normale à ${pm_location_name} pendant ${pm_location_period_lab_fr}</v>
      </c>
      <c r="I1174" s="172" t="str">
        <f>IFERROR(__xludf.DUMMYFUNCTION("TRIM(REGEXREPLACE(E1174, ""[0-9]+[a-f]?\."", """"))"),"Yanzu ina so in tambaye ku game da sati guda a cikin ${pm_location_name} ${pm_location_period_lab_ha}")</f>
        <v>Yanzu ina so in tambaye ku game da sati guda a cikin ${pm_location_name} ${pm_location_period_lab_ha}</v>
      </c>
      <c r="J1174" s="172" t="str">
        <f t="shared" ref="J1174:L1174" si="220">$F1174 &amp; ". " &amp;G1174</f>
        <v>199. Now I would like to ask you about a typical week in ${pm_location_name} during ${pm_location_period_lab}</v>
      </c>
      <c r="K1174" s="172" t="str">
        <f t="shared" si="220"/>
        <v>199. Maintenant, je voudrais vous poser des questions sur une semaine normale à ${pm_location_name} pendant ${pm_location_period_lab_fr}</v>
      </c>
      <c r="L1174" s="172" t="str">
        <f t="shared" si="220"/>
        <v>199. Yanzu ina so in tambaye ku game da sati guda a cikin ${pm_location_name} ${pm_location_period_lab_ha}</v>
      </c>
    </row>
    <row r="1175">
      <c r="A1175" s="215" t="s">
        <v>353</v>
      </c>
      <c r="B1175" s="216" t="s">
        <v>5515</v>
      </c>
      <c r="C1175" s="216" t="s">
        <v>2274</v>
      </c>
      <c r="D1175" s="216" t="s">
        <v>5516</v>
      </c>
      <c r="E1175" s="216" t="s">
        <v>5517</v>
      </c>
      <c r="F1175" s="182">
        <v>200.0</v>
      </c>
      <c r="G1175" s="172" t="str">
        <f>IFERROR(__xludf.DUMMYFUNCTION("TRIM(REGEXREPLACE(C1175, ""[0-9]+[a-f]?\."", """"))"),"In a typical week did you cut the size of meals or skipped meals?")</f>
        <v>In a typical week did you cut the size of meals or skipped meals?</v>
      </c>
      <c r="H1175" s="172" t="str">
        <f>IFERROR(__xludf.DUMMYFUNCTION("TRIM(REGEXREPLACE(D1175, ""[0-9]+[a-f]?\."", """"))"),"Au cours d'une semaine normale, avez-vous réduit la taille des repas ou sauté des repas ?")</f>
        <v>Au cours d'une semaine normale, avez-vous réduit la taille des repas ou sauté des repas ?</v>
      </c>
      <c r="I1175" s="172" t="str">
        <f>IFERROR(__xludf.DUMMYFUNCTION("TRIM(REGEXREPLACE(E1175, ""[0-9]+[a-f]?\."", """"))"),"A cikin mako sati ko kun rage yawan abincin da kuka saba ci ko kun tsallake abincin?")</f>
        <v>A cikin mako sati ko kun rage yawan abincin da kuka saba ci ko kun tsallake abincin?</v>
      </c>
      <c r="J1175" s="172" t="str">
        <f t="shared" ref="J1175:L1175" si="221">$F1175 &amp; ". " &amp;G1175</f>
        <v>200. In a typical week did you cut the size of meals or skipped meals?</v>
      </c>
      <c r="K1175" s="172" t="str">
        <f t="shared" si="221"/>
        <v>200. Au cours d'une semaine normale, avez-vous réduit la taille des repas ou sauté des repas ?</v>
      </c>
      <c r="L1175" s="172" t="str">
        <f t="shared" si="221"/>
        <v>200. A cikin mako sati ko kun rage yawan abincin da kuka saba ci ko kun tsallake abincin?</v>
      </c>
    </row>
    <row r="1176">
      <c r="A1176" s="253" t="s">
        <v>246</v>
      </c>
      <c r="B1176" s="254" t="s">
        <v>5518</v>
      </c>
      <c r="C1176" s="254" t="s">
        <v>2279</v>
      </c>
      <c r="D1176" s="254" t="s">
        <v>2280</v>
      </c>
      <c r="E1176" s="254" t="s">
        <v>2281</v>
      </c>
      <c r="F1176" s="182">
        <v>201.0</v>
      </c>
      <c r="G1176" s="172" t="str">
        <f>IFERROR(__xludf.DUMMYFUNCTION("TRIM(REGEXREPLACE(C1176, ""[0-9]+[a-f]?\."", """"))"),"How many days?")</f>
        <v>How many days?</v>
      </c>
      <c r="H1176" s="172" t="str">
        <f>IFERROR(__xludf.DUMMYFUNCTION("TRIM(REGEXREPLACE(D1176, ""[0-9]+[a-f]?\."", """"))"),"Combien de jours?")</f>
        <v>Combien de jours?</v>
      </c>
      <c r="I1176" s="172" t="str">
        <f>IFERROR(__xludf.DUMMYFUNCTION("TRIM(REGEXREPLACE(E1176, ""[0-9]+[a-f]?\."", """"))"),"Kwanaki nawa?")</f>
        <v>Kwanaki nawa?</v>
      </c>
      <c r="J1176" s="172" t="str">
        <f t="shared" ref="J1176:L1176" si="222">$F1176 &amp; ". " &amp;G1176</f>
        <v>201. How many days?</v>
      </c>
      <c r="K1176" s="172" t="str">
        <f t="shared" si="222"/>
        <v>201. Combien de jours?</v>
      </c>
      <c r="L1176" s="172" t="str">
        <f t="shared" si="222"/>
        <v>201. Kwanaki nawa?</v>
      </c>
    </row>
    <row r="1177" hidden="1">
      <c r="A1177" s="211" t="s">
        <v>107</v>
      </c>
      <c r="B1177" s="212" t="s">
        <v>5519</v>
      </c>
      <c r="C1177" s="212" t="s">
        <v>5520</v>
      </c>
      <c r="D1177" s="214"/>
      <c r="E1177" s="214"/>
      <c r="F1177" s="182">
        <v>647.0</v>
      </c>
      <c r="G1177" s="172" t="str">
        <f>IFERROR(__xludf.DUMMYFUNCTION("TRIM(REGEXREPLACE(C1177, ""[0-9]+[a-f]?\."", """"))"),"Weekly consumption")</f>
        <v>Weekly consumption</v>
      </c>
      <c r="H1177" s="172" t="str">
        <f>IFERROR(__xludf.DUMMYFUNCTION("TRIM(REGEXREPLACE(D1177, ""[0-9]+[a-f]?\."", """"))"),"")</f>
        <v/>
      </c>
      <c r="I1177" s="172" t="str">
        <f>IFERROR(__xludf.DUMMYFUNCTION("TRIM(REGEXREPLACE(E1177, ""[0-9]+[a-f]?\."", """"))"),"")</f>
        <v/>
      </c>
      <c r="J1177" s="172" t="s">
        <v>5522</v>
      </c>
      <c r="K1177" s="172" t="s">
        <v>5524</v>
      </c>
      <c r="L1177" s="172" t="s">
        <v>5526</v>
      </c>
    </row>
    <row r="1178">
      <c r="A1178" s="207" t="s">
        <v>41</v>
      </c>
      <c r="B1178" s="208" t="s">
        <v>5528</v>
      </c>
      <c r="C1178" s="208" t="s">
        <v>5529</v>
      </c>
      <c r="D1178" s="208" t="s">
        <v>5530</v>
      </c>
      <c r="E1178" s="208" t="s">
        <v>5531</v>
      </c>
      <c r="F1178" s="182">
        <v>202.0</v>
      </c>
      <c r="G1178" s="172" t="str">
        <f>IFERROR(__xludf.DUMMYFUNCTION("TRIM(REGEXREPLACE(C1178, ""[0-9]+[a-f]?\."", """"))"),"Think about your expenses in a typical week in ${pm_location_name} during ${pm_location_period_lab}.
 How much did you personally spend, if any, on the following types of expenses?")</f>
        <v>Think about your expenses in a typical week in ${pm_location_name} during ${pm_location_period_lab}.
 How much did you personally spend, if any, on the following types of expenses?</v>
      </c>
      <c r="H1178" s="172" t="str">
        <f>IFERROR(__xludf.DUMMYFUNCTION("TRIM(REGEXREPLACE(D1178, ""[0-9]+[a-f]?\."", """"))"),"Pensez à vos dépenses au cours d'une semaine normale dans ${pm_location_name} entre ${pm_location_period_lab_fr}.
 Combien avez-vous personnellement dépensé, si c'est arrivé, pour les types de dépenses suivants ?")</f>
        <v>Pensez à vos dépenses au cours d'une semaine normale dans ${pm_location_name} entre ${pm_location_period_lab_fr}.
 Combien avez-vous personnellement dépensé, si c'est arrivé, pour les types de dépenses suivants ?</v>
      </c>
      <c r="I1178" s="172" t="str">
        <f>IFERROR(__xludf.DUMMYFUNCTION("TRIM(REGEXREPLACE(E1178, ""[0-9]+[a-f]?\."", """"))"),"Ku yi tunani game da abubuwan da kuka saye a cikin sati guda a ${pm_location_name} ${pm_location_period_lab_ha}.
 Nawa kuka kashe, idan an kashe kuɗi, akan nau'ikan kashe kashen kuɗi kamar haka?")</f>
        <v>Ku yi tunani game da abubuwan da kuka saye a cikin sati guda a ${pm_location_name} ${pm_location_period_lab_ha}.
 Nawa kuka kashe, idan an kashe kuɗi, akan nau'ikan kashe kashen kuɗi kamar haka?</v>
      </c>
      <c r="J1178" s="172" t="str">
        <f t="shared" ref="J1178:L1178" si="223">$F1178 &amp; ". " &amp;G1178</f>
        <v>202. Think about your expenses in a typical week in ${pm_location_name} during ${pm_location_period_lab}.
 How much did you personally spend, if any, on the following types of expenses?</v>
      </c>
      <c r="K1178" s="172" t="str">
        <f t="shared" si="223"/>
        <v>202. Pensez à vos dépenses au cours d'une semaine normale dans ${pm_location_name} entre ${pm_location_period_lab_fr}.
 Combien avez-vous personnellement dépensé, si c'est arrivé, pour les types de dépenses suivants ?</v>
      </c>
      <c r="L1178" s="172" t="str">
        <f t="shared" si="223"/>
        <v>202. Ku yi tunani game da abubuwan da kuka saye a cikin sati guda a ${pm_location_name} ${pm_location_period_lab_ha}.
 Nawa kuka kashe, idan an kashe kuɗi, akan nau'ikan kashe kashen kuɗi kamar haka?</v>
      </c>
    </row>
    <row r="1179" hidden="1">
      <c r="F1179" s="182">
        <v>757.0</v>
      </c>
      <c r="G1179" s="172" t="str">
        <f>IFERROR(__xludf.DUMMYFUNCTION("TRIM(REGEXREPLACE(C1179, ""[0-9]+[a-f]?\."", """"))"),"")</f>
        <v/>
      </c>
      <c r="H1179" s="172" t="str">
        <f>IFERROR(__xludf.DUMMYFUNCTION("TRIM(REGEXREPLACE(D1179, ""[0-9]+[a-f]?\."", """"))"),"")</f>
        <v/>
      </c>
      <c r="I1179" s="172" t="str">
        <f>IFERROR(__xludf.DUMMYFUNCTION("TRIM(REGEXREPLACE(E1179, ""[0-9]+[a-f]?\."", """"))"),"")</f>
        <v/>
      </c>
      <c r="J1179" s="172" t="str">
        <f t="shared" ref="J1179:L1179" si="224">$F1179&amp;". "&amp;G1179</f>
        <v>757. </v>
      </c>
      <c r="K1179" s="172" t="str">
        <f t="shared" si="224"/>
        <v>757. </v>
      </c>
      <c r="L1179" s="172" t="str">
        <f t="shared" si="224"/>
        <v>757. </v>
      </c>
    </row>
    <row r="1180" hidden="1">
      <c r="F1180" s="182">
        <v>758.0</v>
      </c>
      <c r="G1180" s="172" t="str">
        <f>IFERROR(__xludf.DUMMYFUNCTION("TRIM(REGEXREPLACE(C1180, ""[0-9]+[a-f]?\."", """"))"),"")</f>
        <v/>
      </c>
      <c r="H1180" s="172" t="str">
        <f>IFERROR(__xludf.DUMMYFUNCTION("TRIM(REGEXREPLACE(D1180, ""[0-9]+[a-f]?\."", """"))"),"")</f>
        <v/>
      </c>
      <c r="I1180" s="172" t="str">
        <f>IFERROR(__xludf.DUMMYFUNCTION("TRIM(REGEXREPLACE(E1180, ""[0-9]+[a-f]?\."", """"))"),"")</f>
        <v/>
      </c>
      <c r="J1180" s="172" t="str">
        <f t="shared" ref="J1180:L1180" si="225">$F1180&amp;". "&amp;G1180</f>
        <v>758. </v>
      </c>
      <c r="K1180" s="172" t="str">
        <f t="shared" si="225"/>
        <v>758. </v>
      </c>
      <c r="L1180" s="172" t="str">
        <f t="shared" si="225"/>
        <v>758. </v>
      </c>
    </row>
    <row r="1181" hidden="1">
      <c r="C1181" s="260"/>
      <c r="D1181" s="260"/>
      <c r="E1181" s="260"/>
      <c r="F1181" s="182">
        <v>700.0</v>
      </c>
      <c r="G1181" s="172" t="str">
        <f>IFERROR(__xludf.DUMMYFUNCTION("TRIM(REGEXREPLACE(C1181, ""[0-9]+[a-f]?\."", """"))"),"")</f>
        <v/>
      </c>
      <c r="H1181" s="172" t="str">
        <f>IFERROR(__xludf.DUMMYFUNCTION("TRIM(REGEXREPLACE(D1181, ""[0-9]+[a-f]?\."", """"))"),"")</f>
        <v/>
      </c>
      <c r="I1181" s="172" t="str">
        <f>IFERROR(__xludf.DUMMYFUNCTION("TRIM(REGEXREPLACE(E1181, ""[0-9]+[a-f]?\."", """"))"),"")</f>
        <v/>
      </c>
      <c r="J1181" s="172" t="s">
        <v>5538</v>
      </c>
      <c r="K1181" s="172" t="s">
        <v>5539</v>
      </c>
      <c r="L1181" s="172" t="s">
        <v>5540</v>
      </c>
    </row>
    <row r="1182">
      <c r="A1182" s="253" t="s">
        <v>246</v>
      </c>
      <c r="B1182" s="254" t="s">
        <v>5541</v>
      </c>
      <c r="C1182" s="254" t="s">
        <v>2288</v>
      </c>
      <c r="D1182" s="254" t="s">
        <v>5542</v>
      </c>
      <c r="E1182" s="254" t="s">
        <v>5543</v>
      </c>
      <c r="F1182" s="182">
        <v>203.0</v>
      </c>
      <c r="G1182" s="172" t="str">
        <f>IFERROR(__xludf.DUMMYFUNCTION("TRIM(REGEXREPLACE(C1182, ""[0-9]+[a-f]?\."", """"))"),"Food (including you paid directly + money for ingredients for household)")</f>
        <v>Food (including you paid directly + money for ingredients for household)</v>
      </c>
      <c r="H1182" s="172" t="str">
        <f>IFERROR(__xludf.DUMMYFUNCTION("TRIM(REGEXREPLACE(D1182, ""[0-9]+[a-f]?\."", """"))"),"Nourriture (y compris ce que vous avez payé directement + argent pour les ingrédients pour le ménage)")</f>
        <v>Nourriture (y compris ce que vous avez payé directement + argent pour les ingrédients pour le ménage)</v>
      </c>
      <c r="I1182" s="172" t="str">
        <f>IFERROR(__xludf.DUMMYFUNCTION("TRIM(REGEXREPLACE(E1182, ""[0-9]+[a-f]?\."", """"))"),"Abinci (ciki har da wanda kuka saye kai tsaye da kuɗin kayan abinci na gida)")</f>
        <v>Abinci (ciki har da wanda kuka saye kai tsaye da kuɗin kayan abinci na gida)</v>
      </c>
      <c r="J1182" s="172" t="str">
        <f t="shared" ref="J1182:L1182" si="226">$F1182 &amp; ". " &amp;G1182</f>
        <v>203. Food (including you paid directly + money for ingredients for household)</v>
      </c>
      <c r="K1182" s="172" t="str">
        <f t="shared" si="226"/>
        <v>203. Nourriture (y compris ce que vous avez payé directement + argent pour les ingrédients pour le ménage)</v>
      </c>
      <c r="L1182" s="172" t="str">
        <f t="shared" si="226"/>
        <v>203. Abinci (ciki har da wanda kuka saye kai tsaye da kuɗin kayan abinci na gida)</v>
      </c>
    </row>
    <row r="1183">
      <c r="A1183" s="253" t="s">
        <v>246</v>
      </c>
      <c r="B1183" s="254" t="s">
        <v>5547</v>
      </c>
      <c r="C1183" s="254" t="s">
        <v>2292</v>
      </c>
      <c r="D1183" s="254" t="s">
        <v>2293</v>
      </c>
      <c r="E1183" s="254" t="s">
        <v>5548</v>
      </c>
      <c r="F1183" s="182">
        <v>204.0</v>
      </c>
      <c r="G1183" s="172" t="str">
        <f>IFERROR(__xludf.DUMMYFUNCTION("TRIM(REGEXREPLACE(C1183, ""[0-9]+[a-f]?\."", """"))"),"Housing (rent)")</f>
        <v>Housing (rent)</v>
      </c>
      <c r="H1183" s="172" t="str">
        <f>IFERROR(__xludf.DUMMYFUNCTION("TRIM(REGEXREPLACE(D1183, ""[0-9]+[a-f]?\."", """"))"),"Logement (loyer)")</f>
        <v>Logement (loyer)</v>
      </c>
      <c r="I1183" s="172" t="str">
        <f>IFERROR(__xludf.DUMMYFUNCTION("TRIM(REGEXREPLACE(E1183, ""[0-9]+[a-f]?\."", """"))"),"Wurin zama (gidan haya)")</f>
        <v>Wurin zama (gidan haya)</v>
      </c>
      <c r="J1183" s="172" t="str">
        <f t="shared" ref="J1183:L1183" si="227">$F1183 &amp; ". " &amp;G1183</f>
        <v>204. Housing (rent)</v>
      </c>
      <c r="K1183" s="172" t="str">
        <f t="shared" si="227"/>
        <v>204. Logement (loyer)</v>
      </c>
      <c r="L1183" s="172" t="str">
        <f t="shared" si="227"/>
        <v>204. Wurin zama (gidan haya)</v>
      </c>
    </row>
    <row r="1184">
      <c r="A1184" s="253" t="s">
        <v>246</v>
      </c>
      <c r="B1184" s="254" t="s">
        <v>5549</v>
      </c>
      <c r="C1184" s="254" t="s">
        <v>2297</v>
      </c>
      <c r="D1184" s="254" t="s">
        <v>2298</v>
      </c>
      <c r="E1184" s="254" t="s">
        <v>2299</v>
      </c>
      <c r="F1184" s="182">
        <v>205.0</v>
      </c>
      <c r="G1184" s="172" t="str">
        <f>IFERROR(__xludf.DUMMYFUNCTION("TRIM(REGEXREPLACE(C1184, ""[0-9]+[a-f]?\."", """"))"),"Transportation")</f>
        <v>Transportation</v>
      </c>
      <c r="H1184" s="172" t="str">
        <f>IFERROR(__xludf.DUMMYFUNCTION("TRIM(REGEXREPLACE(D1184, ""[0-9]+[a-f]?\."", """"))"),"Transport")</f>
        <v>Transport</v>
      </c>
      <c r="I1184" s="172" t="str">
        <f>IFERROR(__xludf.DUMMYFUNCTION("TRIM(REGEXREPLACE(E1184, ""[0-9]+[a-f]?\."", """"))"),"Sufuri")</f>
        <v>Sufuri</v>
      </c>
      <c r="J1184" s="172" t="str">
        <f t="shared" ref="J1184:L1184" si="228">$F1184 &amp; ". " &amp;G1184</f>
        <v>205. Transportation</v>
      </c>
      <c r="K1184" s="172" t="str">
        <f t="shared" si="228"/>
        <v>205. Transport</v>
      </c>
      <c r="L1184" s="172" t="str">
        <f t="shared" si="228"/>
        <v>205. Sufuri</v>
      </c>
    </row>
    <row r="1185">
      <c r="A1185" s="253" t="s">
        <v>246</v>
      </c>
      <c r="B1185" s="254" t="s">
        <v>5550</v>
      </c>
      <c r="C1185" s="254" t="s">
        <v>2301</v>
      </c>
      <c r="D1185" s="254" t="s">
        <v>2302</v>
      </c>
      <c r="E1185" s="254" t="s">
        <v>2303</v>
      </c>
      <c r="F1185" s="182">
        <v>206.0</v>
      </c>
      <c r="G1185" s="172" t="str">
        <f>IFERROR(__xludf.DUMMYFUNCTION("TRIM(REGEXREPLACE(C1185, ""[0-9]+[a-f]?\."", """"))"),"Cell phone")</f>
        <v>Cell phone</v>
      </c>
      <c r="H1185" s="172" t="str">
        <f>IFERROR(__xludf.DUMMYFUNCTION("TRIM(REGEXREPLACE(D1185, ""[0-9]+[a-f]?\."", """"))"),"Téléphone portable")</f>
        <v>Téléphone portable</v>
      </c>
      <c r="I1185" s="172" t="str">
        <f>IFERROR(__xludf.DUMMYFUNCTION("TRIM(REGEXREPLACE(E1185, ""[0-9]+[a-f]?\."", """"))"),"Wayar salula/ wayar hannu")</f>
        <v>Wayar salula/ wayar hannu</v>
      </c>
      <c r="J1185" s="172" t="str">
        <f t="shared" ref="J1185:L1185" si="229">$F1185 &amp; ". " &amp;G1185</f>
        <v>206. Cell phone</v>
      </c>
      <c r="K1185" s="172" t="str">
        <f t="shared" si="229"/>
        <v>206. Téléphone portable</v>
      </c>
      <c r="L1185" s="172" t="str">
        <f t="shared" si="229"/>
        <v>206. Wayar salula/ wayar hannu</v>
      </c>
    </row>
    <row r="1186">
      <c r="A1186" s="253" t="s">
        <v>246</v>
      </c>
      <c r="B1186" s="254" t="s">
        <v>5551</v>
      </c>
      <c r="C1186" s="254" t="s">
        <v>2305</v>
      </c>
      <c r="D1186" s="254" t="s">
        <v>2306</v>
      </c>
      <c r="E1186" s="254" t="s">
        <v>2307</v>
      </c>
      <c r="F1186" s="182">
        <v>207.0</v>
      </c>
      <c r="G1186" s="172" t="str">
        <f>IFERROR(__xludf.DUMMYFUNCTION("TRIM(REGEXREPLACE(C1186, ""[0-9]+[a-f]?\."", """"))"),"Leisure/pleasure (tea, cigarettes, substances, betting)")</f>
        <v>Leisure/pleasure (tea, cigarettes, substances, betting)</v>
      </c>
      <c r="H1186" s="172" t="str">
        <f>IFERROR(__xludf.DUMMYFUNCTION("TRIM(REGEXREPLACE(D1186, ""[0-9]+[a-f]?\."", """"))"),"Loisirs/plaisir (thé, cigarettes, substances, paris)")</f>
        <v>Loisirs/plaisir (thé, cigarettes, substances, paris)</v>
      </c>
      <c r="I1186" s="172" t="str">
        <f>IFERROR(__xludf.DUMMYFUNCTION("TRIM(REGEXREPLACE(E1186, ""[0-9]+[a-f]?\."", """"))"),"Nishaɗi/shaɗi (shayi, sigari, abubuwan maye, caca)")</f>
        <v>Nishaɗi/shaɗi (shayi, sigari, abubuwan maye, caca)</v>
      </c>
      <c r="J1186" s="172" t="str">
        <f t="shared" ref="J1186:L1186" si="230">$F1186 &amp; ". " &amp;G1186</f>
        <v>207. Leisure/pleasure (tea, cigarettes, substances, betting)</v>
      </c>
      <c r="K1186" s="172" t="str">
        <f t="shared" si="230"/>
        <v>207. Loisirs/plaisir (thé, cigarettes, substances, paris)</v>
      </c>
      <c r="L1186" s="172" t="str">
        <f t="shared" si="230"/>
        <v>207. Nishaɗi/shaɗi (shayi, sigari, abubuwan maye, caca)</v>
      </c>
    </row>
    <row r="1187" hidden="1">
      <c r="A1187" s="211" t="s">
        <v>238</v>
      </c>
      <c r="B1187" s="224" t="s">
        <v>5519</v>
      </c>
      <c r="C1187" s="224" t="s">
        <v>5520</v>
      </c>
      <c r="D1187" s="225"/>
      <c r="E1187" s="225"/>
      <c r="F1187" s="182">
        <v>654.0</v>
      </c>
      <c r="G1187" s="172" t="str">
        <f>IFERROR(__xludf.DUMMYFUNCTION("TRIM(REGEXREPLACE(C1187, ""[0-9]+[a-f]?\."", """"))"),"Weekly consumption")</f>
        <v>Weekly consumption</v>
      </c>
      <c r="H1187" s="172" t="str">
        <f>IFERROR(__xludf.DUMMYFUNCTION("TRIM(REGEXREPLACE(D1187, ""[0-9]+[a-f]?\."", """"))"),"")</f>
        <v/>
      </c>
      <c r="I1187" s="172" t="str">
        <f>IFERROR(__xludf.DUMMYFUNCTION("TRIM(REGEXREPLACE(E1187, ""[0-9]+[a-f]?\."", """"))"),"")</f>
        <v/>
      </c>
      <c r="J1187" s="172" t="s">
        <v>5556</v>
      </c>
      <c r="K1187" s="172" t="s">
        <v>5557</v>
      </c>
      <c r="L1187" s="172" t="s">
        <v>5559</v>
      </c>
    </row>
    <row r="1188" hidden="1">
      <c r="A1188" s="188" t="s">
        <v>68</v>
      </c>
      <c r="B1188" s="189" t="s">
        <v>5562</v>
      </c>
      <c r="C1188" s="217" t="s">
        <v>5563</v>
      </c>
      <c r="D1188" s="217" t="s">
        <v>5564</v>
      </c>
      <c r="E1188" s="217" t="s">
        <v>5565</v>
      </c>
      <c r="F1188" s="182">
        <v>655.0</v>
      </c>
      <c r="G1188" s="172" t="str">
        <f>IFERROR(__xludf.DUMMYFUNCTION("TRIM(REGEXREPLACE(C1188, ""[0-9]+[a-f]?\."", """"))"),"Calculate consumption totals and verify")</f>
        <v>Calculate consumption totals and verify</v>
      </c>
      <c r="H1188" s="172" t="str">
        <f>IFERROR(__xludf.DUMMYFUNCTION("TRIM(REGEXREPLACE(D1188, ""[0-9]+[a-f]?\."", """"))"),"Calculer les totaux de consommation et vérifier")</f>
        <v>Calculer les totaux de consommation et vérifier</v>
      </c>
      <c r="I1188" s="172" t="str">
        <f>IFERROR(__xludf.DUMMYFUNCTION("TRIM(REGEXREPLACE(E1188, ""[0-9]+[a-f]?\."", """"))"),"Lissafa jimillar duk abubuwan da kayi amfani da su kuma ka tabbatar")</f>
        <v>Lissafa jimillar duk abubuwan da kayi amfani da su kuma ka tabbatar</v>
      </c>
      <c r="J1188" s="172" t="s">
        <v>5566</v>
      </c>
      <c r="K1188" s="172" t="s">
        <v>5567</v>
      </c>
      <c r="L1188" s="172" t="s">
        <v>5568</v>
      </c>
    </row>
    <row r="1189">
      <c r="A1189" s="215" t="s">
        <v>353</v>
      </c>
      <c r="B1189" s="216" t="s">
        <v>5569</v>
      </c>
      <c r="C1189" s="216" t="s">
        <v>2316</v>
      </c>
      <c r="D1189" s="216" t="s">
        <v>5570</v>
      </c>
      <c r="E1189" s="216" t="s">
        <v>5571</v>
      </c>
      <c r="F1189" s="182">
        <v>208.0</v>
      </c>
      <c r="G1189" s="172" t="str">
        <f>IFERROR(__xludf.DUMMYFUNCTION("TRIM(REGEXREPLACE(C1189, ""[0-9]+[a-f]?\."", """"))"),"In a typical week, you would spend ${pm_total_cost}. Does that sound correct?")</f>
        <v>In a typical week, you would spend ${pm_total_cost}. Does that sound correct?</v>
      </c>
      <c r="H1189" s="172" t="str">
        <f>IFERROR(__xludf.DUMMYFUNCTION("TRIM(REGEXREPLACE(D1189, ""[0-9]+[a-f]?\."", """"))"),"Au cours d'une semaine normale, vous dépenseriez ${pm_total_cost}. Cela vous semble-t-il correct ?")</f>
        <v>Au cours d'une semaine normale, vous dépenseriez ${pm_total_cost}. Cela vous semble-t-il correct ?</v>
      </c>
      <c r="I1189" s="172" t="str">
        <f>IFERROR(__xludf.DUMMYFUNCTION("TRIM(REGEXREPLACE(E1189, ""[0-9]+[a-f]?\."", """"))"),"A cikin sati guda, za ku iya kashe ${pm_total_cost}. Ko hakan yayi daidai?")</f>
        <v>A cikin sati guda, za ku iya kashe ${pm_total_cost}. Ko hakan yayi daidai?</v>
      </c>
      <c r="J1189" s="172" t="str">
        <f t="shared" ref="J1189:L1189" si="231">$F1189 &amp; ". " &amp;G1189</f>
        <v>208. In a typical week, you would spend ${pm_total_cost}. Does that sound correct?</v>
      </c>
      <c r="K1189" s="172" t="str">
        <f t="shared" si="231"/>
        <v>208. Au cours d'une semaine normale, vous dépenseriez ${pm_total_cost}. Cela vous semble-t-il correct ?</v>
      </c>
      <c r="L1189" s="172" t="str">
        <f t="shared" si="231"/>
        <v>208. A cikin sati guda, za ku iya kashe ${pm_total_cost}. Ko hakan yayi daidai?</v>
      </c>
    </row>
    <row r="1190">
      <c r="A1190" s="207" t="s">
        <v>41</v>
      </c>
      <c r="B1190" s="208" t="s">
        <v>5575</v>
      </c>
      <c r="C1190" s="208" t="s">
        <v>5576</v>
      </c>
      <c r="D1190" s="208" t="s">
        <v>5577</v>
      </c>
      <c r="E1190" s="208" t="s">
        <v>5578</v>
      </c>
      <c r="F1190" s="182">
        <v>209.0</v>
      </c>
      <c r="G1190" s="172" t="str">
        <f>IFERROR(__xludf.DUMMYFUNCTION("TRIM(REGEXREPLACE(C1190, ""[0-9]+[a-f]?\."", """"))"),"Now I will ask about some things that may have happened to you in ${pm_location_name} during ${pm_location_period_lab}. 
 Think about all the time you spent in ${pm_location_name} during ${pm_location_period_lab} when answering these questions")</f>
        <v>Now I will ask about some things that may have happened to you in ${pm_location_name} during ${pm_location_period_lab}. 
 Think about all the time you spent in ${pm_location_name} during ${pm_location_period_lab} when answering these questions</v>
      </c>
      <c r="H1190" s="172" t="str">
        <f>IFERROR(__xludf.DUMMYFUNCTION("TRIM(REGEXREPLACE(D1190, ""[0-9]+[a-f]?\."", """"))"),"Maintenant, je vais vous poser des questions sur certaines choses qui pourraient vous être arrivées à ${pm_location_name} de ${pm_location_period_lab_fr}.
 Pensez à tout le temps que vous avez passé à ${pm_location_name} de ${pm_location_period_lab_fr} "&amp;"lorsque vous répondez à ces questions")</f>
        <v>Maintenant, je vais vous poser des questions sur certaines choses qui pourraient vous être arrivées à ${pm_location_name} de ${pm_location_period_lab_fr}.
 Pensez à tout le temps que vous avez passé à ${pm_location_name} de ${pm_location_period_lab_fr} lorsque vous répondez à ces questions</v>
      </c>
      <c r="I1190" s="172" t="str">
        <f>IFERROR(__xludf.DUMMYFUNCTION("TRIM(REGEXREPLACE(E1190, ""[0-9]+[a-f]?\."", """"))"),"Yanzu zan yi tambaya game da wasu abubuwa da wataƙila sun faru da ku a ${pm_location_name} lokacin ${pm_location_period_lab_ha}.
 Ku yi tuna da duk lokacin da kuka zauna a ${pm_location_name} lokacin ${pm_location_period_lab_ha} amsa waɗannan tambayoyin")</f>
        <v>Yanzu zan yi tambaya game da wasu abubuwa da wataƙila sun faru da ku a ${pm_location_name} lokacin ${pm_location_period_lab_ha}.
 Ku yi tuna da duk lokacin da kuka zauna a ${pm_location_name} lokacin ${pm_location_period_lab_ha} amsa waɗannan tambayoyin</v>
      </c>
      <c r="J1190" s="172" t="str">
        <f t="shared" ref="J1190:L1190" si="232">$F1190 &amp; ". " &amp;G1190</f>
        <v>209. Now I will ask about some things that may have happened to you in ${pm_location_name} during ${pm_location_period_lab}. 
 Think about all the time you spent in ${pm_location_name} during ${pm_location_period_lab} when answering these questions</v>
      </c>
      <c r="K1190" s="172" t="str">
        <f t="shared" si="232"/>
        <v>209. Maintenant, je vais vous poser des questions sur certaines choses qui pourraient vous être arrivées à ${pm_location_name} de ${pm_location_period_lab_fr}.
 Pensez à tout le temps que vous avez passé à ${pm_location_name} de ${pm_location_period_lab_fr} lorsque vous répondez à ces questions</v>
      </c>
      <c r="L1190" s="172" t="str">
        <f t="shared" si="232"/>
        <v>209. Yanzu zan yi tambaya game da wasu abubuwa da wataƙila sun faru da ku a ${pm_location_name} lokacin ${pm_location_period_lab_ha}.
 Ku yi tuna da duk lokacin da kuka zauna a ${pm_location_name} lokacin ${pm_location_period_lab_ha} amsa waɗannan tambayoyin</v>
      </c>
    </row>
    <row r="1191">
      <c r="A1191" s="215" t="s">
        <v>5579</v>
      </c>
      <c r="B1191" s="216" t="s">
        <v>5580</v>
      </c>
      <c r="C1191" s="216" t="s">
        <v>2325</v>
      </c>
      <c r="D1191" s="216" t="s">
        <v>2326</v>
      </c>
      <c r="E1191" s="216" t="s">
        <v>2327</v>
      </c>
      <c r="F1191" s="182">
        <v>210.0</v>
      </c>
      <c r="G1191" s="172" t="str">
        <f>IFERROR(__xludf.DUMMYFUNCTION("TRIM(REGEXREPLACE(C1191, ""[0-9]+[a-f]?\."", """"))"),"How often, if at all, were you personally discriminated against based on your identity (ethnicity, religion, nationality)?")</f>
        <v>How often, if at all, were you personally discriminated against based on your identity (ethnicity, religion, nationality)?</v>
      </c>
      <c r="H1191" s="172" t="str">
        <f>IFERROR(__xludf.DUMMYFUNCTION("TRIM(REGEXREPLACE(D1191, ""[0-9]+[a-f]?\."", """"))"),"À quelle fréquence, si ça vous est déjà arrivé, avez-vous personnellement été victime de discrimination liée a votre identité (ethnie, religion, nationalité) ?")</f>
        <v>À quelle fréquence, si ça vous est déjà arrivé, avez-vous personnellement été victime de discrimination liée a votre identité (ethnie, religion, nationalité) ?</v>
      </c>
      <c r="I1191" s="172" t="str">
        <f>IFERROR(__xludf.DUMMYFUNCTION("TRIM(REGEXREPLACE(E1191, ""[0-9]+[a-f]?\."", """"))"),"Sau nawa, idan ya taɓa faruwa, aka nuna muku wariya dangance da kabilarku, ko addininku, ko ƙasarku?")</f>
        <v>Sau nawa, idan ya taɓa faruwa, aka nuna muku wariya dangance da kabilarku, ko addininku, ko ƙasarku?</v>
      </c>
      <c r="J1191" s="172" t="str">
        <f t="shared" ref="J1191:L1191" si="233">$F1191 &amp; ". " &amp;G1191</f>
        <v>210. How often, if at all, were you personally discriminated against based on your identity (ethnicity, religion, nationality)?</v>
      </c>
      <c r="K1191" s="172" t="str">
        <f t="shared" si="233"/>
        <v>210. À quelle fréquence, si ça vous est déjà arrivé, avez-vous personnellement été victime de discrimination liée a votre identité (ethnie, religion, nationalité) ?</v>
      </c>
      <c r="L1191" s="172" t="str">
        <f t="shared" si="233"/>
        <v>210. Sau nawa, idan ya taɓa faruwa, aka nuna muku wariya dangance da kabilarku, ko addininku, ko ƙasarku?</v>
      </c>
    </row>
    <row r="1192">
      <c r="A1192" s="215" t="s">
        <v>5579</v>
      </c>
      <c r="B1192" s="216" t="s">
        <v>5581</v>
      </c>
      <c r="C1192" s="216" t="s">
        <v>2329</v>
      </c>
      <c r="D1192" s="216" t="s">
        <v>2331</v>
      </c>
      <c r="E1192" s="216" t="s">
        <v>2332</v>
      </c>
      <c r="F1192" s="182">
        <v>211.0</v>
      </c>
      <c r="G1192" s="172" t="str">
        <f>IFERROR(__xludf.DUMMYFUNCTION("TRIM(REGEXREPLACE(C1192, ""[0-9]+[a-f]?\."", """"))"),"How often, if ever, have you felt unsafe walking in the neighborhood where you are staying?")</f>
        <v>How often, if ever, have you felt unsafe walking in the neighborhood where you are staying?</v>
      </c>
      <c r="H1192" s="172" t="str">
        <f>IFERROR(__xludf.DUMMYFUNCTION("TRIM(REGEXREPLACE(D1192, ""[0-9]+[a-f]?\."", """"))"),"Combien de fois, si jamais ça vous est arrivé, vous êtes-vous senti en danger en vous promenant dans le quartier où vous séjournez ?")</f>
        <v>Combien de fois, si jamais ça vous est arrivé, vous êtes-vous senti en danger en vous promenant dans le quartier où vous séjournez ?</v>
      </c>
      <c r="I1192" s="172" t="str">
        <f>IFERROR(__xludf.DUMMYFUNCTION("TRIM(REGEXREPLACE(E1192, ""[0-9]+[a-f]?\."", """"))"),"Sau nawa, idan ya taɓa faruwa, kuka ji ku cikin haɗari, yayin da kuke yawo a cikin unguwar da kuke zaune?")</f>
        <v>Sau nawa, idan ya taɓa faruwa, kuka ji ku cikin haɗari, yayin da kuke yawo a cikin unguwar da kuke zaune?</v>
      </c>
      <c r="J1192" s="172" t="str">
        <f t="shared" ref="J1192:L1192" si="234">$F1192 &amp; ". " &amp;G1192</f>
        <v>211. How often, if ever, have you felt unsafe walking in the neighborhood where you are staying?</v>
      </c>
      <c r="K1192" s="172" t="str">
        <f t="shared" si="234"/>
        <v>211. Combien de fois, si jamais ça vous est arrivé, vous êtes-vous senti en danger en vous promenant dans le quartier où vous séjournez ?</v>
      </c>
      <c r="L1192" s="172" t="str">
        <f t="shared" si="234"/>
        <v>211. Sau nawa, idan ya taɓa faruwa, kuka ji ku cikin haɗari, yayin da kuke yawo a cikin unguwar da kuke zaune?</v>
      </c>
    </row>
    <row r="1193" hidden="1">
      <c r="J1193" s="172"/>
      <c r="K1193" s="172"/>
      <c r="L1193" s="172"/>
    </row>
    <row r="1194" hidden="1">
      <c r="J1194" s="172"/>
      <c r="K1194" s="172"/>
      <c r="L1194" s="172"/>
    </row>
    <row r="1195" hidden="1">
      <c r="J1195" s="172"/>
      <c r="K1195" s="172"/>
      <c r="L1195" s="172"/>
    </row>
    <row r="1196" hidden="1">
      <c r="J1196" s="172"/>
      <c r="K1196" s="172"/>
      <c r="L1196" s="172"/>
    </row>
    <row r="1197" hidden="1">
      <c r="J1197" s="172"/>
      <c r="K1197" s="172"/>
      <c r="L1197" s="172"/>
    </row>
    <row r="1198" hidden="1">
      <c r="A1198" s="211" t="s">
        <v>107</v>
      </c>
      <c r="B1198" s="212" t="s">
        <v>5586</v>
      </c>
      <c r="C1198" s="214"/>
      <c r="D1198" s="214"/>
      <c r="E1198" s="214"/>
      <c r="F1198" s="182">
        <v>660.0</v>
      </c>
      <c r="G1198" s="172" t="str">
        <f>IFERROR(__xludf.DUMMYFUNCTION("TRIM(REGEXREPLACE(C1198, ""[0-9]+[a-f]?\."", """"))"),"")</f>
        <v/>
      </c>
      <c r="H1198" s="172" t="str">
        <f>IFERROR(__xludf.DUMMYFUNCTION("TRIM(REGEXREPLACE(D1198, ""[0-9]+[a-f]?\."", """"))"),"")</f>
        <v/>
      </c>
      <c r="I1198" s="172" t="str">
        <f>IFERROR(__xludf.DUMMYFUNCTION("TRIM(REGEXREPLACE(E1198, ""[0-9]+[a-f]?\."", """"))"),"")</f>
        <v/>
      </c>
      <c r="J1198" s="172" t="s">
        <v>5587</v>
      </c>
      <c r="K1198" s="172" t="s">
        <v>5588</v>
      </c>
      <c r="L1198" s="172" t="s">
        <v>5589</v>
      </c>
    </row>
    <row r="1199" hidden="1">
      <c r="J1199" s="172"/>
      <c r="K1199" s="172"/>
      <c r="L1199" s="172"/>
    </row>
    <row r="1200" hidden="1">
      <c r="J1200" s="172"/>
      <c r="K1200" s="172"/>
      <c r="L1200" s="172"/>
    </row>
    <row r="1201">
      <c r="A1201" s="215" t="s">
        <v>353</v>
      </c>
      <c r="B1201" s="216" t="s">
        <v>5593</v>
      </c>
      <c r="C1201" s="216" t="s">
        <v>5594</v>
      </c>
      <c r="D1201" s="216" t="s">
        <v>5595</v>
      </c>
      <c r="E1201" s="216" t="s">
        <v>5596</v>
      </c>
      <c r="F1201" s="182">
        <v>212.0</v>
      </c>
      <c r="G1201" s="172" t="str">
        <f>IFERROR(__xludf.DUMMYFUNCTION("TRIM(REGEXREPLACE(C1201, ""[0-9]+[a-f]?\."", """"))"),"Have you experienced any of the following in ${pm_location_name} during ${pm_location_period_lab}?")</f>
        <v>Have you experienced any of the following in ${pm_location_name} during ${pm_location_period_lab}?</v>
      </c>
      <c r="H1201" s="172" t="str">
        <f>IFERROR(__xludf.DUMMYFUNCTION("TRIM(REGEXREPLACE(D1201, ""[0-9]+[a-f]?\."", """"))"),"Avez-vous vécu l'une des situations suivantes à cet endroit entre ${pm_location_period_lab_fr} ?")</f>
        <v>Avez-vous vécu l'une des situations suivantes à cet endroit entre ${pm_location_period_lab_fr} ?</v>
      </c>
      <c r="I1201" s="172" t="str">
        <f>IFERROR(__xludf.DUMMYFUNCTION("TRIM(REGEXREPLACE(E1201, ""[0-9]+[a-f]?\."", """"))"),"Ko kun taɓa fuskantar ɗayan waɗannan abubuwan a wannan wurin, lokacin ${pm_location_period_lab_ha}?")</f>
        <v>Ko kun taɓa fuskantar ɗayan waɗannan abubuwan a wannan wurin, lokacin ${pm_location_period_lab_ha}?</v>
      </c>
      <c r="J1201" s="172" t="str">
        <f t="shared" ref="J1201:L1201" si="235">$F1201 &amp; ". " &amp;G1201</f>
        <v>212. Have you experienced any of the following in ${pm_location_name} during ${pm_location_period_lab}?</v>
      </c>
      <c r="K1201" s="172" t="str">
        <f t="shared" si="235"/>
        <v>212. Avez-vous vécu l'une des situations suivantes à cet endroit entre ${pm_location_period_lab_fr} ?</v>
      </c>
      <c r="L1201" s="172" t="str">
        <f t="shared" si="235"/>
        <v>212. Ko kun taɓa fuskantar ɗayan waɗannan abubuwan a wannan wurin, lokacin ${pm_location_period_lab_ha}?</v>
      </c>
    </row>
    <row r="1202" hidden="1">
      <c r="J1202" s="172"/>
      <c r="K1202" s="172"/>
      <c r="L1202" s="172"/>
    </row>
    <row r="1203">
      <c r="A1203" s="215" t="s">
        <v>353</v>
      </c>
      <c r="B1203" s="216" t="s">
        <v>5600</v>
      </c>
      <c r="C1203" s="216" t="s">
        <v>2341</v>
      </c>
      <c r="D1203" s="216" t="s">
        <v>2342</v>
      </c>
      <c r="E1203" s="216" t="s">
        <v>2343</v>
      </c>
      <c r="F1203" s="182">
        <v>213.0</v>
      </c>
      <c r="G1203" s="172" t="str">
        <f>IFERROR(__xludf.DUMMYFUNCTION("TRIM(REGEXREPLACE(C1203, ""[0-9]+[a-f]?\."", """"))"),"Physical attack")</f>
        <v>Physical attack</v>
      </c>
      <c r="H1203" s="172" t="str">
        <f>IFERROR(__xludf.DUMMYFUNCTION("TRIM(REGEXREPLACE(D1203, ""[0-9]+[a-f]?\."", """"))"),"Attaque physique")</f>
        <v>Attaque physique</v>
      </c>
      <c r="I1203" s="172" t="str">
        <f>IFERROR(__xludf.DUMMYFUNCTION("TRIM(REGEXREPLACE(E1203, ""[0-9]+[a-f]?\."", """"))"),"harin jiki")</f>
        <v>harin jiki</v>
      </c>
      <c r="J1203" s="172" t="str">
        <f t="shared" ref="J1203:L1203" si="236">$F1203 &amp; ". " &amp;G1203</f>
        <v>213. Physical attack</v>
      </c>
      <c r="K1203" s="172" t="str">
        <f t="shared" si="236"/>
        <v>213. Attaque physique</v>
      </c>
      <c r="L1203" s="172" t="str">
        <f t="shared" si="236"/>
        <v>213. harin jiki</v>
      </c>
    </row>
    <row r="1204" hidden="1"/>
    <row r="1205" hidden="1"/>
    <row r="1206">
      <c r="A1206" s="215" t="s">
        <v>353</v>
      </c>
      <c r="B1206" s="216" t="s">
        <v>5602</v>
      </c>
      <c r="C1206" s="216" t="s">
        <v>2346</v>
      </c>
      <c r="D1206" s="216" t="s">
        <v>2347</v>
      </c>
      <c r="E1206" s="216" t="s">
        <v>2348</v>
      </c>
      <c r="F1206" s="182">
        <v>214.0</v>
      </c>
      <c r="G1206" s="172" t="str">
        <f>IFERROR(__xludf.DUMMYFUNCTION("TRIM(REGEXREPLACE(C1206, ""[0-9]+[a-f]?\."", """"))"),"Threat of physical violence/attack")</f>
        <v>Threat of physical violence/attack</v>
      </c>
      <c r="H1206" s="172" t="str">
        <f>IFERROR(__xludf.DUMMYFUNCTION("TRIM(REGEXREPLACE(D1206, ""[0-9]+[a-f]?\."", """"))"),"Menace de violence physique/agression")</f>
        <v>Menace de violence physique/agression</v>
      </c>
      <c r="I1206" s="172" t="str">
        <f>IFERROR(__xludf.DUMMYFUNCTION("TRIM(REGEXREPLACE(E1206, ""[0-9]+[a-f]?\."", """"))"),"Barazanar ​​harin jiki")</f>
        <v>Barazanar ​​harin jiki</v>
      </c>
      <c r="J1206" s="172" t="str">
        <f t="shared" ref="J1206:L1206" si="237">$F1206 &amp; ". " &amp;G1206</f>
        <v>214. Threat of physical violence/attack</v>
      </c>
      <c r="K1206" s="172" t="str">
        <f t="shared" si="237"/>
        <v>214. Menace de violence physique/agression</v>
      </c>
      <c r="L1206" s="172" t="str">
        <f t="shared" si="237"/>
        <v>214. Barazanar ​​harin jiki</v>
      </c>
    </row>
    <row r="1207" hidden="1"/>
    <row r="1208" hidden="1"/>
    <row r="1209">
      <c r="A1209" s="215" t="s">
        <v>353</v>
      </c>
      <c r="B1209" s="216" t="s">
        <v>5606</v>
      </c>
      <c r="C1209" s="216" t="s">
        <v>2350</v>
      </c>
      <c r="D1209" s="216" t="s">
        <v>2351</v>
      </c>
      <c r="E1209" s="216" t="s">
        <v>5607</v>
      </c>
      <c r="F1209" s="182">
        <v>215.0</v>
      </c>
      <c r="G1209" s="172" t="str">
        <f>IFERROR(__xludf.DUMMYFUNCTION("TRIM(REGEXREPLACE(C1209, ""[0-9]+[a-f]?\."", """"))"),"Theft of either money or property?")</f>
        <v>Theft of either money or property?</v>
      </c>
      <c r="H1209" s="172" t="str">
        <f>IFERROR(__xludf.DUMMYFUNCTION("TRIM(REGEXREPLACE(D1209, ""[0-9]+[a-f]?\."", """"))"),"Vol d'argent ou de biens ?")</f>
        <v>Vol d'argent ou de biens ?</v>
      </c>
      <c r="I1209" s="172" t="str">
        <f>IFERROR(__xludf.DUMMYFUNCTION("TRIM(REGEXREPLACE(E1209, ""[0-9]+[a-f]?\."", """"))"),"Satar kudi ko kaya?")</f>
        <v>Satar kudi ko kaya?</v>
      </c>
      <c r="J1209" s="172" t="str">
        <f t="shared" ref="J1209:L1209" si="238">$F1209 &amp; ". " &amp;G1209</f>
        <v>215. Theft of either money or property?</v>
      </c>
      <c r="K1209" s="172" t="str">
        <f t="shared" si="238"/>
        <v>215. Vol d'argent ou de biens ?</v>
      </c>
      <c r="L1209" s="172" t="str">
        <f t="shared" si="238"/>
        <v>215. Satar kudi ko kaya?</v>
      </c>
    </row>
    <row r="1210">
      <c r="A1210" s="215" t="s">
        <v>353</v>
      </c>
      <c r="B1210" s="216" t="s">
        <v>5608</v>
      </c>
      <c r="C1210" s="216" t="s">
        <v>2355</v>
      </c>
      <c r="D1210" s="216" t="s">
        <v>2356</v>
      </c>
      <c r="E1210" s="216" t="s">
        <v>2357</v>
      </c>
      <c r="F1210" s="182">
        <v>216.0</v>
      </c>
      <c r="G1210" s="172" t="str">
        <f>IFERROR(__xludf.DUMMYFUNCTION("TRIM(REGEXREPLACE(C1210, ""[0-9]+[a-f]?\."", """"))"),"Detention or arrest by state security forces?")</f>
        <v>Detention or arrest by state security forces?</v>
      </c>
      <c r="H1210" s="172" t="str">
        <f>IFERROR(__xludf.DUMMYFUNCTION("TRIM(REGEXREPLACE(D1210, ""[0-9]+[a-f]?\."", """"))"),"Détention ou arrestation par les forces de sécurité de l'État ?")</f>
        <v>Détention ou arrestation par les forces de sécurité de l'État ?</v>
      </c>
      <c r="I1210" s="172" t="str">
        <f>IFERROR(__xludf.DUMMYFUNCTION("TRIM(REGEXREPLACE(E1210, ""[0-9]+[a-f]?\."", """"))"),"Kaso ko kamu daga jami'an tsaron gwamnati?")</f>
        <v>Kaso ko kamu daga jami'an tsaron gwamnati?</v>
      </c>
      <c r="J1210" s="172" t="str">
        <f t="shared" ref="J1210:L1210" si="239">$F1210 &amp; ". " &amp;G1210</f>
        <v>216. Detention or arrest by state security forces?</v>
      </c>
      <c r="K1210" s="172" t="str">
        <f t="shared" si="239"/>
        <v>216. Détention ou arrestation par les forces de sécurité de l'État ?</v>
      </c>
      <c r="L1210" s="172" t="str">
        <f t="shared" si="239"/>
        <v>216. Kaso ko kamu daga jami'an tsaron gwamnati?</v>
      </c>
    </row>
    <row r="1211">
      <c r="A1211" s="215" t="s">
        <v>353</v>
      </c>
      <c r="B1211" s="216" t="s">
        <v>5613</v>
      </c>
      <c r="C1211" s="216" t="s">
        <v>2359</v>
      </c>
      <c r="D1211" s="216" t="s">
        <v>2360</v>
      </c>
      <c r="E1211" s="216" t="s">
        <v>2361</v>
      </c>
      <c r="F1211" s="182">
        <v>217.0</v>
      </c>
      <c r="G1211" s="172" t="str">
        <f>IFERROR(__xludf.DUMMYFUNCTION("TRIM(REGEXREPLACE(C1211, ""[0-9]+[a-f]?\."", """"))"),"Illness or injury that disrupted your daily life?")</f>
        <v>Illness or injury that disrupted your daily life?</v>
      </c>
      <c r="H1211" s="172" t="str">
        <f>IFERROR(__xludf.DUMMYFUNCTION("TRIM(REGEXREPLACE(D1211, ""[0-9]+[a-f]?\."", """"))"),"Une maladie ou une blessure qui a perturbé votre quotidien ?")</f>
        <v>Une maladie ou une blessure qui a perturbé votre quotidien ?</v>
      </c>
      <c r="I1211" s="172" t="str">
        <f>IFERROR(__xludf.DUMMYFUNCTION("TRIM(REGEXREPLACE(E1211, ""[0-9]+[a-f]?\."", """"))"),"Rashin lafiya ko rauni wanda ya kawo cikas ga rayuwarku ta yau da kullun?")</f>
        <v>Rashin lafiya ko rauni wanda ya kawo cikas ga rayuwarku ta yau da kullun?</v>
      </c>
      <c r="J1211" s="172" t="str">
        <f t="shared" ref="J1211:L1211" si="240">$F1211 &amp; ". " &amp;G1211</f>
        <v>217. Illness or injury that disrupted your daily life?</v>
      </c>
      <c r="K1211" s="172" t="str">
        <f t="shared" si="240"/>
        <v>217. Une maladie ou une blessure qui a perturbé votre quotidien ?</v>
      </c>
      <c r="L1211" s="172" t="str">
        <f t="shared" si="240"/>
        <v>217. Rashin lafiya ko rauni wanda ya kawo cikas ga rayuwarku ta yau da kullun?</v>
      </c>
    </row>
    <row r="1212" hidden="1">
      <c r="A1212" s="211" t="s">
        <v>238</v>
      </c>
      <c r="B1212" s="224" t="s">
        <v>5586</v>
      </c>
      <c r="C1212" s="225"/>
      <c r="D1212" s="225"/>
      <c r="E1212" s="225"/>
      <c r="F1212" s="182">
        <v>667.0</v>
      </c>
      <c r="G1212" s="172" t="str">
        <f>IFERROR(__xludf.DUMMYFUNCTION("TRIM(REGEXREPLACE(C1212, ""[0-9]+[a-f]?\."", """"))"),"")</f>
        <v/>
      </c>
      <c r="H1212" s="172" t="str">
        <f>IFERROR(__xludf.DUMMYFUNCTION("TRIM(REGEXREPLACE(D1212, ""[0-9]+[a-f]?\."", """"))"),"")</f>
        <v/>
      </c>
      <c r="I1212" s="172" t="str">
        <f>IFERROR(__xludf.DUMMYFUNCTION("TRIM(REGEXREPLACE(E1212, ""[0-9]+[a-f]?\."", """"))"),"")</f>
        <v/>
      </c>
      <c r="J1212" s="172" t="s">
        <v>5617</v>
      </c>
      <c r="K1212" s="172" t="s">
        <v>5618</v>
      </c>
      <c r="L1212" s="172" t="s">
        <v>5619</v>
      </c>
    </row>
    <row r="1213" hidden="1">
      <c r="A1213" s="211" t="s">
        <v>107</v>
      </c>
      <c r="B1213" s="212" t="s">
        <v>5620</v>
      </c>
      <c r="C1213" s="214"/>
      <c r="D1213" s="214"/>
      <c r="E1213" s="214"/>
      <c r="F1213" s="182">
        <v>668.0</v>
      </c>
      <c r="G1213" s="172" t="str">
        <f>IFERROR(__xludf.DUMMYFUNCTION("TRIM(REGEXREPLACE(C1213, ""[0-9]+[a-f]?\."", """"))"),"")</f>
        <v/>
      </c>
      <c r="H1213" s="172" t="str">
        <f>IFERROR(__xludf.DUMMYFUNCTION("TRIM(REGEXREPLACE(D1213, ""[0-9]+[a-f]?\."", """"))"),"")</f>
        <v/>
      </c>
      <c r="I1213" s="172" t="str">
        <f>IFERROR(__xludf.DUMMYFUNCTION("TRIM(REGEXREPLACE(E1213, ""[0-9]+[a-f]?\."", """"))"),"")</f>
        <v/>
      </c>
      <c r="J1213" s="172" t="s">
        <v>5624</v>
      </c>
      <c r="K1213" s="172" t="s">
        <v>5625</v>
      </c>
      <c r="L1213" s="172" t="s">
        <v>5626</v>
      </c>
    </row>
    <row r="1214" hidden="1"/>
    <row r="1215" hidden="1"/>
    <row r="1216" hidden="1"/>
    <row r="1217" hidden="1"/>
    <row r="1218" hidden="1"/>
    <row r="1219" hidden="1"/>
    <row r="1220" hidden="1"/>
    <row r="1221" hidden="1"/>
    <row r="1222" hidden="1"/>
    <row r="1223" hidden="1"/>
    <row r="1224" hidden="1"/>
    <row r="1225" hidden="1"/>
    <row r="1226">
      <c r="A1226" s="207" t="s">
        <v>41</v>
      </c>
      <c r="B1226" s="208" t="s">
        <v>5627</v>
      </c>
      <c r="C1226" s="208" t="s">
        <v>2371</v>
      </c>
      <c r="D1226" s="208" t="s">
        <v>2372</v>
      </c>
      <c r="E1226" s="208" t="s">
        <v>5628</v>
      </c>
      <c r="F1226" s="182">
        <v>218.0</v>
      </c>
      <c r="G1226" s="172" t="str">
        <f>IFERROR(__xludf.DUMMYFUNCTION("TRIM(REGEXREPLACE(C1226, ""[0-9]+[a-f]?\."", """"))"),"Now I would like to ask you to tell me more about your specific experience with:")</f>
        <v>Now I would like to ask you to tell me more about your specific experience with:</v>
      </c>
      <c r="H1226" s="172" t="str">
        <f>IFERROR(__xludf.DUMMYFUNCTION("TRIM(REGEXREPLACE(D1226, ""[0-9]+[a-f]?\."", """"))"),"J'aimerais maintenant vous demander de m'en dire un peu plus sur votre expérience spécifique avec :")</f>
        <v>J'aimerais maintenant vous demander de m'en dire un peu plus sur votre expérience spécifique avec :</v>
      </c>
      <c r="I1226" s="172" t="str">
        <f>IFERROR(__xludf.DUMMYFUNCTION("TRIM(REGEXREPLACE(E1226, ""[0-9]+[a-f]?\."", """"))"),"Yanzu ina so in tambaye ku ƙarin bayani game da abin da ka fuskanta a masamman game da:")</f>
        <v>Yanzu ina so in tambaye ku ƙarin bayani game da abin da ka fuskanta a masamman game da:</v>
      </c>
      <c r="J1226" s="172" t="str">
        <f t="shared" ref="J1226:L1226" si="241">$F1226 &amp; ". " &amp;G1226</f>
        <v>218. Now I would like to ask you to tell me more about your specific experience with:</v>
      </c>
      <c r="K1226" s="172" t="str">
        <f t="shared" si="241"/>
        <v>218. J'aimerais maintenant vous demander de m'en dire un peu plus sur votre expérience spécifique avec :</v>
      </c>
      <c r="L1226" s="172" t="str">
        <f t="shared" si="241"/>
        <v>218. Yanzu ina so in tambaye ku ƙarin bayani game da abin da ka fuskanta a masamman game da:</v>
      </c>
    </row>
    <row r="1227">
      <c r="A1227" s="246" t="s">
        <v>231</v>
      </c>
      <c r="B1227" s="247" t="s">
        <v>5632</v>
      </c>
      <c r="C1227" s="247" t="s">
        <v>2377</v>
      </c>
      <c r="D1227" s="247" t="s">
        <v>2378</v>
      </c>
      <c r="E1227" s="247" t="s">
        <v>2379</v>
      </c>
      <c r="F1227" s="182">
        <v>219.0</v>
      </c>
      <c r="G1227" s="172" t="str">
        <f>IFERROR(__xludf.DUMMYFUNCTION("TRIM(REGEXREPLACE(C1227, ""[0-9]+[a-f]?\."", """"))"),"Physical attack")</f>
        <v>Physical attack</v>
      </c>
      <c r="H1227" s="172" t="str">
        <f>IFERROR(__xludf.DUMMYFUNCTION("TRIM(REGEXREPLACE(D1227, ""[0-9]+[a-f]?\."", """"))"),"Pouvez-vous m'en dire un peu plus sur ce qui s'est passé ?")</f>
        <v>Pouvez-vous m'en dire un peu plus sur ce qui s'est passé ?</v>
      </c>
      <c r="I1227" s="172" t="str">
        <f>IFERROR(__xludf.DUMMYFUNCTION("TRIM(REGEXREPLACE(E1227, ""[0-9]+[a-f]?\."", """"))"),"Za ku iya bani karin bayani a kan abin da ya faru?")</f>
        <v>Za ku iya bani karin bayani a kan abin da ya faru?</v>
      </c>
      <c r="J1227" s="172" t="str">
        <f t="shared" ref="J1227:L1227" si="242">$F1227 &amp; ". " &amp;G1227</f>
        <v>219. Physical attack</v>
      </c>
      <c r="K1227" s="172" t="str">
        <f t="shared" si="242"/>
        <v>219. Pouvez-vous m'en dire un peu plus sur ce qui s'est passé ?</v>
      </c>
      <c r="L1227" s="172" t="str">
        <f t="shared" si="242"/>
        <v>219. Za ku iya bani karin bayani a kan abin da ya faru?</v>
      </c>
    </row>
    <row r="1228">
      <c r="A1228" s="246" t="s">
        <v>231</v>
      </c>
      <c r="B1228" s="247" t="s">
        <v>5633</v>
      </c>
      <c r="C1228" s="247" t="s">
        <v>2382</v>
      </c>
      <c r="D1228" s="247" t="s">
        <v>2383</v>
      </c>
      <c r="E1228" s="247" t="s">
        <v>2384</v>
      </c>
      <c r="F1228" s="182">
        <v>220.0</v>
      </c>
      <c r="G1228" s="172" t="str">
        <f>IFERROR(__xludf.DUMMYFUNCTION("TRIM(REGEXREPLACE(C1228, ""[0-9]+[a-f]?\."", """"))"),"Threat of physical violence/attack")</f>
        <v>Threat of physical violence/attack</v>
      </c>
      <c r="H1228" s="172" t="str">
        <f>IFERROR(__xludf.DUMMYFUNCTION("TRIM(REGEXREPLACE(D1228, ""[0-9]+[a-f]?\."", """"))"),"Menace de violence physique/agression")</f>
        <v>Menace de violence physique/agression</v>
      </c>
      <c r="I1228" s="172" t="str">
        <f>IFERROR(__xludf.DUMMYFUNCTION("TRIM(REGEXREPLACE(E1228, ""[0-9]+[a-f]?\."", """"))"),"Barazanar ​​harin jiki")</f>
        <v>Barazanar ​​harin jiki</v>
      </c>
      <c r="J1228" s="172" t="str">
        <f t="shared" ref="J1228:L1228" si="243">$F1228 &amp; ". " &amp;G1228</f>
        <v>220. Threat of physical violence/attack</v>
      </c>
      <c r="K1228" s="172" t="str">
        <f t="shared" si="243"/>
        <v>220. Menace de violence physique/agression</v>
      </c>
      <c r="L1228" s="172" t="str">
        <f t="shared" si="243"/>
        <v>220. Barazanar ​​harin jiki</v>
      </c>
    </row>
    <row r="1229">
      <c r="A1229" s="246" t="s">
        <v>231</v>
      </c>
      <c r="B1229" s="247" t="s">
        <v>5634</v>
      </c>
      <c r="C1229" s="247" t="s">
        <v>2387</v>
      </c>
      <c r="D1229" s="247" t="s">
        <v>2267</v>
      </c>
      <c r="E1229" s="247" t="s">
        <v>2388</v>
      </c>
      <c r="F1229" s="182">
        <v>221.0</v>
      </c>
      <c r="G1229" s="172" t="str">
        <f>IFERROR(__xludf.DUMMYFUNCTION("TRIM(REGEXREPLACE(C1229, ""[0-9]+[a-f]?\."", """"))"),"Theft of either money or property?")</f>
        <v>Theft of either money or property?</v>
      </c>
      <c r="H1229" s="172" t="str">
        <f>IFERROR(__xludf.DUMMYFUNCTION("TRIM(REGEXREPLACE(D1229, ""[0-9]+[a-f]?\."", """"))"),"Pouvez-vous m'en dire un peu plus sur ce qui s'est passé ?")</f>
        <v>Pouvez-vous m'en dire un peu plus sur ce qui s'est passé ?</v>
      </c>
      <c r="I1229" s="172" t="str">
        <f>IFERROR(__xludf.DUMMYFUNCTION("TRIM(REGEXREPLACE(E1229, ""[0-9]+[a-f]?\."", """"))"),"Za ku iya bani karin bayani a kan abin da ya faru?")</f>
        <v>Za ku iya bani karin bayani a kan abin da ya faru?</v>
      </c>
      <c r="J1229" s="172" t="str">
        <f t="shared" ref="J1229:L1229" si="244">$F1229 &amp; ". " &amp;G1229</f>
        <v>221. Theft of either money or property?</v>
      </c>
      <c r="K1229" s="172" t="str">
        <f t="shared" si="244"/>
        <v>221. Pouvez-vous m'en dire un peu plus sur ce qui s'est passé ?</v>
      </c>
      <c r="L1229" s="172" t="str">
        <f t="shared" si="244"/>
        <v>221. Za ku iya bani karin bayani a kan abin da ya faru?</v>
      </c>
    </row>
    <row r="1230">
      <c r="A1230" s="246" t="s">
        <v>231</v>
      </c>
      <c r="B1230" s="247" t="s">
        <v>5639</v>
      </c>
      <c r="C1230" s="247" t="s">
        <v>2390</v>
      </c>
      <c r="D1230" s="247" t="s">
        <v>2391</v>
      </c>
      <c r="E1230" s="247" t="s">
        <v>2392</v>
      </c>
      <c r="F1230" s="182">
        <v>222.0</v>
      </c>
      <c r="G1230" s="172" t="str">
        <f>IFERROR(__xludf.DUMMYFUNCTION("TRIM(REGEXREPLACE(C1230, ""[0-9]+[a-f]?\."", """"))"),"Detention or arrest by state security forces?")</f>
        <v>Detention or arrest by state security forces?</v>
      </c>
      <c r="H1230" s="172" t="str">
        <f>IFERROR(__xludf.DUMMYFUNCTION("TRIM(REGEXREPLACE(D1230, ""[0-9]+[a-f]?\."", """"))"),"Pouvez-vous m'en dire un peu plus sur ce qui s'est passé ?")</f>
        <v>Pouvez-vous m'en dire un peu plus sur ce qui s'est passé ?</v>
      </c>
      <c r="I1230" s="172" t="str">
        <f>IFERROR(__xludf.DUMMYFUNCTION("TRIM(REGEXREPLACE(E1230, ""[0-9]+[a-f]?\."", """"))"),"Ko za ka iya yi mini ƙarin bayani a kan abin da ya faru?")</f>
        <v>Ko za ka iya yi mini ƙarin bayani a kan abin da ya faru?</v>
      </c>
      <c r="J1230" s="172" t="str">
        <f t="shared" ref="J1230:L1230" si="245">$F1230 &amp; ". " &amp;G1230</f>
        <v>222. Detention or arrest by state security forces?</v>
      </c>
      <c r="K1230" s="172" t="str">
        <f t="shared" si="245"/>
        <v>222. Pouvez-vous m'en dire un peu plus sur ce qui s'est passé ?</v>
      </c>
      <c r="L1230" s="172" t="str">
        <f t="shared" si="245"/>
        <v>222. Ko za ka iya yi mini ƙarin bayani a kan abin da ya faru?</v>
      </c>
    </row>
    <row r="1231">
      <c r="A1231" s="215" t="s">
        <v>5640</v>
      </c>
      <c r="B1231" s="216" t="s">
        <v>5641</v>
      </c>
      <c r="C1231" s="216" t="s">
        <v>2394</v>
      </c>
      <c r="D1231" s="216" t="s">
        <v>2396</v>
      </c>
      <c r="E1231" s="216" t="s">
        <v>2397</v>
      </c>
      <c r="F1231" s="182">
        <v>223.0</v>
      </c>
      <c r="G1231" s="172" t="str">
        <f>IFERROR(__xludf.DUMMYFUNCTION("TRIM(REGEXREPLACE(C1231, ""[0-9]+[a-f]?\."", """"))"),"What type of illness or injury did you experience?")</f>
        <v>What type of illness or injury did you experience?</v>
      </c>
      <c r="H1231" s="172" t="str">
        <f>IFERROR(__xludf.DUMMYFUNCTION("TRIM(REGEXREPLACE(D1231, ""[0-9]+[a-f]?\."", """"))"),"Quel type de maladie ou de blessure avez-vous subi ?")</f>
        <v>Quel type de maladie ou de blessure avez-vous subi ?</v>
      </c>
      <c r="I1231" s="172" t="str">
        <f>IFERROR(__xludf.DUMMYFUNCTION("TRIM(REGEXREPLACE(E1231, ""[0-9]+[a-f]?\."", """"))"),"Wane irin ciwo ko rauni kuka fuskanta?")</f>
        <v>Wane irin ciwo ko rauni kuka fuskanta?</v>
      </c>
      <c r="J1231" s="172" t="str">
        <f t="shared" ref="J1231:L1231" si="246">$F1231 &amp; ". " &amp;G1231</f>
        <v>223. What type of illness or injury did you experience?</v>
      </c>
      <c r="K1231" s="172" t="str">
        <f t="shared" si="246"/>
        <v>223. Quel type de maladie ou de blessure avez-vous subi ?</v>
      </c>
      <c r="L1231" s="172" t="str">
        <f t="shared" si="246"/>
        <v>223. Wane irin ciwo ko rauni kuka fuskanta?</v>
      </c>
    </row>
    <row r="1232">
      <c r="A1232" s="246" t="s">
        <v>231</v>
      </c>
      <c r="B1232" s="247" t="s">
        <v>5642</v>
      </c>
      <c r="C1232" s="247" t="s">
        <v>2399</v>
      </c>
      <c r="D1232" s="247" t="s">
        <v>2400</v>
      </c>
      <c r="E1232" s="247" t="s">
        <v>2401</v>
      </c>
      <c r="F1232" s="182">
        <v>224.0</v>
      </c>
      <c r="G1232" s="172" t="str">
        <f>IFERROR(__xludf.DUMMYFUNCTION("TRIM(REGEXREPLACE(C1232, ""[0-9]+[a-f]?\."", """"))"),"What type of illness or injury did you experience?")</f>
        <v>What type of illness or injury did you experience?</v>
      </c>
      <c r="H1232" s="172" t="str">
        <f>IFERROR(__xludf.DUMMYFUNCTION("TRIM(REGEXREPLACE(D1232, ""[0-9]+[a-f]?\."", """"))"),"Quel type de maladie ou de blessure avez-vous subi ?")</f>
        <v>Quel type de maladie ou de blessure avez-vous subi ?</v>
      </c>
      <c r="I1232" s="172" t="str">
        <f>IFERROR(__xludf.DUMMYFUNCTION("TRIM(REGEXREPLACE(E1232, ""[0-9]+[a-f]?\."", """"))"),"Wane irin ciwo ko rauni kuka fuskanta?")</f>
        <v>Wane irin ciwo ko rauni kuka fuskanta?</v>
      </c>
      <c r="J1232" s="172" t="str">
        <f t="shared" ref="J1232:L1232" si="247">$F1232 &amp; ". " &amp;G1232</f>
        <v>224. What type of illness or injury did you experience?</v>
      </c>
      <c r="K1232" s="172" t="str">
        <f t="shared" si="247"/>
        <v>224. Quel type de maladie ou de blessure avez-vous subi ?</v>
      </c>
      <c r="L1232" s="172" t="str">
        <f t="shared" si="247"/>
        <v>224. Wane irin ciwo ko rauni kuka fuskanta?</v>
      </c>
    </row>
    <row r="1233">
      <c r="A1233" s="215" t="s">
        <v>353</v>
      </c>
      <c r="B1233" s="216" t="s">
        <v>5644</v>
      </c>
      <c r="C1233" s="216" t="s">
        <v>2404</v>
      </c>
      <c r="D1233" s="216" t="s">
        <v>2405</v>
      </c>
      <c r="E1233" s="216" t="s">
        <v>2406</v>
      </c>
      <c r="F1233" s="182">
        <v>225.0</v>
      </c>
      <c r="G1233" s="172" t="str">
        <f>IFERROR(__xludf.DUMMYFUNCTION("TRIM(REGEXREPLACE(C1233, ""[0-9]+[a-f]?\."", """"))"),"In ${pm_location_name}, did you seek any treatment for any illness or injury?")</f>
        <v>In ${pm_location_name}, did you seek any treatment for any illness or injury?</v>
      </c>
      <c r="H1233" s="172" t="str">
        <f>IFERROR(__xludf.DUMMYFUNCTION("TRIM(REGEXREPLACE(D1233, ""[0-9]+[a-f]?\."", """"))"),"À ${pm_location_name}, avez-vous cherché un traitement pour une maladie ou une blessure ?")</f>
        <v>À ${pm_location_name}, avez-vous cherché un traitement pour une maladie ou une blessure ?</v>
      </c>
      <c r="I1233" s="172" t="str">
        <f>IFERROR(__xludf.DUMMYFUNCTION("TRIM(REGEXREPLACE(E1233, ""[0-9]+[a-f]?\."", """"))"),"A ${pm_location_name}, kun nemi wani magani don wata cuta ko rauni?")</f>
        <v>A ${pm_location_name}, kun nemi wani magani don wata cuta ko rauni?</v>
      </c>
      <c r="J1233" s="172" t="str">
        <f t="shared" ref="J1233:L1233" si="248">$F1233 &amp; ". " &amp;G1233</f>
        <v>225. In ${pm_location_name}, did you seek any treatment for any illness or injury?</v>
      </c>
      <c r="K1233" s="172" t="str">
        <f t="shared" si="248"/>
        <v>225. À ${pm_location_name}, avez-vous cherché un traitement pour une maladie ou une blessure ?</v>
      </c>
      <c r="L1233" s="172" t="str">
        <f t="shared" si="248"/>
        <v>225. A ${pm_location_name}, kun nemi wani magani don wata cuta ko rauni?</v>
      </c>
    </row>
    <row r="1234" hidden="1">
      <c r="A1234" s="211" t="s">
        <v>238</v>
      </c>
      <c r="B1234" s="224" t="s">
        <v>5620</v>
      </c>
      <c r="C1234" s="225"/>
      <c r="D1234" s="225"/>
      <c r="E1234" s="225"/>
      <c r="F1234" s="182">
        <v>677.0</v>
      </c>
      <c r="G1234" s="172" t="str">
        <f>IFERROR(__xludf.DUMMYFUNCTION("TRIM(REGEXREPLACE(C1234, ""[0-9]+[a-f]?\."", """"))"),"")</f>
        <v/>
      </c>
      <c r="H1234" s="172" t="str">
        <f>IFERROR(__xludf.DUMMYFUNCTION("TRIM(REGEXREPLACE(D1234, ""[0-9]+[a-f]?\."", """"))"),"")</f>
        <v/>
      </c>
      <c r="I1234" s="172" t="str">
        <f>IFERROR(__xludf.DUMMYFUNCTION("TRIM(REGEXREPLACE(E1234, ""[0-9]+[a-f]?\."", """"))"),"")</f>
        <v/>
      </c>
      <c r="J1234" s="172" t="s">
        <v>5648</v>
      </c>
      <c r="K1234" s="172" t="s">
        <v>5649</v>
      </c>
      <c r="L1234" s="172" t="s">
        <v>5651</v>
      </c>
    </row>
    <row r="1235" hidden="1">
      <c r="A1235" s="188" t="s">
        <v>118</v>
      </c>
      <c r="B1235" s="279" t="s">
        <v>5653</v>
      </c>
      <c r="C1235" s="190"/>
      <c r="D1235" s="190"/>
      <c r="E1235" s="190"/>
      <c r="F1235" s="182">
        <v>678.0</v>
      </c>
      <c r="G1235" s="172" t="str">
        <f>IFERROR(__xludf.DUMMYFUNCTION("TRIM(REGEXREPLACE(C1235, ""[0-9]+[a-f]?\."", """"))"),"")</f>
        <v/>
      </c>
      <c r="H1235" s="172" t="str">
        <f>IFERROR(__xludf.DUMMYFUNCTION("TRIM(REGEXREPLACE(D1235, ""[0-9]+[a-f]?\."", """"))"),"")</f>
        <v/>
      </c>
      <c r="I1235" s="172" t="str">
        <f>IFERROR(__xludf.DUMMYFUNCTION("TRIM(REGEXREPLACE(E1235, ""[0-9]+[a-f]?\."", """"))"),"")</f>
        <v/>
      </c>
      <c r="J1235" s="172" t="s">
        <v>5654</v>
      </c>
      <c r="K1235" s="172" t="s">
        <v>5655</v>
      </c>
      <c r="L1235" s="172" t="s">
        <v>5656</v>
      </c>
    </row>
    <row r="1236" hidden="1">
      <c r="A1236" s="188" t="s">
        <v>68</v>
      </c>
      <c r="B1236" s="189" t="s">
        <v>5657</v>
      </c>
      <c r="C1236" s="190"/>
      <c r="D1236" s="190"/>
      <c r="E1236" s="190"/>
      <c r="F1236" s="182">
        <v>679.0</v>
      </c>
      <c r="G1236" s="172" t="str">
        <f>IFERROR(__xludf.DUMMYFUNCTION("TRIM(REGEXREPLACE(C1236, ""[0-9]+[a-f]?\."", """"))"),"")</f>
        <v/>
      </c>
      <c r="H1236" s="172" t="str">
        <f>IFERROR(__xludf.DUMMYFUNCTION("TRIM(REGEXREPLACE(D1236, ""[0-9]+[a-f]?\."", """"))"),"")</f>
        <v/>
      </c>
      <c r="I1236" s="172" t="str">
        <f>IFERROR(__xludf.DUMMYFUNCTION("TRIM(REGEXREPLACE(E1236, ""[0-9]+[a-f]?\."", """"))"),"")</f>
        <v/>
      </c>
      <c r="J1236" s="172" t="s">
        <v>5659</v>
      </c>
      <c r="K1236" s="172" t="s">
        <v>5661</v>
      </c>
      <c r="L1236" s="172" t="s">
        <v>5663</v>
      </c>
    </row>
    <row r="1237" hidden="1">
      <c r="A1237" s="211" t="s">
        <v>238</v>
      </c>
      <c r="B1237" s="224" t="s">
        <v>5497</v>
      </c>
      <c r="C1237" s="224" t="s">
        <v>5498</v>
      </c>
      <c r="D1237" s="224" t="s">
        <v>5499</v>
      </c>
      <c r="E1237" s="224" t="s">
        <v>5500</v>
      </c>
      <c r="F1237" s="182">
        <v>680.0</v>
      </c>
      <c r="G1237" s="172" t="str">
        <f>IFERROR(__xludf.DUMMYFUNCTION("TRIM(REGEXREPLACE(C1237, ""[0-9]+[a-f]?\."", """"))"),"Week in Location")</f>
        <v>Week in Location</v>
      </c>
      <c r="H1237" s="172" t="str">
        <f>IFERROR(__xludf.DUMMYFUNCTION("TRIM(REGEXREPLACE(D1237, ""[0-9]+[a-f]?\."", """"))"),"Semaine dans localite")</f>
        <v>Semaine dans localite</v>
      </c>
      <c r="I1237" s="172" t="str">
        <f>IFERROR(__xludf.DUMMYFUNCTION("TRIM(REGEXREPLACE(E1237, ""[0-9]+[a-f]?\."", """"))"),"Mako a Wuri")</f>
        <v>Mako a Wuri</v>
      </c>
      <c r="J1237" s="172" t="s">
        <v>5664</v>
      </c>
      <c r="K1237" s="172" t="s">
        <v>5665</v>
      </c>
      <c r="L1237" s="172" t="s">
        <v>5666</v>
      </c>
    </row>
    <row r="1238" hidden="1">
      <c r="A1238" s="255" t="s">
        <v>1064</v>
      </c>
      <c r="B1238" s="261" t="s">
        <v>4915</v>
      </c>
      <c r="C1238" s="261" t="s">
        <v>3769</v>
      </c>
      <c r="D1238" s="261" t="s">
        <v>4916</v>
      </c>
      <c r="E1238" s="261" t="s">
        <v>4917</v>
      </c>
      <c r="F1238" s="182">
        <v>681.0</v>
      </c>
      <c r="G1238" s="172" t="str">
        <f>IFERROR(__xludf.DUMMYFUNCTION("TRIM(REGEXREPLACE(C1238, ""[0-9]+[a-f]?\."", """"))"),"Locations")</f>
        <v>Locations</v>
      </c>
      <c r="H1238" s="172" t="str">
        <f>IFERROR(__xludf.DUMMYFUNCTION("TRIM(REGEXREPLACE(D1238, ""[0-9]+[a-f]?\."", """"))"),"Emplacements")</f>
        <v>Emplacements</v>
      </c>
      <c r="I1238" s="172" t="str">
        <f>IFERROR(__xludf.DUMMYFUNCTION("TRIM(REGEXREPLACE(E1238, ""[0-9]+[a-f]?\."", """"))"),"Wurare")</f>
        <v>Wurare</v>
      </c>
      <c r="J1238" s="172" t="s">
        <v>5670</v>
      </c>
      <c r="K1238" s="172" t="s">
        <v>5671</v>
      </c>
      <c r="L1238" s="172" t="s">
        <v>5672</v>
      </c>
    </row>
    <row r="1239" hidden="1"/>
    <row r="1240" hidden="1">
      <c r="A1240" s="211" t="s">
        <v>107</v>
      </c>
      <c r="B1240" s="212" t="s">
        <v>5673</v>
      </c>
      <c r="C1240" s="214"/>
      <c r="D1240" s="214"/>
      <c r="E1240" s="214"/>
      <c r="F1240" s="182">
        <v>682.0</v>
      </c>
      <c r="G1240" s="172" t="str">
        <f>IFERROR(__xludf.DUMMYFUNCTION("TRIM(REGEXREPLACE(C1240, ""[0-9]+[a-f]?\."", """"))"),"")</f>
        <v/>
      </c>
      <c r="H1240" s="172" t="str">
        <f>IFERROR(__xludf.DUMMYFUNCTION("TRIM(REGEXREPLACE(D1240, ""[0-9]+[a-f]?\."", """"))"),"")</f>
        <v/>
      </c>
      <c r="I1240" s="172" t="str">
        <f>IFERROR(__xludf.DUMMYFUNCTION("TRIM(REGEXREPLACE(E1240, ""[0-9]+[a-f]?\."", """"))"),"")</f>
        <v/>
      </c>
      <c r="J1240" s="172" t="s">
        <v>5674</v>
      </c>
      <c r="K1240" s="172" t="s">
        <v>5675</v>
      </c>
      <c r="L1240" s="172" t="s">
        <v>5676</v>
      </c>
    </row>
    <row r="1241" hidden="1"/>
    <row r="1242">
      <c r="A1242" s="215" t="s">
        <v>1834</v>
      </c>
      <c r="B1242" s="216" t="s">
        <v>5677</v>
      </c>
      <c r="C1242" s="216" t="s">
        <v>2428</v>
      </c>
      <c r="D1242" s="216" t="s">
        <v>2429</v>
      </c>
      <c r="E1242" s="216" t="s">
        <v>2430</v>
      </c>
      <c r="F1242" s="182">
        <v>226.0</v>
      </c>
      <c r="G1242" s="172" t="str">
        <f>IFERROR(__xludf.DUMMYFUNCTION("TRIM(REGEXREPLACE(C1242, ""[0-9]+[a-f]?\."", """"))"),"At any of the locations mentioned above, did you experience any of the following situations or been threatened with them in a workplace?")</f>
        <v>At any of the locations mentioned above, did you experience any of the following situations or been threatened with them in a workplace?</v>
      </c>
      <c r="H1242" s="172" t="str">
        <f>IFERROR(__xludf.DUMMYFUNCTION("TRIM(REGEXREPLACE(D1242, ""[0-9]+[a-f]?\."", """"))"),"Dans l'un des endroits mentionnés ci-dessus, avez-vous vécu l'une des situations suivantes ou avez-vous été menacé sur votre lieu de travail ?")</f>
        <v>Dans l'un des endroits mentionnés ci-dessus, avez-vous vécu l'une des situations suivantes ou avez-vous été menacé sur votre lieu de travail ?</v>
      </c>
      <c r="I1242" s="172" t="str">
        <f>IFERROR(__xludf.DUMMYFUNCTION("TRIM(REGEXREPLACE(E1242, ""[0-9]+[a-f]?\."", """"))"),"A cikin wannan wuraren da aka ambata, ko kun fuskanci ɗaya daga cikin waɗannan yanayi ko kuma an yi muku barazana a wurin aiki?")</f>
        <v>A cikin wannan wuraren da aka ambata, ko kun fuskanci ɗaya daga cikin waɗannan yanayi ko kuma an yi muku barazana a wurin aiki?</v>
      </c>
      <c r="J1242" s="172" t="str">
        <f t="shared" ref="J1242:L1242" si="249">$F1242 &amp; ". " &amp;G1242</f>
        <v>226. At any of the locations mentioned above, did you experience any of the following situations or been threatened with them in a workplace?</v>
      </c>
      <c r="K1242" s="172" t="str">
        <f t="shared" si="249"/>
        <v>226. Dans l'un des endroits mentionnés ci-dessus, avez-vous vécu l'une des situations suivantes ou avez-vous été menacé sur votre lieu de travail ?</v>
      </c>
      <c r="L1242" s="172" t="str">
        <f t="shared" si="249"/>
        <v>226. A cikin wannan wuraren da aka ambata, ko kun fuskanci ɗaya daga cikin waɗannan yanayi ko kuma an yi muku barazana a wurin aiki?</v>
      </c>
    </row>
    <row r="1243" hidden="1"/>
    <row r="1244">
      <c r="A1244" s="215" t="s">
        <v>1834</v>
      </c>
      <c r="B1244" s="216" t="s">
        <v>5681</v>
      </c>
      <c r="C1244" s="216" t="s">
        <v>2433</v>
      </c>
      <c r="D1244" s="216" t="s">
        <v>2434</v>
      </c>
      <c r="E1244" s="216" t="s">
        <v>5682</v>
      </c>
      <c r="F1244" s="182">
        <v>227.0</v>
      </c>
      <c r="G1244" s="172" t="str">
        <f>IFERROR(__xludf.DUMMYFUNCTION("TRIM(REGEXREPLACE(C1244, ""[0-9]+[a-f]?\."", """"))"),"Had passport or other papers taken away")</f>
        <v>Had passport or other papers taken away</v>
      </c>
      <c r="H1244" s="172" t="str">
        <f>IFERROR(__xludf.DUMMYFUNCTION("TRIM(REGEXREPLACE(D1244, ""[0-9]+[a-f]?\."", """"))"),"confisquer votre Passeport ou autres papiers")</f>
        <v>confisquer votre Passeport ou autres papiers</v>
      </c>
      <c r="I1244" s="172" t="str">
        <f>IFERROR(__xludf.DUMMYFUNCTION("TRIM(REGEXREPLACE(E1244, ""[0-9]+[a-f]?\."", """"))"),"An amshe muku fasfo ko wasu takardu")</f>
        <v>An amshe muku fasfo ko wasu takardu</v>
      </c>
      <c r="J1244" s="172" t="str">
        <f t="shared" ref="J1244:L1244" si="250">$F1244 &amp; ". " &amp;G1244</f>
        <v>227. Had passport or other papers taken away</v>
      </c>
      <c r="K1244" s="172" t="str">
        <f t="shared" si="250"/>
        <v>227. confisquer votre Passeport ou autres papiers</v>
      </c>
      <c r="L1244" s="172" t="str">
        <f t="shared" si="250"/>
        <v>227. An amshe muku fasfo ko wasu takardu</v>
      </c>
    </row>
    <row r="1245">
      <c r="A1245" s="215" t="s">
        <v>1834</v>
      </c>
      <c r="B1245" s="216" t="s">
        <v>5683</v>
      </c>
      <c r="C1245" s="216" t="s">
        <v>2437</v>
      </c>
      <c r="D1245" s="216" t="s">
        <v>2438</v>
      </c>
      <c r="E1245" s="216" t="s">
        <v>5684</v>
      </c>
      <c r="F1245" s="182">
        <v>228.0</v>
      </c>
      <c r="G1245" s="172" t="str">
        <f>IFERROR(__xludf.DUMMYFUNCTION("TRIM(REGEXREPLACE(C1245, ""[0-9]+[a-f]?\."", """"))"),"Been prevented from contacting friends or family")</f>
        <v>Been prevented from contacting friends or family</v>
      </c>
      <c r="H1245" s="172" t="str">
        <f>IFERROR(__xludf.DUMMYFUNCTION("TRIM(REGEXREPLACE(D1245, ""[0-9]+[a-f]?\."", """"))"),"Vous avez été empêché de contacter vos amis ou votre famille")</f>
        <v>Vous avez été empêché de contacter vos amis ou votre famille</v>
      </c>
      <c r="I1245" s="172" t="str">
        <f>IFERROR(__xludf.DUMMYFUNCTION("TRIM(REGEXREPLACE(E1245, ""[0-9]+[a-f]?\."", """"))"),"An hana ku tuntuɓar abokai ko dangi")</f>
        <v>An hana ku tuntuɓar abokai ko dangi</v>
      </c>
      <c r="J1245" s="172" t="str">
        <f t="shared" ref="J1245:L1245" si="251">$F1245 &amp; ". " &amp;G1245</f>
        <v>228. Been prevented from contacting friends or family</v>
      </c>
      <c r="K1245" s="172" t="str">
        <f t="shared" si="251"/>
        <v>228. Vous avez été empêché de contacter vos amis ou votre famille</v>
      </c>
      <c r="L1245" s="172" t="str">
        <f t="shared" si="251"/>
        <v>228. An hana ku tuntuɓar abokai ko dangi</v>
      </c>
    </row>
    <row r="1246" hidden="1"/>
    <row r="1247" hidden="1"/>
    <row r="1248">
      <c r="A1248" s="215" t="s">
        <v>1834</v>
      </c>
      <c r="B1248" s="216" t="s">
        <v>5685</v>
      </c>
      <c r="C1248" s="216" t="s">
        <v>2442</v>
      </c>
      <c r="D1248" s="216" t="s">
        <v>2443</v>
      </c>
      <c r="E1248" s="216" t="s">
        <v>5686</v>
      </c>
      <c r="F1248" s="182">
        <v>229.0</v>
      </c>
      <c r="G1248" s="172" t="str">
        <f>IFERROR(__xludf.DUMMYFUNCTION("TRIM(REGEXREPLACE(C1248, ""[0-9]+[a-f]?\."", """"))"),"Been paid less than promised or not paid when promised")</f>
        <v>Been paid less than promised or not paid when promised</v>
      </c>
      <c r="H1248" s="172" t="str">
        <f>IFERROR(__xludf.DUMMYFUNCTION("TRIM(REGEXREPLACE(D1248, ""[0-9]+[a-f]?\."", """"))"),"A été payé moins que promis ou n'a pas été payé lorsque promis")</f>
        <v>A été payé moins que promis ou n'a pas été payé lorsque promis</v>
      </c>
      <c r="I1248" s="172" t="str">
        <f>IFERROR(__xludf.DUMMYFUNCTION("TRIM(REGEXREPLACE(E1248, ""[0-9]+[a-f]?\."", """"))"),"An biya ku ƙasa da abin da aka yi alkawari ko kuma ba a biya ku ba lokacin da aka yi alkawari")</f>
        <v>An biya ku ƙasa da abin da aka yi alkawari ko kuma ba a biya ku ba lokacin da aka yi alkawari</v>
      </c>
      <c r="J1248" s="172" t="str">
        <f t="shared" ref="J1248:L1248" si="252">$F1248 &amp; ". " &amp;G1248</f>
        <v>229. Been paid less than promised or not paid when promised</v>
      </c>
      <c r="K1248" s="172" t="str">
        <f t="shared" si="252"/>
        <v>229. A été payé moins que promis ou n'a pas été payé lorsque promis</v>
      </c>
      <c r="L1248" s="172" t="str">
        <f t="shared" si="252"/>
        <v>229. An biya ku ƙasa da abin da aka yi alkawari ko kuma ba a biya ku ba lokacin da aka yi alkawari</v>
      </c>
    </row>
    <row r="1249">
      <c r="A1249" s="215" t="s">
        <v>1834</v>
      </c>
      <c r="B1249" s="216" t="s">
        <v>5691</v>
      </c>
      <c r="C1249" s="216" t="s">
        <v>2447</v>
      </c>
      <c r="D1249" s="216" t="s">
        <v>2448</v>
      </c>
      <c r="E1249" s="216" t="s">
        <v>5692</v>
      </c>
      <c r="F1249" s="182">
        <v>230.0</v>
      </c>
      <c r="G1249" s="172" t="str">
        <f>IFERROR(__xludf.DUMMYFUNCTION("TRIM(REGEXREPLACE(C1249, ""[0-9]+[a-f]?\."", """"))"),"Been forced to pay off a debt to my employer before I could leave")</f>
        <v>Been forced to pay off a debt to my employer before I could leave</v>
      </c>
      <c r="H1249" s="172" t="str">
        <f>IFERROR(__xludf.DUMMYFUNCTION("TRIM(REGEXREPLACE(D1249, ""[0-9]+[a-f]?\."", """"))"),"A été obligé de payer une dette à mon employeur avant de pouvoir partir")</f>
        <v>A été obligé de payer une dette à mon employeur avant de pouvoir partir</v>
      </c>
      <c r="I1249" s="172" t="str">
        <f>IFERROR(__xludf.DUMMYFUNCTION("TRIM(REGEXREPLACE(E1249, ""[0-9]+[a-f]?\."", """"))"),"An tilasta muku biyan bashi ga mai gida kafin tafiya")</f>
        <v>An tilasta muku biyan bashi ga mai gida kafin tafiya</v>
      </c>
      <c r="J1249" s="172" t="str">
        <f t="shared" ref="J1249:L1249" si="253">$F1249 &amp; ". " &amp;G1249</f>
        <v>230. Been forced to pay off a debt to my employer before I could leave</v>
      </c>
      <c r="K1249" s="172" t="str">
        <f t="shared" si="253"/>
        <v>230. A été obligé de payer une dette à mon employeur avant de pouvoir partir</v>
      </c>
      <c r="L1249" s="172" t="str">
        <f t="shared" si="253"/>
        <v>230. An tilasta muku biyan bashi ga mai gida kafin tafiya</v>
      </c>
    </row>
    <row r="1250">
      <c r="A1250" s="215" t="s">
        <v>1834</v>
      </c>
      <c r="B1250" s="216" t="s">
        <v>5693</v>
      </c>
      <c r="C1250" s="216" t="s">
        <v>2451</v>
      </c>
      <c r="D1250" s="216" t="s">
        <v>2452</v>
      </c>
      <c r="E1250" s="216" t="s">
        <v>5694</v>
      </c>
      <c r="F1250" s="182">
        <v>231.0</v>
      </c>
      <c r="G1250" s="172" t="str">
        <f>IFERROR(__xludf.DUMMYFUNCTION("TRIM(REGEXREPLACE(C1250, ""[0-9]+[a-f]?\."", """"))"),"Experienced violence or physical restraint")</f>
        <v>Experienced violence or physical restraint</v>
      </c>
      <c r="H1250" s="172" t="str">
        <f>IFERROR(__xludf.DUMMYFUNCTION("TRIM(REGEXREPLACE(D1250, ""[0-9]+[a-f]?\."", """"))"),"Victime de violence ou de contrainte physique")</f>
        <v>Victime de violence ou de contrainte physique</v>
      </c>
      <c r="I1250" s="172" t="str">
        <f>IFERROR(__xludf.DUMMYFUNCTION("TRIM(REGEXREPLACE(E1250, ""[0-9]+[a-f]?\."", """"))"),"An matsa muku ko an tilasta muku yin wani abin da ba ku iyawa")</f>
        <v>An matsa muku ko an tilasta muku yin wani abin da ba ku iyawa</v>
      </c>
      <c r="J1250" s="172" t="str">
        <f t="shared" ref="J1250:L1250" si="254">$F1250 &amp; ". " &amp;G1250</f>
        <v>231. Experienced violence or physical restraint</v>
      </c>
      <c r="K1250" s="172" t="str">
        <f t="shared" si="254"/>
        <v>231. Victime de violence ou de contrainte physique</v>
      </c>
      <c r="L1250" s="172" t="str">
        <f t="shared" si="254"/>
        <v>231. An matsa muku ko an tilasta muku yin wani abin da ba ku iyawa</v>
      </c>
    </row>
    <row r="1251">
      <c r="A1251" s="215" t="s">
        <v>1834</v>
      </c>
      <c r="B1251" s="216" t="s">
        <v>5696</v>
      </c>
      <c r="C1251" s="216" t="s">
        <v>2456</v>
      </c>
      <c r="D1251" s="216" t="s">
        <v>2457</v>
      </c>
      <c r="E1251" s="216" t="s">
        <v>5697</v>
      </c>
      <c r="F1251" s="182">
        <v>232.0</v>
      </c>
      <c r="G1251" s="172" t="str">
        <f>IFERROR(__xludf.DUMMYFUNCTION("TRIM(REGEXREPLACE(C1251, ""[0-9]+[a-f]?\."", """"))"),"Forced to engage in actions against my will")</f>
        <v>Forced to engage in actions against my will</v>
      </c>
      <c r="H1251" s="172" t="str">
        <f>IFERROR(__xludf.DUMMYFUNCTION("TRIM(REGEXREPLACE(D1251, ""[0-9]+[a-f]?\."", """"))"),"Forcé de s'engager dans des actions contre ma volonté")</f>
        <v>Forcé de s'engager dans des actions contre ma volonté</v>
      </c>
      <c r="I1251" s="172" t="str">
        <f>IFERROR(__xludf.DUMMYFUNCTION("TRIM(REGEXREPLACE(E1251, ""[0-9]+[a-f]?\."", """"))"),"An tilasta muku aikata ayyukan da ba ku so ba")</f>
        <v>An tilasta muku aikata ayyukan da ba ku so ba</v>
      </c>
      <c r="J1251" s="172" t="str">
        <f t="shared" ref="J1251:L1251" si="255">$F1251 &amp; ". " &amp;G1251</f>
        <v>232. Forced to engage in actions against my will</v>
      </c>
      <c r="K1251" s="172" t="str">
        <f t="shared" si="255"/>
        <v>232. Forcé de s'engager dans des actions contre ma volonté</v>
      </c>
      <c r="L1251" s="172" t="str">
        <f t="shared" si="255"/>
        <v>232. An tilasta muku aikata ayyukan da ba ku so ba</v>
      </c>
    </row>
    <row r="1252" hidden="1">
      <c r="A1252" s="211" t="s">
        <v>238</v>
      </c>
      <c r="B1252" s="224" t="s">
        <v>5673</v>
      </c>
      <c r="C1252" s="225"/>
      <c r="D1252" s="225"/>
      <c r="E1252" s="225"/>
      <c r="F1252" s="182">
        <v>690.0</v>
      </c>
      <c r="G1252" s="172" t="str">
        <f>IFERROR(__xludf.DUMMYFUNCTION("TRIM(REGEXREPLACE(C1252, ""[0-9]+[a-f]?\."", """"))"),"")</f>
        <v/>
      </c>
      <c r="H1252" s="172" t="str">
        <f>IFERROR(__xludf.DUMMYFUNCTION("TRIM(REGEXREPLACE(D1252, ""[0-9]+[a-f]?\."", """"))"),"")</f>
        <v/>
      </c>
      <c r="I1252" s="172" t="str">
        <f>IFERROR(__xludf.DUMMYFUNCTION("TRIM(REGEXREPLACE(E1252, ""[0-9]+[a-f]?\."", """"))"),"")</f>
        <v/>
      </c>
      <c r="J1252" s="172" t="s">
        <v>5701</v>
      </c>
      <c r="K1252" s="172" t="s">
        <v>5702</v>
      </c>
      <c r="L1252" s="172" t="s">
        <v>5703</v>
      </c>
    </row>
    <row r="1253" hidden="1">
      <c r="A1253" s="211" t="s">
        <v>107</v>
      </c>
      <c r="B1253" s="212" t="s">
        <v>5704</v>
      </c>
      <c r="C1253" s="214"/>
      <c r="D1253" s="214"/>
      <c r="E1253" s="214"/>
      <c r="F1253" s="182">
        <v>691.0</v>
      </c>
      <c r="G1253" s="172" t="str">
        <f>IFERROR(__xludf.DUMMYFUNCTION("TRIM(REGEXREPLACE(C1253, ""[0-9]+[a-f]?\."", """"))"),"")</f>
        <v/>
      </c>
      <c r="H1253" s="172" t="str">
        <f>IFERROR(__xludf.DUMMYFUNCTION("TRIM(REGEXREPLACE(D1253, ""[0-9]+[a-f]?\."", """"))"),"")</f>
        <v/>
      </c>
      <c r="I1253" s="172" t="str">
        <f>IFERROR(__xludf.DUMMYFUNCTION("TRIM(REGEXREPLACE(E1253, ""[0-9]+[a-f]?\."", """"))"),"")</f>
        <v/>
      </c>
      <c r="J1253" s="172" t="s">
        <v>5705</v>
      </c>
      <c r="K1253" s="172" t="s">
        <v>5706</v>
      </c>
      <c r="L1253" s="172" t="s">
        <v>5707</v>
      </c>
    </row>
    <row r="1254">
      <c r="A1254" s="215" t="s">
        <v>5708</v>
      </c>
      <c r="B1254" s="216" t="s">
        <v>5709</v>
      </c>
      <c r="C1254" s="216" t="s">
        <v>2467</v>
      </c>
      <c r="D1254" s="216" t="s">
        <v>5712</v>
      </c>
      <c r="E1254" s="216" t="s">
        <v>5714</v>
      </c>
      <c r="F1254" s="182">
        <v>233.0</v>
      </c>
      <c r="G1254" s="172" t="str">
        <f>IFERROR(__xludf.DUMMYFUNCTION("TRIM(REGEXREPLACE(C1254, ""[0-9]+[a-f]?\."", """"))"),"Where did you experience or were threatened with the following situations?")</f>
        <v>Where did you experience or were threatened with the following situations?</v>
      </c>
      <c r="H1254" s="172" t="str">
        <f>IFERROR(__xludf.DUMMYFUNCTION("TRIM(REGEXREPLACE(D1254, ""[0-9]+[a-f]?\."", """"))"),"Où avez-vous vécu ou avez été menacé de faire face aux situations suivantes ?")</f>
        <v>Où avez-vous vécu ou avez été menacé de faire face aux situations suivantes ?</v>
      </c>
      <c r="I1254" s="172" t="str">
        <f>IFERROR(__xludf.DUMMYFUNCTION("TRIM(REGEXREPLACE(E1254, ""[0-9]+[a-f]?\."", """"))"),"A cikin wannan wuraren da aka ambata, ko kun fuskanci ɗaya daga cikin waɗannan yanayi ko kuma an yi muku barazana a wurin aiki?")</f>
        <v>A cikin wannan wuraren da aka ambata, ko kun fuskanci ɗaya daga cikin waɗannan yanayi ko kuma an yi muku barazana a wurin aiki?</v>
      </c>
      <c r="J1254" s="172" t="str">
        <f t="shared" ref="J1254:L1254" si="256">$F1254 &amp; ". " &amp;G1254</f>
        <v>233. Where did you experience or were threatened with the following situations?</v>
      </c>
      <c r="K1254" s="172" t="str">
        <f t="shared" si="256"/>
        <v>233. Où avez-vous vécu ou avez été menacé de faire face aux situations suivantes ?</v>
      </c>
      <c r="L1254" s="172" t="str">
        <f t="shared" si="256"/>
        <v>233. A cikin wannan wuraren da aka ambata, ko kun fuskanci ɗaya daga cikin waɗannan yanayi ko kuma an yi muku barazana a wurin aiki?</v>
      </c>
    </row>
    <row r="1255" hidden="1"/>
    <row r="1256">
      <c r="A1256" s="215" t="s">
        <v>5708</v>
      </c>
      <c r="B1256" s="216" t="s">
        <v>5715</v>
      </c>
      <c r="C1256" s="216" t="s">
        <v>2471</v>
      </c>
      <c r="D1256" s="216" t="s">
        <v>2472</v>
      </c>
      <c r="E1256" s="216" t="s">
        <v>5716</v>
      </c>
      <c r="F1256" s="182">
        <v>234.0</v>
      </c>
      <c r="G1256" s="172" t="str">
        <f>IFERROR(__xludf.DUMMYFUNCTION("TRIM(REGEXREPLACE(C1256, ""[0-9]+[a-f]?\."", """"))"),"Had passport or other papers taken away")</f>
        <v>Had passport or other papers taken away</v>
      </c>
      <c r="H1256" s="172" t="str">
        <f>IFERROR(__xludf.DUMMYFUNCTION("TRIM(REGEXREPLACE(D1256, ""[0-9]+[a-f]?\."", """"))"),"confisquer votre Passeport ou autres papiers")</f>
        <v>confisquer votre Passeport ou autres papiers</v>
      </c>
      <c r="I1256" s="172" t="str">
        <f>IFERROR(__xludf.DUMMYFUNCTION("TRIM(REGEXREPLACE(E1256, ""[0-9]+[a-f]?\."", """"))"),"An amshe muku fasfo ko wasu takardu")</f>
        <v>An amshe muku fasfo ko wasu takardu</v>
      </c>
      <c r="J1256" s="172" t="str">
        <f t="shared" ref="J1256:L1256" si="257">$F1256 &amp; ". " &amp;G1256</f>
        <v>234. Had passport or other papers taken away</v>
      </c>
      <c r="K1256" s="172" t="str">
        <f t="shared" si="257"/>
        <v>234. confisquer votre Passeport ou autres papiers</v>
      </c>
      <c r="L1256" s="172" t="str">
        <f t="shared" si="257"/>
        <v>234. An amshe muku fasfo ko wasu takardu</v>
      </c>
    </row>
    <row r="1257">
      <c r="A1257" s="215" t="s">
        <v>5708</v>
      </c>
      <c r="B1257" s="216" t="s">
        <v>5718</v>
      </c>
      <c r="C1257" s="216" t="s">
        <v>2475</v>
      </c>
      <c r="D1257" s="216" t="s">
        <v>2476</v>
      </c>
      <c r="E1257" s="216" t="s">
        <v>5719</v>
      </c>
      <c r="F1257" s="182">
        <v>235.0</v>
      </c>
      <c r="G1257" s="172" t="str">
        <f>IFERROR(__xludf.DUMMYFUNCTION("TRIM(REGEXREPLACE(C1257, ""[0-9]+[a-f]?\."", """"))"),"Been prevented from contacting friends or family")</f>
        <v>Been prevented from contacting friends or family</v>
      </c>
      <c r="H1257" s="172" t="str">
        <f>IFERROR(__xludf.DUMMYFUNCTION("TRIM(REGEXREPLACE(D1257, ""[0-9]+[a-f]?\."", """"))"),"Vous avez été empêché de contacter vos amis ou votre famille")</f>
        <v>Vous avez été empêché de contacter vos amis ou votre famille</v>
      </c>
      <c r="I1257" s="172" t="str">
        <f>IFERROR(__xludf.DUMMYFUNCTION("TRIM(REGEXREPLACE(E1257, ""[0-9]+[a-f]?\."", """"))"),"An hana ku tuntuɓar abokai ko dangi")</f>
        <v>An hana ku tuntuɓar abokai ko dangi</v>
      </c>
      <c r="J1257" s="172" t="str">
        <f t="shared" ref="J1257:L1257" si="258">$F1257 &amp; ". " &amp;G1257</f>
        <v>235. Been prevented from contacting friends or family</v>
      </c>
      <c r="K1257" s="172" t="str">
        <f t="shared" si="258"/>
        <v>235. Vous avez été empêché de contacter vos amis ou votre famille</v>
      </c>
      <c r="L1257" s="172" t="str">
        <f t="shared" si="258"/>
        <v>235. An hana ku tuntuɓar abokai ko dangi</v>
      </c>
    </row>
    <row r="1258" hidden="1"/>
    <row r="1259" hidden="1"/>
    <row r="1260">
      <c r="A1260" s="215" t="s">
        <v>5708</v>
      </c>
      <c r="B1260" s="216" t="s">
        <v>5723</v>
      </c>
      <c r="C1260" s="216" t="s">
        <v>2480</v>
      </c>
      <c r="D1260" s="216" t="s">
        <v>2481</v>
      </c>
      <c r="E1260" s="216" t="s">
        <v>5724</v>
      </c>
      <c r="F1260" s="182">
        <v>236.0</v>
      </c>
      <c r="G1260" s="172" t="str">
        <f>IFERROR(__xludf.DUMMYFUNCTION("TRIM(REGEXREPLACE(C1260, ""[0-9]+[a-f]?\."", """"))"),"Been paid less than promised or not paid when promised")</f>
        <v>Been paid less than promised or not paid when promised</v>
      </c>
      <c r="H1260" s="172" t="str">
        <f>IFERROR(__xludf.DUMMYFUNCTION("TRIM(REGEXREPLACE(D1260, ""[0-9]+[a-f]?\."", """"))"),"A été payé moins que promis ou n'a pas été payé lorsque promis")</f>
        <v>A été payé moins que promis ou n'a pas été payé lorsque promis</v>
      </c>
      <c r="I1260" s="172" t="str">
        <f>IFERROR(__xludf.DUMMYFUNCTION("TRIM(REGEXREPLACE(E1260, ""[0-9]+[a-f]?\."", """"))"),"An biya ku ƙasa da abin da aka yi alkawari ko kuma ba a biya ku ba lokacin da aka yi alkawari")</f>
        <v>An biya ku ƙasa da abin da aka yi alkawari ko kuma ba a biya ku ba lokacin da aka yi alkawari</v>
      </c>
      <c r="J1260" s="172" t="str">
        <f t="shared" ref="J1260:L1260" si="259">$F1260 &amp; ". " &amp;G1260</f>
        <v>236. Been paid less than promised or not paid when promised</v>
      </c>
      <c r="K1260" s="172" t="str">
        <f t="shared" si="259"/>
        <v>236. A été payé moins que promis ou n'a pas été payé lorsque promis</v>
      </c>
      <c r="L1260" s="172" t="str">
        <f t="shared" si="259"/>
        <v>236. An biya ku ƙasa da abin da aka yi alkawari ko kuma ba a biya ku ba lokacin da aka yi alkawari</v>
      </c>
    </row>
    <row r="1261">
      <c r="A1261" s="215" t="s">
        <v>5708</v>
      </c>
      <c r="B1261" s="216" t="s">
        <v>5725</v>
      </c>
      <c r="C1261" s="216" t="s">
        <v>2484</v>
      </c>
      <c r="D1261" s="216" t="s">
        <v>2485</v>
      </c>
      <c r="E1261" s="216" t="s">
        <v>5726</v>
      </c>
      <c r="F1261" s="182">
        <v>237.0</v>
      </c>
      <c r="G1261" s="172" t="str">
        <f>IFERROR(__xludf.DUMMYFUNCTION("TRIM(REGEXREPLACE(C1261, ""[0-9]+[a-f]?\."", """"))"),"Been forced to pay off a debt to my employer before I could leave")</f>
        <v>Been forced to pay off a debt to my employer before I could leave</v>
      </c>
      <c r="H1261" s="172" t="str">
        <f>IFERROR(__xludf.DUMMYFUNCTION("TRIM(REGEXREPLACE(D1261, ""[0-9]+[a-f]?\."", """"))"),"A été obligé de payer une dette à mon employeur avant de pouvoir partir")</f>
        <v>A été obligé de payer une dette à mon employeur avant de pouvoir partir</v>
      </c>
      <c r="I1261" s="172" t="str">
        <f>IFERROR(__xludf.DUMMYFUNCTION("TRIM(REGEXREPLACE(E1261, ""[0-9]+[a-f]?\."", """"))"),"An tilasta muku biyan bashi ga mai gida kafin tafiya")</f>
        <v>An tilasta muku biyan bashi ga mai gida kafin tafiya</v>
      </c>
      <c r="J1261" s="172" t="str">
        <f t="shared" ref="J1261:L1261" si="260">$F1261 &amp; ". " &amp;G1261</f>
        <v>237. Been forced to pay off a debt to my employer before I could leave</v>
      </c>
      <c r="K1261" s="172" t="str">
        <f t="shared" si="260"/>
        <v>237. A été obligé de payer une dette à mon employeur avant de pouvoir partir</v>
      </c>
      <c r="L1261" s="172" t="str">
        <f t="shared" si="260"/>
        <v>237. An tilasta muku biyan bashi ga mai gida kafin tafiya</v>
      </c>
    </row>
    <row r="1262">
      <c r="A1262" s="215" t="s">
        <v>5708</v>
      </c>
      <c r="B1262" s="216" t="s">
        <v>5727</v>
      </c>
      <c r="C1262" s="216" t="s">
        <v>2488</v>
      </c>
      <c r="D1262" s="216" t="s">
        <v>2489</v>
      </c>
      <c r="E1262" s="216" t="s">
        <v>5728</v>
      </c>
      <c r="F1262" s="182">
        <v>238.0</v>
      </c>
      <c r="G1262" s="172" t="str">
        <f>IFERROR(__xludf.DUMMYFUNCTION("TRIM(REGEXREPLACE(C1262, ""[0-9]+[a-f]?\."", """"))"),"Experienced violence or physical restraint")</f>
        <v>Experienced violence or physical restraint</v>
      </c>
      <c r="H1262" s="172" t="str">
        <f>IFERROR(__xludf.DUMMYFUNCTION("TRIM(REGEXREPLACE(D1262, ""[0-9]+[a-f]?\."", """"))"),"Victime de violence ou de contrainte physique")</f>
        <v>Victime de violence ou de contrainte physique</v>
      </c>
      <c r="I1262" s="172" t="str">
        <f>IFERROR(__xludf.DUMMYFUNCTION("TRIM(REGEXREPLACE(E1262, ""[0-9]+[a-f]?\."", """"))"),"An matsa muku ko an tilasta muku yin wani abin da ba ku iyawa")</f>
        <v>An matsa muku ko an tilasta muku yin wani abin da ba ku iyawa</v>
      </c>
      <c r="J1262" s="172" t="str">
        <f t="shared" ref="J1262:L1262" si="261">$F1262 &amp; ". " &amp;G1262</f>
        <v>238. Experienced violence or physical restraint</v>
      </c>
      <c r="K1262" s="172" t="str">
        <f t="shared" si="261"/>
        <v>238. Victime de violence ou de contrainte physique</v>
      </c>
      <c r="L1262" s="172" t="str">
        <f t="shared" si="261"/>
        <v>238. An matsa muku ko an tilasta muku yin wani abin da ba ku iyawa</v>
      </c>
    </row>
    <row r="1263">
      <c r="A1263" s="215" t="s">
        <v>5708</v>
      </c>
      <c r="B1263" s="216" t="s">
        <v>5731</v>
      </c>
      <c r="C1263" s="216" t="s">
        <v>2493</v>
      </c>
      <c r="D1263" s="216" t="s">
        <v>2494</v>
      </c>
      <c r="E1263" s="216" t="s">
        <v>5734</v>
      </c>
      <c r="F1263" s="182">
        <v>239.0</v>
      </c>
      <c r="G1263" s="172" t="str">
        <f>IFERROR(__xludf.DUMMYFUNCTION("TRIM(REGEXREPLACE(C1263, ""[0-9]+[a-f]?\."", """"))"),"Forced to engage in actions against my will")</f>
        <v>Forced to engage in actions against my will</v>
      </c>
      <c r="H1263" s="172" t="str">
        <f>IFERROR(__xludf.DUMMYFUNCTION("TRIM(REGEXREPLACE(D1263, ""[0-9]+[a-f]?\."", """"))"),"Forcé de s'engager dans des actions contre ma volonté")</f>
        <v>Forcé de s'engager dans des actions contre ma volonté</v>
      </c>
      <c r="I1263" s="172" t="str">
        <f>IFERROR(__xludf.DUMMYFUNCTION("TRIM(REGEXREPLACE(E1263, ""[0-9]+[a-f]?\."", """"))"),"An tilasta muku aikata ayyukan da ba ku so ba")</f>
        <v>An tilasta muku aikata ayyukan da ba ku so ba</v>
      </c>
      <c r="J1263" s="172" t="str">
        <f t="shared" ref="J1263:L1263" si="262">$F1263 &amp; ". " &amp;G1263</f>
        <v>239. Forced to engage in actions against my will</v>
      </c>
      <c r="K1263" s="172" t="str">
        <f t="shared" si="262"/>
        <v>239. Forcé de s'engager dans des actions contre ma volonté</v>
      </c>
      <c r="L1263" s="172" t="str">
        <f t="shared" si="262"/>
        <v>239. An tilasta muku aikata ayyukan da ba ku so ba</v>
      </c>
    </row>
    <row r="1264" hidden="1">
      <c r="A1264" s="211" t="s">
        <v>238</v>
      </c>
      <c r="B1264" s="224" t="s">
        <v>5704</v>
      </c>
      <c r="C1264" s="225"/>
      <c r="D1264" s="225"/>
      <c r="E1264" s="225"/>
      <c r="F1264" s="182">
        <v>699.0</v>
      </c>
      <c r="G1264" s="172" t="str">
        <f>IFERROR(__xludf.DUMMYFUNCTION("TRIM(REGEXREPLACE(C1264, ""[0-9]+[a-f]?\."", """"))"),"")</f>
        <v/>
      </c>
      <c r="H1264" s="172" t="str">
        <f>IFERROR(__xludf.DUMMYFUNCTION("TRIM(REGEXREPLACE(D1264, ""[0-9]+[a-f]?\."", """"))"),"")</f>
        <v/>
      </c>
      <c r="I1264" s="172" t="str">
        <f>IFERROR(__xludf.DUMMYFUNCTION("TRIM(REGEXREPLACE(E1264, ""[0-9]+[a-f]?\."", """"))"),"")</f>
        <v/>
      </c>
      <c r="J1264" s="172" t="s">
        <v>5738</v>
      </c>
      <c r="K1264" s="172" t="s">
        <v>5739</v>
      </c>
      <c r="L1264" s="172" t="s">
        <v>5740</v>
      </c>
    </row>
    <row r="1265" hidden="1">
      <c r="A1265" s="188" t="s">
        <v>118</v>
      </c>
      <c r="B1265" s="279" t="s">
        <v>5741</v>
      </c>
      <c r="C1265" s="190"/>
      <c r="D1265" s="190"/>
      <c r="E1265" s="190"/>
      <c r="F1265" s="182">
        <v>700.0</v>
      </c>
      <c r="G1265" s="172" t="str">
        <f>IFERROR(__xludf.DUMMYFUNCTION("TRIM(REGEXREPLACE(C1265, ""[0-9]+[a-f]?\."", """"))"),"")</f>
        <v/>
      </c>
      <c r="H1265" s="172" t="str">
        <f>IFERROR(__xludf.DUMMYFUNCTION("TRIM(REGEXREPLACE(D1265, ""[0-9]+[a-f]?\."", """"))"),"")</f>
        <v/>
      </c>
      <c r="I1265" s="172" t="str">
        <f>IFERROR(__xludf.DUMMYFUNCTION("TRIM(REGEXREPLACE(E1265, ""[0-9]+[a-f]?\."", """"))"),"")</f>
        <v/>
      </c>
      <c r="J1265" s="172" t="s">
        <v>5743</v>
      </c>
      <c r="K1265" s="172" t="s">
        <v>5745</v>
      </c>
      <c r="L1265" s="172" t="s">
        <v>5746</v>
      </c>
    </row>
    <row r="1266" hidden="1"/>
    <row r="1267" hidden="1"/>
    <row r="1268" hidden="1"/>
    <row r="1269" hidden="1">
      <c r="A1269" s="188" t="s">
        <v>68</v>
      </c>
      <c r="B1269" s="279" t="s">
        <v>5748</v>
      </c>
      <c r="C1269" s="190"/>
      <c r="D1269" s="190"/>
      <c r="E1269" s="190"/>
      <c r="F1269" s="182">
        <v>701.0</v>
      </c>
      <c r="G1269" s="172" t="str">
        <f>IFERROR(__xludf.DUMMYFUNCTION("TRIM(REGEXREPLACE(C1269, ""[0-9]+[a-f]?\."", """"))"),"")</f>
        <v/>
      </c>
      <c r="H1269" s="172" t="str">
        <f>IFERROR(__xludf.DUMMYFUNCTION("TRIM(REGEXREPLACE(D1269, ""[0-9]+[a-f]?\."", """"))"),"")</f>
        <v/>
      </c>
      <c r="I1269" s="172" t="str">
        <f>IFERROR(__xludf.DUMMYFUNCTION("TRIM(REGEXREPLACE(E1269, ""[0-9]+[a-f]?\."", """"))"),"")</f>
        <v/>
      </c>
      <c r="J1269" s="172" t="s">
        <v>5749</v>
      </c>
      <c r="K1269" s="172" t="s">
        <v>5750</v>
      </c>
      <c r="L1269" s="172" t="s">
        <v>5751</v>
      </c>
    </row>
    <row r="1270" hidden="1">
      <c r="A1270" s="188" t="s">
        <v>118</v>
      </c>
      <c r="B1270" s="279" t="s">
        <v>5752</v>
      </c>
      <c r="C1270" s="190"/>
      <c r="D1270" s="190"/>
      <c r="E1270" s="190"/>
      <c r="F1270" s="182">
        <v>702.0</v>
      </c>
      <c r="G1270" s="172" t="str">
        <f>IFERROR(__xludf.DUMMYFUNCTION("TRIM(REGEXREPLACE(C1270, ""[0-9]+[a-f]?\."", """"))"),"")</f>
        <v/>
      </c>
      <c r="H1270" s="172" t="str">
        <f>IFERROR(__xludf.DUMMYFUNCTION("TRIM(REGEXREPLACE(D1270, ""[0-9]+[a-f]?\."", """"))"),"")</f>
        <v/>
      </c>
      <c r="I1270" s="172" t="str">
        <f>IFERROR(__xludf.DUMMYFUNCTION("TRIM(REGEXREPLACE(E1270, ""[0-9]+[a-f]?\."", """"))"),"")</f>
        <v/>
      </c>
      <c r="J1270" s="172" t="s">
        <v>5755</v>
      </c>
      <c r="K1270" s="172" t="s">
        <v>5757</v>
      </c>
      <c r="L1270" s="172" t="s">
        <v>5758</v>
      </c>
    </row>
    <row r="1271">
      <c r="A1271" s="215" t="s">
        <v>3423</v>
      </c>
      <c r="B1271" s="216" t="s">
        <v>5759</v>
      </c>
      <c r="C1271" s="216" t="s">
        <v>2511</v>
      </c>
      <c r="D1271" s="216" t="s">
        <v>5760</v>
      </c>
      <c r="E1271" s="216" t="s">
        <v>5761</v>
      </c>
      <c r="F1271" s="182">
        <v>240.0</v>
      </c>
      <c r="G1271" s="172" t="str">
        <f>IFERROR(__xludf.DUMMYFUNCTION("TRIM(REGEXREPLACE(C1271, ""[0-9]+[a-f]?\."", """"))"),"Since ${period}, was there ever a time when you planned to migrate but then had to cancel their plans?")</f>
        <v>Since ${period}, was there ever a time when you planned to migrate but then had to cancel their plans?</v>
      </c>
      <c r="H1271" s="172" t="str">
        <f>IFERROR(__xludf.DUMMYFUNCTION("TRIM(REGEXREPLACE(D1271, ""[0-9]+[a-f]?\."", """"))"),"Depuis cette ${period_french}, y a-t-il déjà eu un moment où tu avait prévu de migrer mais a ensuite dû annuler ses projets ?")</f>
        <v>Depuis cette ${period_french}, y a-t-il déjà eu un moment où tu avait prévu de migrer mais a ensuite dû annuler ses projets ?</v>
      </c>
      <c r="I1271" s="172" t="str">
        <f>IFERROR(__xludf.DUMMYFUNCTION("TRIM(REGEXREPLACE(E1271, ""[0-9]+[a-f]?\."", """"))"),"${period_hausa}, ko akwai lokacin da ka shirya zuwa biɗa amma ka fasa?")</f>
        <v>${period_hausa}, ko akwai lokacin da ka shirya zuwa biɗa amma ka fasa?</v>
      </c>
      <c r="J1271" s="172" t="str">
        <f t="shared" ref="J1271:L1271" si="263">$F1271 &amp; ". " &amp;G1271</f>
        <v>240. Since ${period}, was there ever a time when you planned to migrate but then had to cancel their plans?</v>
      </c>
      <c r="K1271" s="172" t="str">
        <f t="shared" si="263"/>
        <v>240. Depuis cette ${period_french}, y a-t-il déjà eu un moment où tu avait prévu de migrer mais a ensuite dû annuler ses projets ?</v>
      </c>
      <c r="L1271" s="172" t="str">
        <f t="shared" si="263"/>
        <v>240. ${period_hausa}, ko akwai lokacin da ka shirya zuwa biɗa amma ka fasa?</v>
      </c>
    </row>
    <row r="1272">
      <c r="A1272" s="215" t="s">
        <v>5762</v>
      </c>
      <c r="B1272" s="216" t="s">
        <v>5763</v>
      </c>
      <c r="C1272" s="216" t="s">
        <v>2516</v>
      </c>
      <c r="D1272" s="216" t="s">
        <v>2517</v>
      </c>
      <c r="E1272" s="216" t="s">
        <v>5764</v>
      </c>
      <c r="F1272" s="182">
        <v>241.0</v>
      </c>
      <c r="G1272" s="172" t="str">
        <f>IFERROR(__xludf.DUMMYFUNCTION("TRIM(REGEXREPLACE(C1272, ""[0-9]+[a-f]?\."", """"))"),"Where did they plan to migrate?")</f>
        <v>Where did they plan to migrate?</v>
      </c>
      <c r="H1272" s="172" t="str">
        <f>IFERROR(__xludf.DUMMYFUNCTION("TRIM(REGEXREPLACE(D1272, ""[0-9]+[a-f]?\."", """"))"),"Où envisageait-il de migrer ?")</f>
        <v>Où envisageait-il de migrer ?</v>
      </c>
      <c r="I1272" s="172" t="str">
        <f>IFERROR(__xludf.DUMMYFUNCTION("TRIM(REGEXREPLACE(E1272, ""[0-9]+[a-f]?\."", """"))"),"Ina ka yi niyar zuwa?")</f>
        <v>Ina ka yi niyar zuwa?</v>
      </c>
      <c r="J1272" s="172" t="str">
        <f t="shared" ref="J1272:L1272" si="264">$F1272 &amp; ". " &amp;G1272</f>
        <v>241. Where did they plan to migrate?</v>
      </c>
      <c r="K1272" s="172" t="str">
        <f t="shared" si="264"/>
        <v>241. Où envisageait-il de migrer ?</v>
      </c>
      <c r="L1272" s="172" t="str">
        <f t="shared" si="264"/>
        <v>241. Ina ka yi niyar zuwa?</v>
      </c>
    </row>
    <row r="1273">
      <c r="A1273" s="246" t="s">
        <v>231</v>
      </c>
      <c r="B1273" s="247" t="s">
        <v>5765</v>
      </c>
      <c r="C1273" s="247" t="s">
        <v>2520</v>
      </c>
      <c r="D1273" s="247" t="s">
        <v>2521</v>
      </c>
      <c r="E1273" s="247" t="s">
        <v>5766</v>
      </c>
      <c r="F1273" s="182">
        <v>242.0</v>
      </c>
      <c r="G1273" s="172" t="str">
        <f>IFERROR(__xludf.DUMMYFUNCTION("TRIM(REGEXREPLACE(C1273, ""[0-9]+[a-f]?\."", """"))"),"Specify other")</f>
        <v>Specify other</v>
      </c>
      <c r="H1273" s="172" t="str">
        <f>IFERROR(__xludf.DUMMYFUNCTION("TRIM(REGEXREPLACE(D1273, ""[0-9]+[a-f]?\."", """"))"),"Autre à préciser")</f>
        <v>Autre à préciser</v>
      </c>
      <c r="I1273" s="172" t="str">
        <f>IFERROR(__xludf.DUMMYFUNCTION("TRIM(REGEXREPLACE(E1273, ""[0-9]+[a-f]?\."", """"))"),"Wani abu daban a Bayyana")</f>
        <v>Wani abu daban a Bayyana</v>
      </c>
      <c r="J1273" s="172" t="str">
        <f t="shared" ref="J1273:L1273" si="265">$F1273 &amp; ". " &amp;G1273</f>
        <v>242. Specify other</v>
      </c>
      <c r="K1273" s="172" t="str">
        <f t="shared" si="265"/>
        <v>242. Autre à préciser</v>
      </c>
      <c r="L1273" s="172" t="str">
        <f t="shared" si="265"/>
        <v>242. Wani abu daban a Bayyana</v>
      </c>
    </row>
    <row r="1274" hidden="1"/>
    <row r="1275" hidden="1"/>
    <row r="1276" hidden="1"/>
    <row r="1277" hidden="1"/>
    <row r="1278" hidden="1">
      <c r="A1278" s="255" t="s">
        <v>1042</v>
      </c>
      <c r="B1278" s="256" t="s">
        <v>5771</v>
      </c>
      <c r="C1278" s="256" t="s">
        <v>5772</v>
      </c>
      <c r="D1278" s="257"/>
      <c r="E1278" s="257"/>
      <c r="F1278" s="182">
        <v>706.0</v>
      </c>
      <c r="G1278" s="172" t="str">
        <f>IFERROR(__xludf.DUMMYFUNCTION("TRIM(REGEXREPLACE(C1278, ""[0-9]+[a-f]?\."", """"))"),"Failed Migrations")</f>
        <v>Failed Migrations</v>
      </c>
      <c r="H1278" s="172" t="str">
        <f>IFERROR(__xludf.DUMMYFUNCTION("TRIM(REGEXREPLACE(D1278, ""[0-9]+[a-f]?\."", """"))"),"")</f>
        <v/>
      </c>
      <c r="I1278" s="172" t="str">
        <f>IFERROR(__xludf.DUMMYFUNCTION("TRIM(REGEXREPLACE(E1278, ""[0-9]+[a-f]?\."", """"))"),"")</f>
        <v/>
      </c>
      <c r="J1278" s="172" t="s">
        <v>5773</v>
      </c>
      <c r="K1278" s="172" t="s">
        <v>5774</v>
      </c>
      <c r="L1278" s="172" t="s">
        <v>5775</v>
      </c>
    </row>
    <row r="1279" hidden="1"/>
    <row r="1280" hidden="1"/>
    <row r="1281" hidden="1"/>
    <row r="1282" hidden="1"/>
    <row r="1283" hidden="1"/>
    <row r="1284" hidden="1"/>
    <row r="1285" hidden="1"/>
    <row r="1286" hidden="1"/>
    <row r="1287" hidden="1"/>
    <row r="1288" hidden="1"/>
    <row r="1289" hidden="1"/>
    <row r="1290" hidden="1"/>
    <row r="1291" hidden="1"/>
    <row r="1292" hidden="1"/>
    <row r="1293" hidden="1"/>
    <row r="1294" hidden="1"/>
    <row r="1295" hidden="1"/>
    <row r="1296" hidden="1"/>
    <row r="1297" hidden="1"/>
    <row r="1298" hidden="1"/>
    <row r="1299" hidden="1"/>
    <row r="1300" hidden="1"/>
    <row r="1301" hidden="1"/>
    <row r="1302" hidden="1"/>
    <row r="1303" hidden="1"/>
    <row r="1304" hidden="1"/>
    <row r="1305" hidden="1"/>
    <row r="1306" hidden="1"/>
    <row r="1307" hidden="1"/>
    <row r="1308" hidden="1"/>
    <row r="1309" hidden="1"/>
    <row r="1310" hidden="1"/>
    <row r="1311" hidden="1"/>
    <row r="1312" hidden="1"/>
    <row r="1313" hidden="1"/>
    <row r="1314" hidden="1"/>
    <row r="1315" hidden="1"/>
    <row r="1316" hidden="1"/>
    <row r="1317" hidden="1"/>
    <row r="1318" hidden="1"/>
    <row r="1319" hidden="1"/>
    <row r="1320" hidden="1"/>
    <row r="1321" hidden="1"/>
    <row r="1322" hidden="1"/>
    <row r="1323" hidden="1"/>
    <row r="1324" hidden="1"/>
    <row r="1325" hidden="1"/>
    <row r="1326" hidden="1"/>
    <row r="1327" hidden="1"/>
    <row r="1328" hidden="1"/>
    <row r="1329" hidden="1"/>
    <row r="1330" hidden="1"/>
    <row r="1331" hidden="1"/>
    <row r="1332" hidden="1"/>
    <row r="1333" hidden="1"/>
    <row r="1334" hidden="1"/>
    <row r="1335" hidden="1"/>
    <row r="1336" hidden="1"/>
    <row r="1337" hidden="1"/>
    <row r="1338" hidden="1"/>
    <row r="1339" hidden="1"/>
    <row r="1340" hidden="1"/>
    <row r="1341" hidden="1"/>
    <row r="1342" hidden="1"/>
    <row r="1343" hidden="1"/>
    <row r="1344" hidden="1"/>
    <row r="1345" hidden="1"/>
    <row r="1346" hidden="1"/>
    <row r="1347" hidden="1"/>
    <row r="1348" hidden="1"/>
    <row r="1349" hidden="1"/>
    <row r="1350" hidden="1"/>
    <row r="1351" hidden="1"/>
    <row r="1352" hidden="1"/>
    <row r="1353" hidden="1"/>
    <row r="1354" hidden="1"/>
    <row r="1355" hidden="1"/>
    <row r="1356" hidden="1"/>
    <row r="1357" hidden="1"/>
    <row r="1358" hidden="1"/>
    <row r="1359" hidden="1"/>
    <row r="1360" hidden="1"/>
    <row r="1361" hidden="1"/>
    <row r="1362" hidden="1"/>
    <row r="1363" hidden="1"/>
    <row r="1364" hidden="1"/>
    <row r="1365" hidden="1"/>
    <row r="1366" hidden="1"/>
    <row r="1367" hidden="1"/>
    <row r="1368" hidden="1"/>
    <row r="1369" hidden="1"/>
    <row r="1370" hidden="1"/>
    <row r="1371" hidden="1"/>
    <row r="1372" hidden="1"/>
    <row r="1373" hidden="1"/>
    <row r="1374" hidden="1"/>
    <row r="1375" hidden="1"/>
    <row r="1376" hidden="1"/>
    <row r="1377" hidden="1"/>
    <row r="1378" hidden="1"/>
    <row r="1379" hidden="1"/>
    <row r="1380" hidden="1"/>
    <row r="1381" hidden="1"/>
    <row r="1382" hidden="1"/>
    <row r="1383" hidden="1"/>
    <row r="1384" hidden="1"/>
    <row r="1385" hidden="1"/>
    <row r="1386" hidden="1"/>
    <row r="1387" hidden="1"/>
    <row r="1388" hidden="1"/>
    <row r="1389" hidden="1"/>
    <row r="1390" hidden="1"/>
    <row r="1391" hidden="1"/>
    <row r="1392" hidden="1"/>
    <row r="1393" hidden="1"/>
    <row r="1394" hidden="1"/>
    <row r="1395" hidden="1"/>
    <row r="1396" hidden="1"/>
    <row r="1397" hidden="1"/>
    <row r="1398" hidden="1"/>
    <row r="1399" hidden="1"/>
    <row r="1400" hidden="1"/>
    <row r="1401" hidden="1"/>
    <row r="1402" hidden="1"/>
    <row r="1403" hidden="1"/>
    <row r="1404" hidden="1"/>
    <row r="1405" hidden="1"/>
    <row r="1406" hidden="1"/>
    <row r="1407" hidden="1"/>
    <row r="1408" hidden="1"/>
    <row r="1409" hidden="1"/>
    <row r="1410" hidden="1"/>
    <row r="1411" hidden="1"/>
    <row r="1412" hidden="1"/>
    <row r="1413" hidden="1"/>
    <row r="1414" hidden="1"/>
    <row r="1415" hidden="1"/>
    <row r="1416" hidden="1"/>
    <row r="1417" hidden="1"/>
    <row r="1418" hidden="1"/>
    <row r="1419" hidden="1"/>
    <row r="1420" hidden="1"/>
    <row r="1421" hidden="1"/>
    <row r="1422" hidden="1"/>
    <row r="1423" hidden="1"/>
    <row r="1424" hidden="1"/>
    <row r="1425" hidden="1"/>
    <row r="1426" hidden="1"/>
    <row r="1427" hidden="1"/>
    <row r="1428" hidden="1"/>
    <row r="1429" hidden="1"/>
    <row r="1430" hidden="1"/>
    <row r="1431" hidden="1"/>
    <row r="1432" hidden="1"/>
    <row r="1433" hidden="1"/>
    <row r="1434" hidden="1"/>
    <row r="1435" hidden="1"/>
    <row r="1436" hidden="1"/>
    <row r="1437" hidden="1"/>
    <row r="1438" hidden="1"/>
    <row r="1439" hidden="1"/>
    <row r="1440" hidden="1"/>
    <row r="1441" hidden="1"/>
    <row r="1442" hidden="1"/>
    <row r="1443" hidden="1"/>
    <row r="1444" hidden="1"/>
    <row r="1445" hidden="1"/>
    <row r="1446" hidden="1"/>
    <row r="1447" hidden="1"/>
    <row r="1448" hidden="1"/>
    <row r="1449" hidden="1"/>
    <row r="1450" hidden="1"/>
    <row r="1451" hidden="1"/>
    <row r="1452" hidden="1"/>
    <row r="1453" hidden="1"/>
    <row r="1454" hidden="1"/>
    <row r="1455" hidden="1"/>
    <row r="1456" hidden="1"/>
    <row r="1457" hidden="1"/>
    <row r="1458" hidden="1"/>
    <row r="1459" hidden="1"/>
    <row r="1460" hidden="1"/>
    <row r="1461" hidden="1"/>
    <row r="1462" hidden="1"/>
    <row r="1463" hidden="1"/>
    <row r="1464" hidden="1"/>
    <row r="1465" hidden="1"/>
    <row r="1466" hidden="1"/>
    <row r="1467" hidden="1"/>
    <row r="1468" hidden="1"/>
    <row r="1469" hidden="1"/>
    <row r="1470" hidden="1"/>
    <row r="1471" hidden="1"/>
    <row r="1472" hidden="1"/>
    <row r="1473" hidden="1"/>
    <row r="1474" hidden="1"/>
    <row r="1475" hidden="1"/>
    <row r="1476" hidden="1"/>
    <row r="1477" hidden="1"/>
    <row r="1478" hidden="1"/>
    <row r="1479" hidden="1"/>
    <row r="1480" hidden="1"/>
    <row r="1481" hidden="1"/>
    <row r="1482" hidden="1"/>
    <row r="1483" hidden="1"/>
    <row r="1484" hidden="1"/>
    <row r="1485" hidden="1"/>
    <row r="1486" hidden="1"/>
    <row r="1487" hidden="1"/>
    <row r="1488" hidden="1"/>
    <row r="1489" hidden="1"/>
    <row r="1490" hidden="1"/>
    <row r="1491" hidden="1"/>
    <row r="1492" hidden="1"/>
    <row r="1493" hidden="1"/>
    <row r="1494" hidden="1"/>
    <row r="1495" hidden="1"/>
    <row r="1496" hidden="1"/>
    <row r="1497" hidden="1"/>
    <row r="1498" hidden="1"/>
    <row r="1499" hidden="1"/>
    <row r="1500" hidden="1"/>
    <row r="1501" hidden="1"/>
    <row r="1502" hidden="1"/>
    <row r="1503" hidden="1"/>
    <row r="1504" hidden="1"/>
    <row r="1505" hidden="1"/>
    <row r="1506" hidden="1"/>
    <row r="1507" hidden="1"/>
    <row r="1508" hidden="1"/>
    <row r="1509" hidden="1"/>
    <row r="1510" hidden="1"/>
    <row r="1511" hidden="1"/>
    <row r="1512" hidden="1"/>
    <row r="1513" hidden="1"/>
    <row r="1514" hidden="1"/>
    <row r="1515" hidden="1"/>
    <row r="1516" hidden="1"/>
    <row r="1517" hidden="1"/>
    <row r="1518" hidden="1"/>
    <row r="1519" hidden="1"/>
    <row r="1520" hidden="1"/>
    <row r="1521" hidden="1"/>
    <row r="1522" hidden="1"/>
    <row r="1523" hidden="1"/>
    <row r="1524" hidden="1"/>
    <row r="1525" hidden="1"/>
    <row r="1526" hidden="1"/>
    <row r="1527" hidden="1"/>
    <row r="1528" hidden="1"/>
    <row r="1529" hidden="1"/>
    <row r="1530" hidden="1"/>
    <row r="1531" hidden="1"/>
    <row r="1532" hidden="1"/>
    <row r="1533" hidden="1"/>
    <row r="1534" hidden="1"/>
    <row r="1535" hidden="1"/>
    <row r="1536" hidden="1"/>
    <row r="1537" hidden="1"/>
    <row r="1538" hidden="1"/>
    <row r="1539" hidden="1"/>
    <row r="1540" hidden="1"/>
    <row r="1541" hidden="1"/>
    <row r="1542" hidden="1"/>
    <row r="1543" hidden="1"/>
    <row r="1544" hidden="1"/>
    <row r="1545" hidden="1"/>
    <row r="1546" hidden="1"/>
    <row r="1547" hidden="1"/>
    <row r="1548" hidden="1"/>
    <row r="1549" hidden="1"/>
    <row r="1550" hidden="1"/>
    <row r="1551" hidden="1"/>
    <row r="1552" hidden="1"/>
    <row r="1553" hidden="1"/>
    <row r="1554" hidden="1"/>
    <row r="1555" hidden="1"/>
    <row r="1556" hidden="1"/>
    <row r="1557" hidden="1"/>
    <row r="1558" hidden="1"/>
    <row r="1559" hidden="1"/>
    <row r="1560" hidden="1"/>
    <row r="1561" hidden="1"/>
    <row r="1562" hidden="1"/>
    <row r="1563" hidden="1"/>
    <row r="1564" hidden="1"/>
    <row r="1565" hidden="1"/>
    <row r="1566" hidden="1"/>
    <row r="1567" hidden="1"/>
    <row r="1568" hidden="1"/>
    <row r="1569" hidden="1"/>
    <row r="1570" hidden="1"/>
    <row r="1571" hidden="1"/>
    <row r="1572" hidden="1"/>
    <row r="1573" hidden="1"/>
    <row r="1574" hidden="1"/>
    <row r="1575" hidden="1"/>
    <row r="1576" hidden="1"/>
    <row r="1577" hidden="1"/>
    <row r="1578" hidden="1"/>
    <row r="1579" hidden="1"/>
    <row r="1580" hidden="1"/>
    <row r="1581" hidden="1"/>
    <row r="1582" hidden="1"/>
    <row r="1583" hidden="1"/>
    <row r="1584" hidden="1"/>
    <row r="1585" hidden="1"/>
    <row r="1586" hidden="1"/>
    <row r="1587" hidden="1"/>
    <row r="1588" hidden="1"/>
    <row r="1589" hidden="1"/>
    <row r="1590" hidden="1"/>
    <row r="1591" hidden="1"/>
    <row r="1592" hidden="1"/>
    <row r="1593" hidden="1"/>
    <row r="1594" hidden="1"/>
    <row r="1595" hidden="1"/>
    <row r="1596" hidden="1"/>
    <row r="1597" hidden="1"/>
    <row r="1598" hidden="1"/>
    <row r="1599" hidden="1"/>
    <row r="1600" hidden="1"/>
    <row r="1601" hidden="1"/>
    <row r="1602" hidden="1"/>
    <row r="1603" hidden="1"/>
    <row r="1604" hidden="1"/>
    <row r="1605" hidden="1"/>
    <row r="1606" hidden="1"/>
    <row r="1607" hidden="1"/>
    <row r="1608" hidden="1"/>
    <row r="1609" hidden="1"/>
    <row r="1610" hidden="1"/>
    <row r="1611" hidden="1"/>
    <row r="1612" hidden="1"/>
    <row r="1613" hidden="1"/>
    <row r="1614" hidden="1"/>
    <row r="1615" hidden="1"/>
    <row r="1616" hidden="1"/>
    <row r="1617" hidden="1"/>
    <row r="1618" hidden="1"/>
    <row r="1619" hidden="1"/>
    <row r="1620" hidden="1"/>
    <row r="1621" hidden="1"/>
    <row r="1622" hidden="1"/>
    <row r="1623" hidden="1"/>
    <row r="1624" hidden="1"/>
    <row r="1625" hidden="1"/>
    <row r="1626" hidden="1"/>
    <row r="1627" hidden="1"/>
    <row r="1628" hidden="1"/>
    <row r="1629" hidden="1"/>
    <row r="1630" hidden="1"/>
    <row r="1631" hidden="1"/>
    <row r="1632" hidden="1"/>
    <row r="1633" hidden="1"/>
    <row r="1634" hidden="1"/>
    <row r="1635" hidden="1"/>
    <row r="1636" hidden="1"/>
    <row r="1637" hidden="1"/>
    <row r="1638" hidden="1"/>
    <row r="1639" hidden="1"/>
    <row r="1640" hidden="1"/>
    <row r="1641" hidden="1"/>
    <row r="1642" hidden="1"/>
    <row r="1643" hidden="1"/>
    <row r="1644" hidden="1"/>
    <row r="1645" hidden="1"/>
    <row r="1646" hidden="1"/>
    <row r="1647" hidden="1"/>
    <row r="1648" hidden="1"/>
    <row r="1649" hidden="1"/>
    <row r="1650" hidden="1"/>
    <row r="1651" hidden="1"/>
    <row r="1652" hidden="1"/>
    <row r="1653" hidden="1"/>
    <row r="1654" hidden="1"/>
    <row r="1655" hidden="1"/>
    <row r="1656" hidden="1"/>
    <row r="1657" hidden="1"/>
    <row r="1658" hidden="1"/>
    <row r="1659" hidden="1"/>
    <row r="1660" hidden="1"/>
    <row r="1661" hidden="1"/>
    <row r="1662" hidden="1"/>
    <row r="1663" hidden="1"/>
    <row r="1664" hidden="1"/>
    <row r="1665" hidden="1"/>
    <row r="1666" hidden="1"/>
    <row r="1667" hidden="1"/>
    <row r="1668" hidden="1"/>
    <row r="1669" hidden="1"/>
    <row r="1670" hidden="1"/>
    <row r="1671" hidden="1"/>
    <row r="1672" hidden="1"/>
    <row r="1673" hidden="1"/>
    <row r="1674" hidden="1"/>
    <row r="1675" hidden="1"/>
    <row r="1676" hidden="1"/>
    <row r="1677" hidden="1"/>
    <row r="1678" hidden="1"/>
    <row r="1679" hidden="1"/>
    <row r="1680" hidden="1"/>
    <row r="1681" hidden="1"/>
    <row r="1682" hidden="1"/>
    <row r="1683" hidden="1"/>
    <row r="1684" hidden="1"/>
    <row r="1685" hidden="1"/>
    <row r="1686" hidden="1"/>
    <row r="1687" hidden="1"/>
    <row r="1688" hidden="1"/>
    <row r="1689" hidden="1"/>
    <row r="1690" hidden="1"/>
    <row r="1691" hidden="1">
      <c r="A1691" s="188" t="s">
        <v>68</v>
      </c>
      <c r="B1691" s="189" t="s">
        <v>5788</v>
      </c>
      <c r="C1691" s="190"/>
      <c r="D1691" s="190"/>
      <c r="E1691" s="190"/>
    </row>
    <row r="1692" hidden="1">
      <c r="A1692" s="188" t="s">
        <v>68</v>
      </c>
      <c r="B1692" s="189" t="s">
        <v>5789</v>
      </c>
      <c r="C1692" s="190"/>
      <c r="D1692" s="190"/>
      <c r="E1692" s="190"/>
    </row>
    <row r="1693" hidden="1">
      <c r="A1693" s="188" t="s">
        <v>68</v>
      </c>
      <c r="B1693" s="189" t="s">
        <v>5790</v>
      </c>
      <c r="C1693" s="217" t="s">
        <v>5792</v>
      </c>
      <c r="D1693" s="190"/>
      <c r="E1693" s="190"/>
    </row>
    <row r="1694">
      <c r="A1694" s="215" t="s">
        <v>5793</v>
      </c>
      <c r="B1694" s="216" t="s">
        <v>5794</v>
      </c>
      <c r="C1694" s="216" t="s">
        <v>2534</v>
      </c>
      <c r="D1694" s="216" t="s">
        <v>2535</v>
      </c>
      <c r="E1694" s="216" t="s">
        <v>2536</v>
      </c>
      <c r="F1694" s="182">
        <v>243.0</v>
      </c>
      <c r="G1694" s="172" t="str">
        <f>IFERROR(__xludf.DUMMYFUNCTION("TRIM(REGEXREPLACE(C1694, ""[0-9]+[a-f]?\."", """"))"),"In ${pm_failed_country}, what was the name of the city or town that you planned to move to?")</f>
        <v>In ${pm_failed_country}, what was the name of the city or town that you planned to move to?</v>
      </c>
      <c r="H1694" s="172" t="str">
        <f>IFERROR(__xludf.DUMMYFUNCTION("TRIM(REGEXREPLACE(D1694, ""[0-9]+[a-f]?\."", """"))"),"Dans ${pm_failed_country}, quel était le nom de la ville ou du village dans lequel vous envisagez d'aller ?")</f>
        <v>Dans ${pm_failed_country}, quel était le nom de la ville ou du village dans lequel vous envisagez d'aller ?</v>
      </c>
      <c r="I1694" s="172" t="str">
        <f>IFERROR(__xludf.DUMMYFUNCTION("TRIM(REGEXREPLACE(E1694, ""[0-9]+[a-f]?\."", """"))"),"A cikin ${pm_failed_country}, menene sunan birni ko garin da ka yi niyyar zuwa?")</f>
        <v>A cikin ${pm_failed_country}, menene sunan birni ko garin da ka yi niyyar zuwa?</v>
      </c>
      <c r="J1694" s="172" t="str">
        <f t="shared" ref="J1694:L1694" si="266">$F1694 &amp; ". " &amp;G1694</f>
        <v>243. In ${pm_failed_country}, what was the name of the city or town that you planned to move to?</v>
      </c>
      <c r="K1694" s="172" t="str">
        <f t="shared" si="266"/>
        <v>243. Dans ${pm_failed_country}, quel était le nom de la ville ou du village dans lequel vous envisagez d'aller ?</v>
      </c>
      <c r="L1694" s="172" t="str">
        <f t="shared" si="266"/>
        <v>243. A cikin ${pm_failed_country}, menene sunan birni ko garin da ka yi niyyar zuwa?</v>
      </c>
    </row>
    <row r="1695">
      <c r="A1695" s="246" t="s">
        <v>231</v>
      </c>
      <c r="B1695" s="247" t="s">
        <v>5798</v>
      </c>
      <c r="C1695" s="247" t="s">
        <v>2538</v>
      </c>
      <c r="D1695" s="247" t="s">
        <v>2539</v>
      </c>
      <c r="E1695" s="247" t="s">
        <v>2540</v>
      </c>
      <c r="F1695" s="182">
        <v>244.0</v>
      </c>
      <c r="G1695" s="172" t="str">
        <f>IFERROR(__xludf.DUMMYFUNCTION("TRIM(REGEXREPLACE(C1695, ""[0-9]+[a-f]?\."", """"))"),"Specify other")</f>
        <v>Specify other</v>
      </c>
      <c r="H1695" s="172" t="str">
        <f>IFERROR(__xludf.DUMMYFUNCTION("TRIM(REGEXREPLACE(D1695, ""[0-9]+[a-f]?\."", """"))"),"Autre à préciser")</f>
        <v>Autre à préciser</v>
      </c>
      <c r="I1695" s="172" t="str">
        <f>IFERROR(__xludf.DUMMYFUNCTION("TRIM(REGEXREPLACE(E1695, ""[0-9]+[a-f]?\."", """"))"),"Wani daban a Bayyana")</f>
        <v>Wani daban a Bayyana</v>
      </c>
      <c r="J1695" s="172" t="str">
        <f t="shared" ref="J1695:L1695" si="267">$F1695 &amp; ". " &amp;G1695</f>
        <v>244. Specify other</v>
      </c>
      <c r="K1695" s="172" t="str">
        <f t="shared" si="267"/>
        <v>244. Autre à préciser</v>
      </c>
      <c r="L1695" s="172" t="str">
        <f t="shared" si="267"/>
        <v>244. Wani daban a Bayyana</v>
      </c>
    </row>
    <row r="1696">
      <c r="A1696" s="215" t="s">
        <v>5800</v>
      </c>
      <c r="B1696" s="216" t="s">
        <v>5801</v>
      </c>
      <c r="C1696" s="216" t="e">
        <v>#N/A</v>
      </c>
      <c r="D1696" s="216" t="e">
        <v>#N/A</v>
      </c>
      <c r="E1696" s="216" t="e">
        <v>#N/A</v>
      </c>
      <c r="F1696" s="182">
        <v>245.0</v>
      </c>
      <c r="G1696" s="172" t="str">
        <f>IFERROR(__xludf.DUMMYFUNCTION("TRIM(REGEXREPLACE(C1696, ""[0-9]+[a-f]?\."", """"))"),"#N/A")</f>
        <v>#N/A</v>
      </c>
      <c r="H1696" s="172" t="str">
        <f>IFERROR(__xludf.DUMMYFUNCTION("TRIM(REGEXREPLACE(D1696, ""[0-9]+[a-f]?\."", """"))"),"#N/A")</f>
        <v>#N/A</v>
      </c>
      <c r="I1696" s="172" t="str">
        <f>IFERROR(__xludf.DUMMYFUNCTION("TRIM(REGEXREPLACE(E1696, ""[0-9]+[a-f]?\."", """"))"),"#N/A")</f>
        <v>#N/A</v>
      </c>
      <c r="J1696" s="172" t="str">
        <f t="shared" ref="J1696:L1696" si="268">$F1696 &amp; ". " &amp;G1696</f>
        <v>#N/A</v>
      </c>
      <c r="K1696" s="172" t="str">
        <f t="shared" si="268"/>
        <v>#N/A</v>
      </c>
      <c r="L1696" s="172" t="str">
        <f t="shared" si="268"/>
        <v>#N/A</v>
      </c>
    </row>
    <row r="1697">
      <c r="A1697" s="246" t="s">
        <v>231</v>
      </c>
      <c r="B1697" s="247" t="s">
        <v>5803</v>
      </c>
      <c r="C1697" s="247" t="s">
        <v>2546</v>
      </c>
      <c r="D1697" s="247" t="s">
        <v>2547</v>
      </c>
      <c r="E1697" s="247" t="s">
        <v>2548</v>
      </c>
      <c r="F1697" s="182">
        <v>246.0</v>
      </c>
      <c r="G1697" s="172" t="str">
        <f>IFERROR(__xludf.DUMMYFUNCTION("TRIM(REGEXREPLACE(C1697, ""[0-9]+[a-f]?\."", """"))"),"Specify other")</f>
        <v>Specify other</v>
      </c>
      <c r="H1697" s="172" t="str">
        <f>IFERROR(__xludf.DUMMYFUNCTION("TRIM(REGEXREPLACE(D1697, ""[0-9]+[a-f]?\."", """"))"),"Autre à préciser")</f>
        <v>Autre à préciser</v>
      </c>
      <c r="I1697" s="172" t="str">
        <f>IFERROR(__xludf.DUMMYFUNCTION("TRIM(REGEXREPLACE(E1697, ""[0-9]+[a-f]?\."", """"))"),"Wani daban a Bayyana")</f>
        <v>Wani daban a Bayyana</v>
      </c>
      <c r="J1697" s="172" t="str">
        <f t="shared" ref="J1697:L1697" si="269">$F1697 &amp; ". " &amp;G1697</f>
        <v>246. Specify other</v>
      </c>
      <c r="K1697" s="172" t="str">
        <f t="shared" si="269"/>
        <v>246. Autre à préciser</v>
      </c>
      <c r="L1697" s="172" t="str">
        <f t="shared" si="269"/>
        <v>246. Wani daban a Bayyana</v>
      </c>
    </row>
    <row r="1698">
      <c r="A1698" s="253" t="s">
        <v>246</v>
      </c>
      <c r="B1698" s="254" t="s">
        <v>5804</v>
      </c>
      <c r="C1698" s="254" t="s">
        <v>2550</v>
      </c>
      <c r="D1698" s="254" t="s">
        <v>2551</v>
      </c>
      <c r="E1698" s="254" t="s">
        <v>5808</v>
      </c>
      <c r="F1698" s="182">
        <v>247.0</v>
      </c>
      <c r="G1698" s="172" t="str">
        <f>IFERROR(__xludf.DUMMYFUNCTION("TRIM(REGEXREPLACE(C1698, ""[0-9]+[a-f]?\."", """"))"),"How many times did you plan to migrate to ${pm_failed_country} and fail?")</f>
        <v>How many times did you plan to migrate to ${pm_failed_country} and fail?</v>
      </c>
      <c r="H1698" s="172" t="str">
        <f>IFERROR(__xludf.DUMMYFUNCTION("TRIM(REGEXREPLACE(D1698, ""[0-9]+[a-f]?\."", """"))"),"Combien de fois avez-vous prévu de migrer vers ${pm_failed_country} et avez-vous échoué ?")</f>
        <v>Combien de fois avez-vous prévu de migrer vers ${pm_failed_country} et avez-vous échoué ?</v>
      </c>
      <c r="I1698" s="172" t="str">
        <f>IFERROR(__xludf.DUMMYFUNCTION("TRIM(REGEXREPLACE(E1698, ""[0-9]+[a-f]?\."", """"))"),"Sau nawa ka shirya zuwa biɗa ${pm_failed_country} kuma ka kasa?")</f>
        <v>Sau nawa ka shirya zuwa biɗa ${pm_failed_country} kuma ka kasa?</v>
      </c>
      <c r="J1698" s="172" t="str">
        <f t="shared" ref="J1698:L1698" si="270">$F1698 &amp; ". " &amp;G1698</f>
        <v>247. How many times did you plan to migrate to ${pm_failed_country} and fail?</v>
      </c>
      <c r="K1698" s="172" t="str">
        <f t="shared" si="270"/>
        <v>247. Combien de fois avez-vous prévu de migrer vers ${pm_failed_country} et avez-vous échoué ?</v>
      </c>
      <c r="L1698" s="172" t="str">
        <f t="shared" si="270"/>
        <v>247. Sau nawa ka shirya zuwa biɗa ${pm_failed_country} kuma ka kasa?</v>
      </c>
    </row>
    <row r="1699">
      <c r="A1699" s="215" t="s">
        <v>5809</v>
      </c>
      <c r="B1699" s="216" t="s">
        <v>5810</v>
      </c>
      <c r="C1699" s="216" t="s">
        <v>2554</v>
      </c>
      <c r="D1699" s="216" t="s">
        <v>2555</v>
      </c>
      <c r="E1699" s="216" t="s">
        <v>2556</v>
      </c>
      <c r="F1699" s="182">
        <v>248.0</v>
      </c>
      <c r="G1699" s="172" t="str">
        <f>IFERROR(__xludf.DUMMYFUNCTION("TRIM(REGEXREPLACE(C1699, ""[0-9]+[a-f]?\."", """"))"),"Why did you change your plans?")</f>
        <v>Why did you change your plans?</v>
      </c>
      <c r="H1699" s="172" t="str">
        <f>IFERROR(__xludf.DUMMYFUNCTION("TRIM(REGEXREPLACE(D1699, ""[0-9]+[a-f]?\."", """"))"),"Pourquoi avez-vous changé vos plans ?")</f>
        <v>Pourquoi avez-vous changé vos plans ?</v>
      </c>
      <c r="I1699" s="172" t="str">
        <f>IFERROR(__xludf.DUMMYFUNCTION("TRIM(REGEXREPLACE(E1699, ""[0-9]+[a-f]?\."", """"))"),"Me ya sa ka canza shirinka?")</f>
        <v>Me ya sa ka canza shirinka?</v>
      </c>
      <c r="J1699" s="172" t="str">
        <f t="shared" ref="J1699:L1699" si="271">$F1699 &amp; ". " &amp;G1699</f>
        <v>248. Why did you change your plans?</v>
      </c>
      <c r="K1699" s="172" t="str">
        <f t="shared" si="271"/>
        <v>248. Pourquoi avez-vous changé vos plans ?</v>
      </c>
      <c r="L1699" s="172" t="str">
        <f t="shared" si="271"/>
        <v>248. Me ya sa ka canza shirinka?</v>
      </c>
    </row>
    <row r="1700">
      <c r="A1700" s="246" t="s">
        <v>231</v>
      </c>
      <c r="B1700" s="247" t="s">
        <v>5814</v>
      </c>
      <c r="C1700" s="247" t="s">
        <v>2558</v>
      </c>
      <c r="D1700" s="247" t="s">
        <v>2559</v>
      </c>
      <c r="E1700" s="247" t="s">
        <v>2560</v>
      </c>
      <c r="F1700" s="182">
        <v>249.0</v>
      </c>
      <c r="G1700" s="172" t="str">
        <f>IFERROR(__xludf.DUMMYFUNCTION("TRIM(REGEXREPLACE(C1700, ""[0-9]+[a-f]?\."", """"))"),"Specify other reason")</f>
        <v>Specify other reason</v>
      </c>
      <c r="H1700" s="172" t="str">
        <f>IFERROR(__xludf.DUMMYFUNCTION("TRIM(REGEXREPLACE(D1700, ""[0-9]+[a-f]?\."", """"))"),"Précisez une autre raison")</f>
        <v>Précisez une autre raison</v>
      </c>
      <c r="I1700" s="172" t="str">
        <f>IFERROR(__xludf.DUMMYFUNCTION("TRIM(REGEXREPLACE(E1700, ""[0-9]+[a-f]?\."", """"))"),"Baiyana wani dalili daban")</f>
        <v>Baiyana wani dalili daban</v>
      </c>
      <c r="J1700" s="172" t="str">
        <f t="shared" ref="J1700:L1700" si="272">$F1700 &amp; ". " &amp;G1700</f>
        <v>249. Specify other reason</v>
      </c>
      <c r="K1700" s="172" t="str">
        <f t="shared" si="272"/>
        <v>249. Précisez une autre raison</v>
      </c>
      <c r="L1700" s="172" t="str">
        <f t="shared" si="272"/>
        <v>249. Baiyana wani dalili daban</v>
      </c>
    </row>
    <row r="1701" hidden="1">
      <c r="A1701" s="255" t="s">
        <v>1064</v>
      </c>
      <c r="B1701" s="261" t="s">
        <v>5771</v>
      </c>
      <c r="C1701" s="262"/>
      <c r="D1701" s="262"/>
      <c r="E1701" s="262"/>
    </row>
    <row r="1702" hidden="1">
      <c r="A1702" s="188" t="s">
        <v>118</v>
      </c>
      <c r="B1702" s="279" t="s">
        <v>5815</v>
      </c>
      <c r="C1702" s="190"/>
      <c r="D1702" s="190"/>
      <c r="E1702" s="190"/>
    </row>
    <row r="1703" hidden="1">
      <c r="A1703" s="188" t="s">
        <v>68</v>
      </c>
      <c r="B1703" s="279" t="s">
        <v>5816</v>
      </c>
      <c r="C1703" s="190"/>
      <c r="D1703" s="290"/>
      <c r="E1703" s="290"/>
    </row>
    <row r="1704" hidden="1">
      <c r="A1704" s="188" t="s">
        <v>118</v>
      </c>
      <c r="B1704" s="279" t="s">
        <v>5817</v>
      </c>
      <c r="C1704" s="190"/>
      <c r="D1704" s="190"/>
      <c r="E1704" s="190"/>
    </row>
    <row r="1705" hidden="1">
      <c r="A1705" s="188" t="s">
        <v>68</v>
      </c>
      <c r="B1705" s="279" t="s">
        <v>5818</v>
      </c>
      <c r="C1705" s="190"/>
      <c r="D1705" s="290"/>
      <c r="E1705" s="290"/>
    </row>
    <row r="1706" hidden="1">
      <c r="A1706" s="310"/>
      <c r="B1706" s="227"/>
      <c r="C1706" s="174"/>
      <c r="D1706" s="174"/>
      <c r="E1706" s="174"/>
    </row>
    <row r="1707" hidden="1">
      <c r="A1707" s="188" t="s">
        <v>118</v>
      </c>
      <c r="B1707" s="279" t="s">
        <v>5819</v>
      </c>
      <c r="C1707" s="190"/>
      <c r="D1707" s="190"/>
      <c r="E1707" s="190"/>
    </row>
    <row r="1708">
      <c r="A1708" s="207" t="s">
        <v>41</v>
      </c>
      <c r="B1708" s="208" t="s">
        <v>5820</v>
      </c>
      <c r="C1708" s="208" t="s">
        <v>2583</v>
      </c>
      <c r="D1708" s="208" t="s">
        <v>2584</v>
      </c>
      <c r="E1708" s="208" t="s">
        <v>5821</v>
      </c>
      <c r="F1708" s="182">
        <v>250.0</v>
      </c>
      <c r="G1708" s="172" t="str">
        <f>IFERROR(__xludf.DUMMYFUNCTION("TRIM(REGEXREPLACE(C1708, ""[0-9]+[a-f]?\."", """"))"),"Now I will ask you about plans you may have for your future")</f>
        <v>Now I will ask you about plans you may have for your future</v>
      </c>
      <c r="H1708" s="172" t="str">
        <f>IFERROR(__xludf.DUMMYFUNCTION("TRIM(REGEXREPLACE(D1708, ""[0-9]+[a-f]?\."", """"))"),"Maintenant, je vais vous poser des questions sur les plans que vous pourriez avoir pour votre avenir")</f>
        <v>Maintenant, je vais vous poser des questions sur les plans que vous pourriez avoir pour votre avenir</v>
      </c>
      <c r="I1708" s="172" t="str">
        <f>IFERROR(__xludf.DUMMYFUNCTION("TRIM(REGEXREPLACE(E1708, ""[0-9]+[a-f]?\."", """"))"),"Yanzu zan tambaye ku game da tsare-tsaren da za ku iya yi don gaba")</f>
        <v>Yanzu zan tambaye ku game da tsare-tsaren da za ku iya yi don gaba</v>
      </c>
      <c r="J1708" s="172" t="str">
        <f t="shared" ref="J1708:L1708" si="273">$F1708 &amp; ". " &amp;G1708</f>
        <v>250. Now I will ask you about plans you may have for your future</v>
      </c>
      <c r="K1708" s="172" t="str">
        <f t="shared" si="273"/>
        <v>250. Maintenant, je vais vous poser des questions sur les plans que vous pourriez avoir pour votre avenir</v>
      </c>
      <c r="L1708" s="172" t="str">
        <f t="shared" si="273"/>
        <v>250. Yanzu zan tambaye ku game da tsare-tsaren da za ku iya yi don gaba</v>
      </c>
    </row>
    <row r="1709">
      <c r="A1709" s="253" t="s">
        <v>246</v>
      </c>
      <c r="B1709" s="254" t="s">
        <v>5822</v>
      </c>
      <c r="C1709" s="254" t="s">
        <v>2587</v>
      </c>
      <c r="D1709" s="254" t="s">
        <v>2588</v>
      </c>
      <c r="E1709" s="254" t="s">
        <v>5823</v>
      </c>
      <c r="F1709" s="182">
        <v>251.0</v>
      </c>
      <c r="G1709" s="172" t="str">
        <f>IFERROR(__xludf.DUMMYFUNCTION("TRIM(REGEXREPLACE(C1709, ""[0-9]+[a-f]?\."", """"))"),"Counting from today how long do you plan to spend in ${pm_current_location} in the next 6 months (in months)?")</f>
        <v>Counting from today how long do you plan to spend in ${pm_current_location} in the next 6 months (in months)?</v>
      </c>
      <c r="H1709" s="172" t="str">
        <f>IFERROR(__xludf.DUMMYFUNCTION("TRIM(REGEXREPLACE(D1709, ""[0-9]+[a-f]?\."", """"))"),"À partir d'aujourd'hui, combien de temps prévoyez-vous de passer à ${pm_current_location} au cours des 6 prochains mois (en mois) ?")</f>
        <v>À partir d'aujourd'hui, combien de temps prévoyez-vous de passer à ${pm_current_location} au cours des 6 prochains mois (en mois) ?</v>
      </c>
      <c r="I1709" s="172" t="str">
        <f>IFERROR(__xludf.DUMMYFUNCTION("TRIM(REGEXREPLACE(E1709, ""[0-9]+[a-f]?\."", """"))"),"Lissafa daga yau tsawon wane lokaci kuke shirin zama a ${pm_current_location} a cikin watanni 6 masu zuwa (a cikin watanni)?")</f>
        <v>Lissafa daga yau tsawon wane lokaci kuke shirin zama a ${pm_current_location} a cikin watanni 6 masu zuwa (a cikin watanni)?</v>
      </c>
      <c r="J1709" s="172" t="str">
        <f t="shared" ref="J1709:L1709" si="274">$F1709 &amp; ". " &amp;G1709</f>
        <v>251. Counting from today how long do you plan to spend in ${pm_current_location} in the next 6 months (in months)?</v>
      </c>
      <c r="K1709" s="172" t="str">
        <f t="shared" si="274"/>
        <v>251. À partir d'aujourd'hui, combien de temps prévoyez-vous de passer à ${pm_current_location} au cours des 6 prochains mois (en mois) ?</v>
      </c>
      <c r="L1709" s="172" t="str">
        <f t="shared" si="274"/>
        <v>251. Lissafa daga yau tsawon wane lokaci kuke shirin zama a ${pm_current_location} a cikin watanni 6 masu zuwa (a cikin watanni)?</v>
      </c>
    </row>
    <row r="1710">
      <c r="A1710" s="215" t="s">
        <v>5824</v>
      </c>
      <c r="B1710" s="216" t="s">
        <v>5825</v>
      </c>
      <c r="C1710" s="216" t="s">
        <v>2591</v>
      </c>
      <c r="D1710" s="216" t="s">
        <v>2592</v>
      </c>
      <c r="E1710" s="216" t="s">
        <v>2593</v>
      </c>
      <c r="F1710" s="182">
        <v>252.0</v>
      </c>
      <c r="G1710" s="172" t="str">
        <f>IFERROR(__xludf.DUMMYFUNCTION("TRIM(REGEXREPLACE(C1710, ""[0-9]+[a-f]?\."", """"))"),"What country or countries outside of Niger are you interested in moving to (for at least one month)?")</f>
        <v>What country or countries outside of Niger are you interested in moving to (for at least one month)?</v>
      </c>
      <c r="H1710" s="172" t="str">
        <f>IFERROR(__xludf.DUMMYFUNCTION("TRIM(REGEXREPLACE(D1710, ""[0-9]+[a-f]?\."", """"))"),"Dans quel(s) pays en dehors du Niger souhaitez-vous vous installer (pour au moins un mois) ?")</f>
        <v>Dans quel(s) pays en dehors du Niger souhaitez-vous vous installer (pour au moins un mois) ?</v>
      </c>
      <c r="I1710" s="172" t="str">
        <f>IFERROR(__xludf.DUMMYFUNCTION("TRIM(REGEXREPLACE(E1710, ""[0-9]+[a-f]?\."", """"))"),"Wace kasar waje ce kuke sha'awar zuwa (aƙalla wata ɗaya)?")</f>
        <v>Wace kasar waje ce kuke sha'awar zuwa (aƙalla wata ɗaya)?</v>
      </c>
      <c r="J1710" s="172" t="str">
        <f t="shared" ref="J1710:L1710" si="275">$F1710 &amp; ". " &amp;G1710</f>
        <v>252. What country or countries outside of Niger are you interested in moving to (for at least one month)?</v>
      </c>
      <c r="K1710" s="172" t="str">
        <f t="shared" si="275"/>
        <v>252. Dans quel(s) pays en dehors du Niger souhaitez-vous vous installer (pour au moins un mois) ?</v>
      </c>
      <c r="L1710" s="172" t="str">
        <f t="shared" si="275"/>
        <v>252. Wace kasar waje ce kuke sha'awar zuwa (aƙalla wata ɗaya)?</v>
      </c>
    </row>
    <row r="1711">
      <c r="A1711" s="246" t="s">
        <v>231</v>
      </c>
      <c r="B1711" s="247" t="s">
        <v>5826</v>
      </c>
      <c r="C1711" s="247" t="s">
        <v>2595</v>
      </c>
      <c r="D1711" s="247" t="s">
        <v>2596</v>
      </c>
      <c r="E1711" s="247" t="s">
        <v>2597</v>
      </c>
      <c r="F1711" s="182">
        <v>253.0</v>
      </c>
      <c r="G1711" s="172" t="str">
        <f>IFERROR(__xludf.DUMMYFUNCTION("TRIM(REGEXREPLACE(C1711, ""[0-9]+[a-f]?\."", """"))"),"Enumerator: Enter other country")</f>
        <v>Enumerator: Enter other country</v>
      </c>
      <c r="H1711" s="172" t="str">
        <f>IFERROR(__xludf.DUMMYFUNCTION("TRIM(REGEXREPLACE(D1711, ""[0-9]+[a-f]?\."", """"))"),"Enquêteur : Entrez un autre pays")</f>
        <v>Enquêteur : Entrez un autre pays</v>
      </c>
      <c r="I1711" s="172" t="str">
        <f>IFERROR(__xludf.DUMMYFUNCTION("TRIM(REGEXREPLACE(E1711, ""[0-9]+[a-f]?\."", """"))"),"Ɗan bincike: Shigar da wata ƙasa")</f>
        <v>Ɗan bincike: Shigar da wata ƙasa</v>
      </c>
      <c r="J1711" s="172" t="str">
        <f t="shared" ref="J1711:L1711" si="276">$F1711 &amp; ". " &amp;G1711</f>
        <v>253. Enumerator: Enter other country</v>
      </c>
      <c r="K1711" s="172" t="str">
        <f t="shared" si="276"/>
        <v>253. Enquêteur : Entrez un autre pays</v>
      </c>
      <c r="L1711" s="172" t="str">
        <f t="shared" si="276"/>
        <v>253. Ɗan bincike: Shigar da wata ƙasa</v>
      </c>
    </row>
    <row r="1712" hidden="1">
      <c r="A1712" s="188" t="s">
        <v>68</v>
      </c>
      <c r="B1712" s="189" t="s">
        <v>5827</v>
      </c>
      <c r="C1712" s="190"/>
      <c r="D1712" s="190"/>
      <c r="E1712" s="190"/>
    </row>
    <row r="1713" hidden="1">
      <c r="A1713" s="188" t="s">
        <v>68</v>
      </c>
      <c r="B1713" s="189" t="s">
        <v>5828</v>
      </c>
      <c r="C1713" s="190"/>
      <c r="D1713" s="190"/>
      <c r="E1713" s="190"/>
    </row>
    <row r="1714" hidden="1">
      <c r="A1714" s="188" t="s">
        <v>68</v>
      </c>
      <c r="B1714" s="189" t="s">
        <v>5829</v>
      </c>
      <c r="C1714" s="190"/>
      <c r="D1714" s="190"/>
      <c r="E1714" s="190"/>
    </row>
    <row r="1715" hidden="1">
      <c r="A1715" s="188" t="s">
        <v>68</v>
      </c>
      <c r="B1715" s="189" t="s">
        <v>5830</v>
      </c>
      <c r="C1715" s="190"/>
      <c r="D1715" s="190"/>
      <c r="E1715" s="190"/>
    </row>
    <row r="1716" hidden="1">
      <c r="A1716" s="188" t="s">
        <v>68</v>
      </c>
      <c r="B1716" s="189" t="s">
        <v>5831</v>
      </c>
      <c r="C1716" s="190"/>
      <c r="D1716" s="190"/>
      <c r="E1716" s="190"/>
    </row>
    <row r="1717">
      <c r="A1717" s="215" t="s">
        <v>5832</v>
      </c>
      <c r="B1717" s="216" t="s">
        <v>5833</v>
      </c>
      <c r="C1717" s="216" t="s">
        <v>2614</v>
      </c>
      <c r="D1717" s="216" t="s">
        <v>2615</v>
      </c>
      <c r="E1717" s="216" t="s">
        <v>2616</v>
      </c>
      <c r="F1717" s="182">
        <v>254.0</v>
      </c>
      <c r="G1717" s="172" t="str">
        <f>IFERROR(__xludf.DUMMYFUNCTION("TRIM(REGEXREPLACE(C1717, ""[0-9]+[a-f]?\."", """"))"),"Which of these countries are you most interested in moving to?")</f>
        <v>Which of these countries are you most interested in moving to?</v>
      </c>
      <c r="H1717" s="172" t="str">
        <f>IFERROR(__xludf.DUMMYFUNCTION("TRIM(REGEXREPLACE(D1717, ""[0-9]+[a-f]?\."", """"))"),"Dans lequel de ces pays aimeriez-vous le plus migrer ?")</f>
        <v>Dans lequel de ces pays aimeriez-vous le plus migrer ?</v>
      </c>
      <c r="I1717" s="172" t="str">
        <f>IFERROR(__xludf.DUMMYFUNCTION("TRIM(REGEXREPLACE(E1717, ""[0-9]+[a-f]?\."", """"))"),"A cikin waɗannan ƙasashen wanne kuka fi sha'awar zuwa?")</f>
        <v>A cikin waɗannan ƙasashen wanne kuka fi sha'awar zuwa?</v>
      </c>
      <c r="J1717" s="172" t="str">
        <f t="shared" ref="J1717:L1717" si="277">$F1717 &amp; ". " &amp;G1717</f>
        <v>254. Which of these countries are you most interested in moving to?</v>
      </c>
      <c r="K1717" s="172" t="str">
        <f t="shared" si="277"/>
        <v>254. Dans lequel de ces pays aimeriez-vous le plus migrer ?</v>
      </c>
      <c r="L1717" s="172" t="str">
        <f t="shared" si="277"/>
        <v>254. A cikin waɗannan ƙasashen wanne kuka fi sha'awar zuwa?</v>
      </c>
    </row>
    <row r="1718" hidden="1">
      <c r="A1718" s="211" t="s">
        <v>107</v>
      </c>
      <c r="B1718" s="212" t="s">
        <v>5834</v>
      </c>
      <c r="C1718" s="214"/>
      <c r="D1718" s="214"/>
      <c r="E1718" s="214"/>
    </row>
    <row r="1719">
      <c r="A1719" s="207" t="s">
        <v>41</v>
      </c>
      <c r="B1719" s="208" t="s">
        <v>5835</v>
      </c>
      <c r="C1719" s="208" t="s">
        <v>2621</v>
      </c>
      <c r="D1719" s="208" t="s">
        <v>5836</v>
      </c>
      <c r="E1719" s="208" t="s">
        <v>5837</v>
      </c>
      <c r="F1719" s="182">
        <v>255.0</v>
      </c>
      <c r="G1719" s="172" t="str">
        <f>IFERROR(__xludf.DUMMYFUNCTION("TRIM(REGEXREPLACE(C1719, ""[0-9]+[a-f]?\."", """"))"),"Now I'd like to ask you about the individuals you contacted in the countries you are interested in migrating to.")</f>
        <v>Now I'd like to ask you about the individuals you contacted in the countries you are interested in migrating to.</v>
      </c>
      <c r="H1719" s="172" t="str">
        <f>IFERROR(__xludf.DUMMYFUNCTION("TRIM(REGEXREPLACE(D1719, ""[0-9]+[a-f]?\."", """"))"),"J'aimerais maintenant vous poser des questions sur les personnes que vous avez contactées dans les pays vers lesquels vous souhaitez migrer.")</f>
        <v>J'aimerais maintenant vous poser des questions sur les personnes que vous avez contactées dans les pays vers lesquels vous souhaitez migrer.</v>
      </c>
      <c r="I1719" s="172" t="str">
        <f>IFERROR(__xludf.DUMMYFUNCTION("TRIM(REGEXREPLACE(E1719, ""[0-9]+[a-f]?\."", """"))"),"Yanzu ina so in tambaye ku game da mutanen da kuka tuntuɓa a ƙasashen da kuke sha'awar zuwa.")</f>
        <v>Yanzu ina so in tambaye ku game da mutanen da kuka tuntuɓa a ƙasashen da kuke sha'awar zuwa.</v>
      </c>
      <c r="J1719" s="172" t="str">
        <f t="shared" ref="J1719:L1719" si="278">$F1719 &amp; ". " &amp;G1719</f>
        <v>255. Now I'd like to ask you about the individuals you contacted in the countries you are interested in migrating to.</v>
      </c>
      <c r="K1719" s="172" t="str">
        <f t="shared" si="278"/>
        <v>255. J'aimerais maintenant vous poser des questions sur les personnes que vous avez contactées dans les pays vers lesquels vous souhaitez migrer.</v>
      </c>
      <c r="L1719" s="172" t="str">
        <f t="shared" si="278"/>
        <v>255. Yanzu ina so in tambaye ku game da mutanen da kuka tuntuɓa a ƙasashen da kuke sha'awar zuwa.</v>
      </c>
    </row>
    <row r="1720" hidden="1">
      <c r="A1720" s="188" t="s">
        <v>68</v>
      </c>
      <c r="B1720" s="189" t="s">
        <v>5838</v>
      </c>
      <c r="C1720" s="190"/>
      <c r="D1720" s="190"/>
      <c r="E1720" s="190"/>
    </row>
    <row r="1721" hidden="1">
      <c r="A1721" s="188" t="s">
        <v>68</v>
      </c>
      <c r="B1721" s="189" t="s">
        <v>5839</v>
      </c>
      <c r="C1721" s="190"/>
      <c r="D1721" s="190"/>
      <c r="E1721" s="190"/>
    </row>
    <row r="1722" hidden="1">
      <c r="A1722" s="188" t="s">
        <v>68</v>
      </c>
      <c r="B1722" s="189" t="s">
        <v>5840</v>
      </c>
      <c r="C1722" s="190"/>
      <c r="D1722" s="190"/>
      <c r="E1722" s="190"/>
    </row>
    <row r="1723">
      <c r="A1723" s="215" t="s">
        <v>3423</v>
      </c>
      <c r="B1723" s="216" t="s">
        <v>5841</v>
      </c>
      <c r="C1723" s="216" t="s">
        <v>2633</v>
      </c>
      <c r="D1723" s="216" t="s">
        <v>2634</v>
      </c>
      <c r="E1723" s="216" t="s">
        <v>2635</v>
      </c>
      <c r="F1723" s="182">
        <v>256.0</v>
      </c>
      <c r="G1723" s="172" t="str">
        <f>IFERROR(__xludf.DUMMYFUNCTION("TRIM(REGEXREPLACE(C1723, ""[0-9]+[a-f]?\."", """"))"),"${pm_contact_lab}")</f>
        <v>${pm_contact_lab}</v>
      </c>
      <c r="H1723" s="172" t="str">
        <f>IFERROR(__xludf.DUMMYFUNCTION("TRIM(REGEXREPLACE(D1723, ""[0-9]+[a-f]?\."", """"))"),"${pm_contact_lab_fr}")</f>
        <v>${pm_contact_lab_fr}</v>
      </c>
      <c r="I1723" s="172" t="str">
        <f>IFERROR(__xludf.DUMMYFUNCTION("TRIM(REGEXREPLACE(E1723, ""[0-9]+[a-f]?\."", """"))"),"${pm_contact_lab_ha}")</f>
        <v>${pm_contact_lab_ha}</v>
      </c>
      <c r="J1723" s="172" t="str">
        <f t="shared" ref="J1723:L1723" si="279">$F1723 &amp; ". " &amp;G1723</f>
        <v>256. ${pm_contact_lab}</v>
      </c>
      <c r="K1723" s="172" t="str">
        <f t="shared" si="279"/>
        <v>256. ${pm_contact_lab_fr}</v>
      </c>
      <c r="L1723" s="172" t="str">
        <f t="shared" si="279"/>
        <v>256. ${pm_contact_lab_ha}</v>
      </c>
    </row>
    <row r="1724">
      <c r="A1724" s="215" t="s">
        <v>5842</v>
      </c>
      <c r="B1724" s="216" t="s">
        <v>5843</v>
      </c>
      <c r="C1724" s="216" t="s">
        <v>2637</v>
      </c>
      <c r="D1724" s="216" t="s">
        <v>2638</v>
      </c>
      <c r="E1724" s="216" t="s">
        <v>2639</v>
      </c>
      <c r="F1724" s="182">
        <v>257.0</v>
      </c>
      <c r="G1724" s="172" t="str">
        <f>IFERROR(__xludf.DUMMYFUNCTION("TRIM(REGEXREPLACE(C1724, ""[0-9]+[a-f]?\."", """"))"),"In which countries that you indicated you wanted to go to have you contacted people?")</f>
        <v>In which countries that you indicated you wanted to go to have you contacted people?</v>
      </c>
      <c r="H1724" s="172" t="str">
        <f>IFERROR(__xludf.DUMMYFUNCTION("TRIM(REGEXREPLACE(D1724, ""[0-9]+[a-f]?\."", """"))"),"Dans quels pays dont avez-vous indiqué vouloir vous rendre où vous avez contacté des gens ?")</f>
        <v>Dans quels pays dont avez-vous indiqué vouloir vous rendre où vous avez contacté des gens ?</v>
      </c>
      <c r="I1724" s="172" t="str">
        <f>IFERROR(__xludf.DUMMYFUNCTION("TRIM(REGEXREPLACE(E1724, ""[0-9]+[a-f]?\."", """"))"),"A waɗanne ƙasashe da ka nuna kana son zuwa ka tuntuɓi mutane?")</f>
        <v>A waɗanne ƙasashe da ka nuna kana son zuwa ka tuntuɓi mutane?</v>
      </c>
      <c r="J1724" s="172" t="str">
        <f t="shared" ref="J1724:L1724" si="280">$F1724 &amp; ". " &amp;G1724</f>
        <v>257. In which countries that you indicated you wanted to go to have you contacted people?</v>
      </c>
      <c r="K1724" s="172" t="str">
        <f t="shared" si="280"/>
        <v>257. Dans quels pays dont avez-vous indiqué vouloir vous rendre où vous avez contacté des gens ?</v>
      </c>
      <c r="L1724" s="172" t="str">
        <f t="shared" si="280"/>
        <v>257. A waɗanne ƙasashe da ka nuna kana son zuwa ka tuntuɓi mutane?</v>
      </c>
    </row>
    <row r="1725">
      <c r="A1725" s="215" t="s">
        <v>5824</v>
      </c>
      <c r="B1725" s="216" t="s">
        <v>5844</v>
      </c>
      <c r="C1725" s="216" t="s">
        <v>2641</v>
      </c>
      <c r="D1725" s="216" t="s">
        <v>2642</v>
      </c>
      <c r="E1725" s="216" t="s">
        <v>5845</v>
      </c>
      <c r="F1725" s="182">
        <v>258.0</v>
      </c>
      <c r="G1725" s="172" t="str">
        <f>IFERROR(__xludf.DUMMYFUNCTION("TRIM(REGEXREPLACE(C1725, ""[0-9]+[a-f]?\."", """"))"),"Please select the countries you have contacted people in:")</f>
        <v>Please select the countries you have contacted people in:</v>
      </c>
      <c r="H1725" s="172" t="str">
        <f>IFERROR(__xludf.DUMMYFUNCTION("TRIM(REGEXREPLACE(D1725, ""[0-9]+[a-f]?\."", """"))"),"Veuillez sélectionner les pays dans lesquels vous avez contacté des personnes :")</f>
        <v>Veuillez sélectionner les pays dans lesquels vous avez contacté des personnes :</v>
      </c>
      <c r="I1725" s="172" t="str">
        <f>IFERROR(__xludf.DUMMYFUNCTION("TRIM(REGEXREPLACE(E1725, ""[0-9]+[a-f]?\."", """"))"),"Da fatan za ka zaɓi ƙasashen da ka tuntuɓi mutane :")</f>
        <v>Da fatan za ka zaɓi ƙasashen da ka tuntuɓi mutane :</v>
      </c>
      <c r="J1725" s="172" t="str">
        <f t="shared" ref="J1725:L1725" si="281">$F1725 &amp; ". " &amp;G1725</f>
        <v>258. Please select the countries you have contacted people in:</v>
      </c>
      <c r="K1725" s="172" t="str">
        <f t="shared" si="281"/>
        <v>258. Veuillez sélectionner les pays dans lesquels vous avez contacté des personnes :</v>
      </c>
      <c r="L1725" s="172" t="str">
        <f t="shared" si="281"/>
        <v>258. Da fatan za ka zaɓi ƙasashen da ka tuntuɓi mutane :</v>
      </c>
    </row>
    <row r="1726">
      <c r="A1726" s="246" t="s">
        <v>231</v>
      </c>
      <c r="B1726" s="247" t="s">
        <v>5846</v>
      </c>
      <c r="C1726" s="247" t="s">
        <v>2645</v>
      </c>
      <c r="D1726" s="247" t="s">
        <v>2646</v>
      </c>
      <c r="E1726" s="247" t="s">
        <v>5847</v>
      </c>
      <c r="F1726" s="182">
        <v>259.0</v>
      </c>
      <c r="G1726" s="172" t="str">
        <f>IFERROR(__xludf.DUMMYFUNCTION("TRIM(REGEXREPLACE(C1726, ""[0-9]+[a-f]?\."", """"))"),"Other, specify:")</f>
        <v>Other, specify:</v>
      </c>
      <c r="H1726" s="172" t="str">
        <f>IFERROR(__xludf.DUMMYFUNCTION("TRIM(REGEXREPLACE(D1726, ""[0-9]+[a-f]?\."", """"))"),"Autre précisez:")</f>
        <v>Autre précisez:</v>
      </c>
      <c r="I1726" s="172" t="str">
        <f>IFERROR(__xludf.DUMMYFUNCTION("TRIM(REGEXREPLACE(E1726, ""[0-9]+[a-f]?\."", """"))"),"Wani daban, baiyana:")</f>
        <v>Wani daban, baiyana:</v>
      </c>
      <c r="J1726" s="172" t="str">
        <f t="shared" ref="J1726:L1726" si="282">$F1726 &amp; ". " &amp;G1726</f>
        <v>259. Other, specify:</v>
      </c>
      <c r="K1726" s="172" t="str">
        <f t="shared" si="282"/>
        <v>259. Autre précisez:</v>
      </c>
      <c r="L1726" s="172" t="str">
        <f t="shared" si="282"/>
        <v>259. Wani daban, baiyana:</v>
      </c>
    </row>
    <row r="1727">
      <c r="A1727" s="215" t="s">
        <v>5848</v>
      </c>
      <c r="B1727" s="216" t="s">
        <v>5849</v>
      </c>
      <c r="C1727" s="216" t="s">
        <v>2649</v>
      </c>
      <c r="D1727" s="216" t="s">
        <v>2650</v>
      </c>
      <c r="E1727" s="216" t="s">
        <v>5850</v>
      </c>
      <c r="F1727" s="182">
        <v>260.0</v>
      </c>
      <c r="G1727" s="172" t="str">
        <f>IFERROR(__xludf.DUMMYFUNCTION("TRIM(REGEXREPLACE(C1727, ""[0-9]+[a-f]?\."", """"))"),"What did you ask your contacts about?")</f>
        <v>What did you ask your contacts about?</v>
      </c>
      <c r="H1727" s="172" t="str">
        <f>IFERROR(__xludf.DUMMYFUNCTION("TRIM(REGEXREPLACE(D1727, ""[0-9]+[a-f]?\."", """"))"),"Sur quoi avez-vous interrogé vos contacts ?")</f>
        <v>Sur quoi avez-vous interrogé vos contacts ?</v>
      </c>
      <c r="I1727" s="172" t="str">
        <f>IFERROR(__xludf.DUMMYFUNCTION("TRIM(REGEXREPLACE(E1727, ""[0-9]+[a-f]?\."", """"))"),"Menene ka tambayi wanda ka tuntuɓa?")</f>
        <v>Menene ka tambayi wanda ka tuntuɓa?</v>
      </c>
      <c r="J1727" s="172" t="str">
        <f t="shared" ref="J1727:L1727" si="283">$F1727 &amp; ". " &amp;G1727</f>
        <v>260. What did you ask your contacts about?</v>
      </c>
      <c r="K1727" s="172" t="str">
        <f t="shared" si="283"/>
        <v>260. Sur quoi avez-vous interrogé vos contacts ?</v>
      </c>
      <c r="L1727" s="172" t="str">
        <f t="shared" si="283"/>
        <v>260. Menene ka tambayi wanda ka tuntuɓa?</v>
      </c>
    </row>
    <row r="1728">
      <c r="A1728" s="246" t="s">
        <v>231</v>
      </c>
      <c r="B1728" s="247" t="s">
        <v>5851</v>
      </c>
      <c r="C1728" s="247" t="s">
        <v>2653</v>
      </c>
      <c r="D1728" s="247" t="s">
        <v>2654</v>
      </c>
      <c r="E1728" s="247" t="s">
        <v>5852</v>
      </c>
      <c r="F1728" s="182">
        <v>261.0</v>
      </c>
      <c r="G1728" s="172" t="str">
        <f>IFERROR(__xludf.DUMMYFUNCTION("TRIM(REGEXREPLACE(C1728, ""[0-9]+[a-f]?\."", """"))"),"Other, specify:")</f>
        <v>Other, specify:</v>
      </c>
      <c r="H1728" s="172" t="str">
        <f>IFERROR(__xludf.DUMMYFUNCTION("TRIM(REGEXREPLACE(D1728, ""[0-9]+[a-f]?\."", """"))"),"Autre précisez:")</f>
        <v>Autre précisez:</v>
      </c>
      <c r="I1728" s="172" t="str">
        <f>IFERROR(__xludf.DUMMYFUNCTION("TRIM(REGEXREPLACE(E1728, ""[0-9]+[a-f]?\."", """"))"),"Wani daban, baiyana:")</f>
        <v>Wani daban, baiyana:</v>
      </c>
      <c r="J1728" s="172" t="str">
        <f t="shared" ref="J1728:L1728" si="284">$F1728 &amp; ". " &amp;G1728</f>
        <v>261. Other, specify:</v>
      </c>
      <c r="K1728" s="172" t="str">
        <f t="shared" si="284"/>
        <v>261. Autre précisez:</v>
      </c>
      <c r="L1728" s="172" t="str">
        <f t="shared" si="284"/>
        <v>261. Wani daban, baiyana:</v>
      </c>
    </row>
    <row r="1729">
      <c r="A1729" s="215" t="s">
        <v>5853</v>
      </c>
      <c r="B1729" s="216" t="s">
        <v>5854</v>
      </c>
      <c r="C1729" s="216" t="s">
        <v>2657</v>
      </c>
      <c r="D1729" s="216" t="s">
        <v>2658</v>
      </c>
      <c r="E1729" s="216" t="s">
        <v>5855</v>
      </c>
      <c r="F1729" s="182">
        <v>262.0</v>
      </c>
      <c r="G1729" s="172" t="str">
        <f>IFERROR(__xludf.DUMMYFUNCTION("TRIM(REGEXREPLACE(C1729, ""[0-9]+[a-f]?\."", """"))"),"Did your interaction with your contacts encourage or discourage you from migration?")</f>
        <v>Did your interaction with your contacts encourage or discourage you from migration?</v>
      </c>
      <c r="H1729" s="172" t="str">
        <f>IFERROR(__xludf.DUMMYFUNCTION("TRIM(REGEXREPLACE(D1729, ""[0-9]+[a-f]?\."", """"))"),"Votre interaction avec vos contacts vous a-t-elle encouragé ou découragé à migrer ?")</f>
        <v>Votre interaction avec vos contacts vous a-t-elle encouragé ou découragé à migrer ?</v>
      </c>
      <c r="I1729" s="172" t="str">
        <f>IFERROR(__xludf.DUMMYFUNCTION("TRIM(REGEXREPLACE(E1729, ""[0-9]+[a-f]?\."", """"))"),"Ko hirar da ku ka yi da wanda kuka tuntuɓa ta ƙarfafa muka gwiwa ko ta hana ka zuwa biɗa?")</f>
        <v>Ko hirar da ku ka yi da wanda kuka tuntuɓa ta ƙarfafa muka gwiwa ko ta hana ka zuwa biɗa?</v>
      </c>
      <c r="J1729" s="172" t="str">
        <f t="shared" ref="J1729:L1729" si="285">$F1729 &amp; ". " &amp;G1729</f>
        <v>262. Did your interaction with your contacts encourage or discourage you from migration?</v>
      </c>
      <c r="K1729" s="172" t="str">
        <f t="shared" si="285"/>
        <v>262. Votre interaction avec vos contacts vous a-t-elle encouragé ou découragé à migrer ?</v>
      </c>
      <c r="L1729" s="172" t="str">
        <f t="shared" si="285"/>
        <v>262. Ko hirar da ku ka yi da wanda kuka tuntuɓa ta ƙarfafa muka gwiwa ko ta hana ka zuwa biɗa?</v>
      </c>
    </row>
    <row r="1730">
      <c r="A1730" s="215" t="s">
        <v>5856</v>
      </c>
      <c r="B1730" s="216" t="s">
        <v>5857</v>
      </c>
      <c r="C1730" s="216" t="s">
        <v>2661</v>
      </c>
      <c r="D1730" s="216" t="s">
        <v>2662</v>
      </c>
      <c r="E1730" s="216" t="s">
        <v>2663</v>
      </c>
      <c r="F1730" s="182">
        <v>263.0</v>
      </c>
      <c r="G1730" s="172" t="str">
        <f>IFERROR(__xludf.DUMMYFUNCTION("TRIM(REGEXREPLACE(C1730, ""[0-9]+[a-f]?\."", """"))"),"What did you learn from your contacts that discouraged you to migrate?")</f>
        <v>What did you learn from your contacts that discouraged you to migrate?</v>
      </c>
      <c r="H1730" s="172" t="str">
        <f>IFERROR(__xludf.DUMMYFUNCTION("TRIM(REGEXREPLACE(D1730, ""[0-9]+[a-f]?\."", """"))"),"Qu'avez-vous appris de vos contacts qui vous ont découragé à migrer ?")</f>
        <v>Qu'avez-vous appris de vos contacts qui vous ont découragé à migrer ?</v>
      </c>
      <c r="I1730" s="172" t="str">
        <f>IFERROR(__xludf.DUMMYFUNCTION("TRIM(REGEXREPLACE(E1730, ""[0-9]+[a-f]?\."", """"))"),"Wane labari ka samo daga abokan hulɗar ku da ya hana ka zuwa biɗa?")</f>
        <v>Wane labari ka samo daga abokan hulɗar ku da ya hana ka zuwa biɗa?</v>
      </c>
      <c r="J1730" s="172" t="str">
        <f t="shared" ref="J1730:L1730" si="286">$F1730 &amp; ". " &amp;G1730</f>
        <v>263. What did you learn from your contacts that discouraged you to migrate?</v>
      </c>
      <c r="K1730" s="172" t="str">
        <f t="shared" si="286"/>
        <v>263. Qu'avez-vous appris de vos contacts qui vous ont découragé à migrer ?</v>
      </c>
      <c r="L1730" s="172" t="str">
        <f t="shared" si="286"/>
        <v>263. Wane labari ka samo daga abokan hulɗar ku da ya hana ka zuwa biɗa?</v>
      </c>
    </row>
    <row r="1731">
      <c r="A1731" s="246" t="s">
        <v>231</v>
      </c>
      <c r="B1731" s="247" t="s">
        <v>5858</v>
      </c>
      <c r="C1731" s="247" t="s">
        <v>2665</v>
      </c>
      <c r="D1731" s="247" t="s">
        <v>2666</v>
      </c>
      <c r="E1731" s="247" t="s">
        <v>5859</v>
      </c>
      <c r="F1731" s="182">
        <v>264.0</v>
      </c>
      <c r="G1731" s="172" t="str">
        <f>IFERROR(__xludf.DUMMYFUNCTION("TRIM(REGEXREPLACE(C1731, ""[0-9]+[a-f]?\."", """"))"),"Other, specify:")</f>
        <v>Other, specify:</v>
      </c>
      <c r="H1731" s="172" t="str">
        <f>IFERROR(__xludf.DUMMYFUNCTION("TRIM(REGEXREPLACE(D1731, ""[0-9]+[a-f]?\."", """"))"),"Autre précisez:")</f>
        <v>Autre précisez:</v>
      </c>
      <c r="I1731" s="172" t="str">
        <f>IFERROR(__xludf.DUMMYFUNCTION("TRIM(REGEXREPLACE(E1731, ""[0-9]+[a-f]?\."", """"))"),"Wani daban, baiyana:")</f>
        <v>Wani daban, baiyana:</v>
      </c>
      <c r="J1731" s="172" t="str">
        <f t="shared" ref="J1731:L1731" si="287">$F1731 &amp; ". " &amp;G1731</f>
        <v>264. Other, specify:</v>
      </c>
      <c r="K1731" s="172" t="str">
        <f t="shared" si="287"/>
        <v>264. Autre précisez:</v>
      </c>
      <c r="L1731" s="172" t="str">
        <f t="shared" si="287"/>
        <v>264. Wani daban, baiyana:</v>
      </c>
    </row>
    <row r="1732">
      <c r="A1732" s="215" t="s">
        <v>5860</v>
      </c>
      <c r="B1732" s="216" t="s">
        <v>5861</v>
      </c>
      <c r="C1732" s="216" t="s">
        <v>2669</v>
      </c>
      <c r="D1732" s="216" t="s">
        <v>2670</v>
      </c>
      <c r="E1732" s="216" t="s">
        <v>2671</v>
      </c>
      <c r="F1732" s="182">
        <v>265.0</v>
      </c>
      <c r="G1732" s="172" t="str">
        <f>IFERROR(__xludf.DUMMYFUNCTION("TRIM(REGEXREPLACE(C1732, ""[0-9]+[a-f]?\."", """"))"),"What did you learn from your contacts that encouraged you to migrate?")</f>
        <v>What did you learn from your contacts that encouraged you to migrate?</v>
      </c>
      <c r="H1732" s="172" t="str">
        <f>IFERROR(__xludf.DUMMYFUNCTION("TRIM(REGEXREPLACE(D1732, ""[0-9]+[a-f]?\."", """"))"),"Qu'avez-vous appris de vos contacts qui vous ont encouragé à migrer ?")</f>
        <v>Qu'avez-vous appris de vos contacts qui vous ont encouragé à migrer ?</v>
      </c>
      <c r="I1732" s="172" t="str">
        <f>IFERROR(__xludf.DUMMYFUNCTION("TRIM(REGEXREPLACE(E1732, ""[0-9]+[a-f]?\."", """"))"),"Wane labari ka samo daga abokan hulɗar ku wanda ya ƙarfafa muka gwiwa zuwa biɗa?")</f>
        <v>Wane labari ka samo daga abokan hulɗar ku wanda ya ƙarfafa muka gwiwa zuwa biɗa?</v>
      </c>
      <c r="J1732" s="172" t="str">
        <f t="shared" ref="J1732:L1732" si="288">$F1732 &amp; ". " &amp;G1732</f>
        <v>265. What did you learn from your contacts that encouraged you to migrate?</v>
      </c>
      <c r="K1732" s="172" t="str">
        <f t="shared" si="288"/>
        <v>265. Qu'avez-vous appris de vos contacts qui vous ont encouragé à migrer ?</v>
      </c>
      <c r="L1732" s="172" t="str">
        <f t="shared" si="288"/>
        <v>265. Wane labari ka samo daga abokan hulɗar ku wanda ya ƙarfafa muka gwiwa zuwa biɗa?</v>
      </c>
    </row>
    <row r="1733">
      <c r="A1733" s="246" t="s">
        <v>231</v>
      </c>
      <c r="B1733" s="247" t="s">
        <v>5862</v>
      </c>
      <c r="C1733" s="247" t="s">
        <v>2673</v>
      </c>
      <c r="D1733" s="247" t="s">
        <v>2674</v>
      </c>
      <c r="E1733" s="247" t="s">
        <v>5863</v>
      </c>
      <c r="F1733" s="182">
        <v>266.0</v>
      </c>
      <c r="G1733" s="172" t="str">
        <f>IFERROR(__xludf.DUMMYFUNCTION("TRIM(REGEXREPLACE(C1733, ""[0-9]+[a-f]?\."", """"))"),"Other, specify:")</f>
        <v>Other, specify:</v>
      </c>
      <c r="H1733" s="172" t="str">
        <f>IFERROR(__xludf.DUMMYFUNCTION("TRIM(REGEXREPLACE(D1733, ""[0-9]+[a-f]?\."", """"))"),"Autre précisez:")</f>
        <v>Autre précisez:</v>
      </c>
      <c r="I1733" s="172" t="str">
        <f>IFERROR(__xludf.DUMMYFUNCTION("TRIM(REGEXREPLACE(E1733, ""[0-9]+[a-f]?\."", """"))"),"wani daban, baiyani:")</f>
        <v>wani daban, baiyani:</v>
      </c>
      <c r="J1733" s="172" t="str">
        <f t="shared" ref="J1733:L1733" si="289">$F1733 &amp; ". " &amp;G1733</f>
        <v>266. Other, specify:</v>
      </c>
      <c r="K1733" s="172" t="str">
        <f t="shared" si="289"/>
        <v>266. Autre précisez:</v>
      </c>
      <c r="L1733" s="172" t="str">
        <f t="shared" si="289"/>
        <v>266. wani daban, baiyani:</v>
      </c>
    </row>
    <row r="1734" hidden="1">
      <c r="A1734" s="211" t="s">
        <v>238</v>
      </c>
      <c r="B1734" s="224" t="s">
        <v>5834</v>
      </c>
      <c r="C1734" s="225"/>
      <c r="D1734" s="225"/>
      <c r="E1734" s="225"/>
    </row>
    <row r="1735" hidden="1">
      <c r="A1735" s="269"/>
      <c r="B1735" s="270"/>
      <c r="C1735" s="270"/>
      <c r="D1735" s="270"/>
      <c r="E1735" s="270"/>
    </row>
    <row r="1736">
      <c r="A1736" s="215" t="s">
        <v>3423</v>
      </c>
      <c r="B1736" s="216" t="s">
        <v>5864</v>
      </c>
      <c r="C1736" s="216" t="s">
        <v>2683</v>
      </c>
      <c r="D1736" s="216" t="s">
        <v>2684</v>
      </c>
      <c r="E1736" s="216" t="s">
        <v>2685</v>
      </c>
      <c r="F1736" s="182">
        <v>267.0</v>
      </c>
      <c r="G1736" s="172" t="str">
        <f>IFERROR(__xludf.DUMMYFUNCTION("TRIM(REGEXREPLACE(C1736, ""[0-9]+[a-f]?\."", """"))"),"Think about the next three months, starting from today. Do you plan to move somewhere other than ${pm_current_location} and remain there for more than a month?")</f>
        <v>Think about the next three months, starting from today. Do you plan to move somewhere other than ${pm_current_location} and remain there for more than a month?</v>
      </c>
      <c r="H1736" s="172" t="str">
        <f>IFERROR(__xludf.DUMMYFUNCTION("TRIM(REGEXREPLACE(D1736, ""[0-9]+[a-f]?\."", """"))"),"Pensez aux trois prochains mois, à partir d’aujourd’hui. Envisagez-vous d'aller ailleurs que ${pm_current_location} et d'y rester plus d'un mois ?")</f>
        <v>Pensez aux trois prochains mois, à partir d’aujourd’hui. Envisagez-vous d'aller ailleurs que ${pm_current_location} et d'y rester plus d'un mois ?</v>
      </c>
      <c r="I1736" s="172" t="str">
        <f>IFERROR(__xludf.DUMMYFUNCTION("TRIM(REGEXREPLACE(E1736, ""[0-9]+[a-f]?\."", """"))"),"Ku tuna da watanni uku masu zuwa, daga yau. Ko kuna shirin zuwa wani wuri ${pm_current_location} kuma ku zauna a can sama da wata ɗaya?")</f>
        <v>Ku tuna da watanni uku masu zuwa, daga yau. Ko kuna shirin zuwa wani wuri ${pm_current_location} kuma ku zauna a can sama da wata ɗaya?</v>
      </c>
      <c r="J1736" s="172" t="str">
        <f t="shared" ref="J1736:L1736" si="290">$F1736 &amp; ". " &amp;G1736</f>
        <v>267. Think about the next three months, starting from today. Do you plan to move somewhere other than ${pm_current_location} and remain there for more than a month?</v>
      </c>
      <c r="K1736" s="172" t="str">
        <f t="shared" si="290"/>
        <v>267. Pensez aux trois prochains mois, à partir d’aujourd’hui. Envisagez-vous d'aller ailleurs que ${pm_current_location} et d'y rester plus d'un mois ?</v>
      </c>
      <c r="L1736" s="172" t="str">
        <f t="shared" si="290"/>
        <v>267. Ku tuna da watanni uku masu zuwa, daga yau. Ko kuna shirin zuwa wani wuri ${pm_current_location} kuma ku zauna a can sama da wata ɗaya?</v>
      </c>
    </row>
    <row r="1737">
      <c r="A1737" s="215" t="s">
        <v>3423</v>
      </c>
      <c r="B1737" s="216" t="s">
        <v>5865</v>
      </c>
      <c r="C1737" s="216" t="s">
        <v>2687</v>
      </c>
      <c r="D1737" s="216" t="s">
        <v>2688</v>
      </c>
      <c r="E1737" s="216" t="s">
        <v>2689</v>
      </c>
      <c r="F1737" s="182">
        <v>268.0</v>
      </c>
      <c r="G1737" s="172" t="str">
        <f>IFERROR(__xludf.DUMMYFUNCTION("TRIM(REGEXREPLACE(C1737, ""[0-9]+[a-f]?\."", """"))"),"Think about the next year, starting with the upcoming harvest season. Do you plan to move somewhere other than where you are now for more than one month?")</f>
        <v>Think about the next year, starting with the upcoming harvest season. Do you plan to move somewhere other than where you are now for more than one month?</v>
      </c>
      <c r="H1737" s="172" t="str">
        <f>IFERROR(__xludf.DUMMYFUNCTION("TRIM(REGEXREPLACE(D1737, ""[0-9]+[a-f]?\."", """"))"),"Pensez à l'année prochaine, à commencer par la prochaine saison de récolte. Vous prévoyez de vous déplacer ailleurs que là où vous êtes maintenant depuis plus d'un mois?")</f>
        <v>Pensez à l'année prochaine, à commencer par la prochaine saison de récolte. Vous prévoyez de vous déplacer ailleurs que là où vous êtes maintenant depuis plus d'un mois?</v>
      </c>
      <c r="I1737" s="172" t="str">
        <f>IFERROR(__xludf.DUMMYFUNCTION("TRIM(REGEXREPLACE(E1737, ""[0-9]+[a-f]?\."", """"))"),"Ku tuna da shekara mai zuwa, fara da lokacin kaka mai zuwa. Ko kuna shirin zuwa wani wuri daban ba inda kake zaune a yanzu ba fiye da wata ɗaya?")</f>
        <v>Ku tuna da shekara mai zuwa, fara da lokacin kaka mai zuwa. Ko kuna shirin zuwa wani wuri daban ba inda kake zaune a yanzu ba fiye da wata ɗaya?</v>
      </c>
      <c r="J1737" s="172" t="str">
        <f t="shared" ref="J1737:L1737" si="291">$F1737 &amp; ". " &amp;G1737</f>
        <v>268. Think about the next year, starting with the upcoming harvest season. Do you plan to move somewhere other than where you are now for more than one month?</v>
      </c>
      <c r="K1737" s="172" t="str">
        <f t="shared" si="291"/>
        <v>268. Pensez à l'année prochaine, à commencer par la prochaine saison de récolte. Vous prévoyez de vous déplacer ailleurs que là où vous êtes maintenant depuis plus d'un mois?</v>
      </c>
      <c r="L1737" s="172" t="str">
        <f t="shared" si="291"/>
        <v>268. Ku tuna da shekara mai zuwa, fara da lokacin kaka mai zuwa. Ko kuna shirin zuwa wani wuri daban ba inda kake zaune a yanzu ba fiye da wata ɗaya?</v>
      </c>
    </row>
    <row r="1738" hidden="1">
      <c r="A1738" s="188" t="s">
        <v>68</v>
      </c>
      <c r="B1738" s="189" t="s">
        <v>5866</v>
      </c>
      <c r="C1738" s="190"/>
      <c r="D1738" s="190"/>
      <c r="E1738" s="190"/>
    </row>
    <row r="1739" hidden="1">
      <c r="A1739" s="188" t="s">
        <v>68</v>
      </c>
      <c r="B1739" s="189" t="s">
        <v>5867</v>
      </c>
      <c r="C1739" s="190"/>
      <c r="D1739" s="190"/>
      <c r="E1739" s="190"/>
    </row>
    <row r="1740" hidden="1">
      <c r="A1740" s="188" t="s">
        <v>68</v>
      </c>
      <c r="B1740" s="189" t="s">
        <v>5868</v>
      </c>
      <c r="C1740" s="190"/>
      <c r="D1740" s="190"/>
      <c r="E1740" s="190"/>
    </row>
    <row r="1741">
      <c r="A1741" s="207" t="s">
        <v>41</v>
      </c>
      <c r="B1741" s="208" t="s">
        <v>5869</v>
      </c>
      <c r="C1741" s="208" t="s">
        <v>5870</v>
      </c>
      <c r="D1741" s="208" t="s">
        <v>5871</v>
      </c>
      <c r="E1741" s="208" t="s">
        <v>5872</v>
      </c>
      <c r="F1741" s="182">
        <v>269.0</v>
      </c>
      <c r="G1741" s="172" t="str">
        <f>IFERROR(__xludf.DUMMYFUNCTION("TRIM(REGEXREPLACE(C1741, ""[0-9]+[a-f]?\."", """"))"),"If you migrate in ${pm_mig_length_lab}, what is your intended destination? 
 Enumerator: Probe if in Niger or another country")</f>
        <v>If you migrate in ${pm_mig_length_lab}, what is your intended destination? 
 Enumerator: Probe if in Niger or another country</v>
      </c>
      <c r="H1741" s="172" t="str">
        <f>IFERROR(__xludf.DUMMYFUNCTION("TRIM(REGEXREPLACE(D1741, ""[0-9]+[a-f]?\."", """"))"),"« Si vous migrez ${pm_mig_length_lab_fr}, quelle est votre destination prévue ?
 Agent enquêteur : Sondez si vous êtes au Niger ou dans un autre pays »")</f>
        <v>« Si vous migrez ${pm_mig_length_lab_fr}, quelle est votre destination prévue ?
 Agent enquêteur : Sondez si vous êtes au Niger ou dans un autre pays »</v>
      </c>
      <c r="I1741" s="172" t="str">
        <f>IFERROR(__xludf.DUMMYFUNCTION("TRIM(REGEXREPLACE(E1741, ""[0-9]+[a-f]?\."", """"))"),"Idan zaku yi tahiya ${pm_mig_length_lab_hausa}, ina ne kuke nufin zuwa?
 Mai bincike: Bincika idan a Nijar ne ko a wata ƙasa.")</f>
        <v>Idan zaku yi tahiya ${pm_mig_length_lab_hausa}, ina ne kuke nufin zuwa?
 Mai bincike: Bincika idan a Nijar ne ko a wata ƙasa.</v>
      </c>
      <c r="J1741" s="172" t="str">
        <f t="shared" ref="J1741:L1741" si="292">$F1741 &amp; ". " &amp;G1741</f>
        <v>269. If you migrate in ${pm_mig_length_lab}, what is your intended destination? 
 Enumerator: Probe if in Niger or another country</v>
      </c>
      <c r="K1741" s="172" t="str">
        <f t="shared" si="292"/>
        <v>269. « Si vous migrez ${pm_mig_length_lab_fr}, quelle est votre destination prévue ?
 Agent enquêteur : Sondez si vous êtes au Niger ou dans un autre pays »</v>
      </c>
      <c r="L1741" s="172" t="str">
        <f t="shared" si="292"/>
        <v>269. Idan zaku yi tahiya ${pm_mig_length_lab_hausa}, ina ne kuke nufin zuwa?
 Mai bincike: Bincika idan a Nijar ne ko a wata ƙasa.</v>
      </c>
    </row>
    <row r="1742">
      <c r="A1742" s="215" t="s">
        <v>5873</v>
      </c>
      <c r="B1742" s="216" t="s">
        <v>5874</v>
      </c>
      <c r="C1742" s="216" t="s">
        <v>2704</v>
      </c>
      <c r="D1742" s="216" t="s">
        <v>2705</v>
      </c>
      <c r="E1742" s="216" t="s">
        <v>2706</v>
      </c>
      <c r="F1742" s="182">
        <v>270.0</v>
      </c>
      <c r="G1742" s="172" t="str">
        <f>IFERROR(__xludf.DUMMYFUNCTION("TRIM(REGEXREPLACE(C1742, ""[0-9]+[a-f]?\."", """"))"),"What is the name of the country you would move to?")</f>
        <v>What is the name of the country you would move to?</v>
      </c>
      <c r="H1742" s="172" t="str">
        <f>IFERROR(__xludf.DUMMYFUNCTION("TRIM(REGEXREPLACE(D1742, ""[0-9]+[a-f]?\."", """"))"),"Quel est le nom du pays dans lequel vous migreriez ?")</f>
        <v>Quel est le nom du pays dans lequel vous migreriez ?</v>
      </c>
      <c r="I1742" s="172" t="str">
        <f>IFERROR(__xludf.DUMMYFUNCTION("TRIM(REGEXREPLACE(E1742, ""[0-9]+[a-f]?\."", """"))"),"Menene sunan ƙasar da kuke nufin zuwa?")</f>
        <v>Menene sunan ƙasar da kuke nufin zuwa?</v>
      </c>
      <c r="J1742" s="172" t="str">
        <f t="shared" ref="J1742:L1742" si="293">$F1742 &amp; ". " &amp;G1742</f>
        <v>270. What is the name of the country you would move to?</v>
      </c>
      <c r="K1742" s="172" t="str">
        <f t="shared" si="293"/>
        <v>270. Quel est le nom du pays dans lequel vous migreriez ?</v>
      </c>
      <c r="L1742" s="172" t="str">
        <f t="shared" si="293"/>
        <v>270. Menene sunan ƙasar da kuke nufin zuwa?</v>
      </c>
    </row>
    <row r="1743">
      <c r="A1743" s="215" t="s">
        <v>481</v>
      </c>
      <c r="B1743" s="216" t="s">
        <v>5875</v>
      </c>
      <c r="C1743" s="216" t="s">
        <v>2708</v>
      </c>
      <c r="D1743" s="216" t="s">
        <v>2709</v>
      </c>
      <c r="E1743" s="216" t="s">
        <v>2710</v>
      </c>
      <c r="F1743" s="182">
        <v>271.0</v>
      </c>
      <c r="G1743" s="172" t="str">
        <f>IFERROR(__xludf.DUMMYFUNCTION("TRIM(REGEXREPLACE(C1743, ""[0-9]+[a-f]?\."", """"))"),"Where in Niger would you move?")</f>
        <v>Where in Niger would you move?</v>
      </c>
      <c r="H1743" s="172" t="str">
        <f>IFERROR(__xludf.DUMMYFUNCTION("TRIM(REGEXREPLACE(D1743, ""[0-9]+[a-f]?\."", """"))"),"Où migreriez-vous au Niger ?")</f>
        <v>Où migreriez-vous au Niger ?</v>
      </c>
      <c r="I1743" s="172" t="str">
        <f>IFERROR(__xludf.DUMMYFUNCTION("TRIM(REGEXREPLACE(E1743, ""[0-9]+[a-f]?\."", """"))"),"Ina za ku je a Nijar?")</f>
        <v>Ina za ku je a Nijar?</v>
      </c>
      <c r="J1743" s="172" t="str">
        <f t="shared" ref="J1743:L1743" si="294">$F1743 &amp; ". " &amp;G1743</f>
        <v>271. Where in Niger would you move?</v>
      </c>
      <c r="K1743" s="172" t="str">
        <f t="shared" si="294"/>
        <v>271. Où migreriez-vous au Niger ?</v>
      </c>
      <c r="L1743" s="172" t="str">
        <f t="shared" si="294"/>
        <v>271. Ina za ku je a Nijar?</v>
      </c>
    </row>
    <row r="1744">
      <c r="A1744" s="215" t="s">
        <v>508</v>
      </c>
      <c r="B1744" s="216" t="s">
        <v>5876</v>
      </c>
      <c r="C1744" s="216" t="s">
        <v>2712</v>
      </c>
      <c r="D1744" s="216" t="s">
        <v>2713</v>
      </c>
      <c r="E1744" s="216" t="s">
        <v>5877</v>
      </c>
      <c r="F1744" s="182">
        <v>272.0</v>
      </c>
      <c r="G1744" s="172" t="str">
        <f>IFERROR(__xludf.DUMMYFUNCTION("TRIM(REGEXREPLACE(C1744, ""[0-9]+[a-f]?\."", """"))"),"What is the name of the town you would move to?")</f>
        <v>What is the name of the town you would move to?</v>
      </c>
      <c r="H1744" s="172" t="str">
        <f>IFERROR(__xludf.DUMMYFUNCTION("TRIM(REGEXREPLACE(D1744, ""[0-9]+[a-f]?\."", """"))"),"Quel est le nom de la ville dans laquelle vous migreriez ?")</f>
        <v>Quel est le nom de la ville dans laquelle vous migreriez ?</v>
      </c>
      <c r="I1744" s="172" t="str">
        <f>IFERROR(__xludf.DUMMYFUNCTION("TRIM(REGEXREPLACE(E1744, ""[0-9]+[a-f]?\."", """"))"),"Menene sunan garin da zaku je?")</f>
        <v>Menene sunan garin da zaku je?</v>
      </c>
      <c r="J1744" s="172" t="str">
        <f t="shared" ref="J1744:L1744" si="295">$F1744 &amp; ". " &amp;G1744</f>
        <v>272. What is the name of the town you would move to?</v>
      </c>
      <c r="K1744" s="172" t="str">
        <f t="shared" si="295"/>
        <v>272. Quel est le nom de la ville dans laquelle vous migreriez ?</v>
      </c>
      <c r="L1744" s="172" t="str">
        <f t="shared" si="295"/>
        <v>272. Menene sunan garin da zaku je?</v>
      </c>
    </row>
    <row r="1745">
      <c r="A1745" s="246" t="s">
        <v>231</v>
      </c>
      <c r="B1745" s="247" t="s">
        <v>5878</v>
      </c>
      <c r="C1745" s="247" t="s">
        <v>2716</v>
      </c>
      <c r="D1745" s="247" t="s">
        <v>2717</v>
      </c>
      <c r="E1745" s="247" t="s">
        <v>5879</v>
      </c>
      <c r="F1745" s="182">
        <v>273.0</v>
      </c>
      <c r="G1745" s="172" t="str">
        <f>IFERROR(__xludf.DUMMYFUNCTION("TRIM(REGEXREPLACE(C1745, ""[0-9]+[a-f]?\."", """"))"),"Other, specify:")</f>
        <v>Other, specify:</v>
      </c>
      <c r="H1745" s="172" t="str">
        <f>IFERROR(__xludf.DUMMYFUNCTION("TRIM(REGEXREPLACE(D1745, ""[0-9]+[a-f]?\."", """"))"),"Autre précisez:")</f>
        <v>Autre précisez:</v>
      </c>
      <c r="I1745" s="172" t="str">
        <f>IFERROR(__xludf.DUMMYFUNCTION("TRIM(REGEXREPLACE(E1745, ""[0-9]+[a-f]?\."", """"))"),"Wani daban, baiyana:")</f>
        <v>Wani daban, baiyana:</v>
      </c>
      <c r="J1745" s="172" t="str">
        <f t="shared" ref="J1745:L1745" si="296">$F1745 &amp; ". " &amp;G1745</f>
        <v>273. Other, specify:</v>
      </c>
      <c r="K1745" s="172" t="str">
        <f t="shared" si="296"/>
        <v>273. Autre précisez:</v>
      </c>
      <c r="L1745" s="172" t="str">
        <f t="shared" si="296"/>
        <v>273. Wani daban, baiyana:</v>
      </c>
    </row>
    <row r="1746" hidden="1">
      <c r="A1746" s="188" t="s">
        <v>68</v>
      </c>
      <c r="B1746" s="189" t="s">
        <v>5880</v>
      </c>
      <c r="C1746" s="190"/>
      <c r="D1746" s="190"/>
      <c r="E1746" s="190"/>
    </row>
    <row r="1747" hidden="1">
      <c r="A1747" s="188" t="s">
        <v>68</v>
      </c>
      <c r="B1747" s="189" t="s">
        <v>5881</v>
      </c>
      <c r="C1747" s="190"/>
      <c r="D1747" s="190"/>
      <c r="E1747" s="190"/>
    </row>
    <row r="1748">
      <c r="A1748" s="215" t="s">
        <v>5882</v>
      </c>
      <c r="B1748" s="216" t="s">
        <v>5883</v>
      </c>
      <c r="C1748" s="216" t="s">
        <v>2726</v>
      </c>
      <c r="D1748" s="216" t="s">
        <v>2727</v>
      </c>
      <c r="E1748" s="216" t="s">
        <v>2728</v>
      </c>
      <c r="F1748" s="182">
        <v>274.0</v>
      </c>
      <c r="G1748" s="172" t="str">
        <f>IFERROR(__xludf.DUMMYFUNCTION("TRIM(REGEXREPLACE(C1748, ""[0-9]+[a-f]?\."", """"))"),"If you decide to migrate, when would you plan to leave ${pm_current_location}?")</f>
        <v>If you decide to migrate, when would you plan to leave ${pm_current_location}?</v>
      </c>
      <c r="H1748" s="172" t="str">
        <f>IFERROR(__xludf.DUMMYFUNCTION("TRIM(REGEXREPLACE(D1748, ""[0-9]+[a-f]?\."", """"))"),"Si vous décidez de migrer, quand comptez-vous quitter votre domicile ?")</f>
        <v>Si vous décidez de migrer, quand comptez-vous quitter votre domicile ?</v>
      </c>
      <c r="I1748" s="172" t="str">
        <f>IFERROR(__xludf.DUMMYFUNCTION("TRIM(REGEXREPLACE(E1748, ""[0-9]+[a-f]?\."", """"))"),"Idan kun yanke shawarar zuwa bida, yaushe kuke ganin za ku barin gida?")</f>
        <v>Idan kun yanke shawarar zuwa bida, yaushe kuke ganin za ku barin gida?</v>
      </c>
      <c r="J1748" s="172" t="str">
        <f t="shared" ref="J1748:L1748" si="297">$F1748 &amp; ". " &amp;G1748</f>
        <v>274. If you decide to migrate, when would you plan to leave ${pm_current_location}?</v>
      </c>
      <c r="K1748" s="172" t="str">
        <f t="shared" si="297"/>
        <v>274. Si vous décidez de migrer, quand comptez-vous quitter votre domicile ?</v>
      </c>
      <c r="L1748" s="172" t="str">
        <f t="shared" si="297"/>
        <v>274. Idan kun yanke shawarar zuwa bida, yaushe kuke ganin za ku barin gida?</v>
      </c>
    </row>
    <row r="1749">
      <c r="A1749" s="253" t="s">
        <v>246</v>
      </c>
      <c r="B1749" s="254" t="s">
        <v>5884</v>
      </c>
      <c r="C1749" s="254" t="s">
        <v>2730</v>
      </c>
      <c r="D1749" s="254" t="s">
        <v>2731</v>
      </c>
      <c r="E1749" s="254" t="s">
        <v>2732</v>
      </c>
      <c r="F1749" s="182">
        <v>275.0</v>
      </c>
      <c r="G1749" s="172" t="str">
        <f>IFERROR(__xludf.DUMMYFUNCTION("TRIM(REGEXREPLACE(C1749, ""[0-9]+[a-f]?\."", """"))"),"If you decide to migrate, how long would you plan to stay at your destination (in months)?")</f>
        <v>If you decide to migrate, how long would you plan to stay at your destination (in months)?</v>
      </c>
      <c r="H1749" s="172" t="str">
        <f>IFERROR(__xludf.DUMMYFUNCTION("TRIM(REGEXREPLACE(D1749, ""[0-9]+[a-f]?\."", """"))"),"Si vous décidez de migrer, combien de temps prévoyez-vous de rester à destination (en mois) ?")</f>
        <v>Si vous décidez de migrer, combien de temps prévoyez-vous de rester à destination (en mois) ?</v>
      </c>
      <c r="I1749" s="172" t="str">
        <f>IFERROR(__xludf.DUMMYFUNCTION("TRIM(REGEXREPLACE(E1749, ""[0-9]+[a-f]?\."", """"))"),"Idan kun yi niyyar yin tahiya, tsawon wane lokaci kuke nufin zama a inda kuka je (a cikin watanni)?")</f>
        <v>Idan kun yi niyyar yin tahiya, tsawon wane lokaci kuke nufin zama a inda kuka je (a cikin watanni)?</v>
      </c>
      <c r="J1749" s="172" t="str">
        <f t="shared" ref="J1749:L1749" si="298">$F1749 &amp; ". " &amp;G1749</f>
        <v>275. If you decide to migrate, how long would you plan to stay at your destination (in months)?</v>
      </c>
      <c r="K1749" s="172" t="str">
        <f t="shared" si="298"/>
        <v>275. Si vous décidez de migrer, combien de temps prévoyez-vous de rester à destination (en mois) ?</v>
      </c>
      <c r="L1749" s="172" t="str">
        <f t="shared" si="298"/>
        <v>275. Idan kun yi niyyar yin tahiya, tsawon wane lokaci kuke nufin zama a inda kuka je (a cikin watanni)?</v>
      </c>
    </row>
    <row r="1750" hidden="1">
      <c r="A1750" s="188" t="s">
        <v>118</v>
      </c>
      <c r="B1750" s="279" t="s">
        <v>5885</v>
      </c>
      <c r="C1750" s="190"/>
      <c r="D1750" s="190"/>
      <c r="E1750" s="190"/>
    </row>
    <row r="1751" hidden="1">
      <c r="A1751" s="188" t="s">
        <v>68</v>
      </c>
      <c r="B1751" s="279" t="s">
        <v>5886</v>
      </c>
      <c r="C1751" s="190"/>
      <c r="D1751" s="290"/>
      <c r="E1751" s="290"/>
    </row>
    <row r="1752" hidden="1">
      <c r="A1752" s="172"/>
      <c r="B1752" s="174"/>
      <c r="C1752" s="174"/>
      <c r="D1752" s="174"/>
      <c r="E1752" s="174"/>
    </row>
    <row r="1753" hidden="1">
      <c r="A1753" s="188" t="s">
        <v>118</v>
      </c>
      <c r="B1753" s="279" t="s">
        <v>5887</v>
      </c>
      <c r="C1753" s="190"/>
      <c r="D1753" s="190"/>
      <c r="E1753" s="190"/>
    </row>
    <row r="1754">
      <c r="A1754" s="215" t="s">
        <v>5888</v>
      </c>
      <c r="B1754" s="216" t="s">
        <v>5889</v>
      </c>
      <c r="C1754" s="216" t="s">
        <v>2746</v>
      </c>
      <c r="D1754" s="216" t="s">
        <v>2747</v>
      </c>
      <c r="E1754" s="216" t="s">
        <v>5890</v>
      </c>
      <c r="F1754" s="182">
        <v>276.0</v>
      </c>
      <c r="G1754" s="172" t="str">
        <f>IFERROR(__xludf.DUMMYFUNCTION("TRIM(REGEXREPLACE(C1754, ""[0-9]+[a-f]?\."", """"))"),"What are the potential risks of migrating for the average migrant?")</f>
        <v>What are the potential risks of migrating for the average migrant?</v>
      </c>
      <c r="H1754" s="172" t="str">
        <f>IFERROR(__xludf.DUMMYFUNCTION("TRIM(REGEXREPLACE(D1754, ""[0-9]+[a-f]?\."", """"))"),"Quels sont les risques potentiels de la migration pour le migrant moyen ?")</f>
        <v>Quels sont les risques potentiels de la migration pour le migrant moyen ?</v>
      </c>
      <c r="I1754" s="172" t="str">
        <f>IFERROR(__xludf.DUMMYFUNCTION("TRIM(REGEXREPLACE(E1754, ""[0-9]+[a-f]?\."", """"))"),"Menene haɗarin zuwa biɗa ga matsaƙaicin ƙarhi?")</f>
        <v>Menene haɗarin zuwa biɗa ga matsaƙaicin ƙarhi?</v>
      </c>
      <c r="J1754" s="172" t="str">
        <f t="shared" ref="J1754:L1754" si="299">$F1754 &amp; ". " &amp;G1754</f>
        <v>276. What are the potential risks of migrating for the average migrant?</v>
      </c>
      <c r="K1754" s="172" t="str">
        <f t="shared" si="299"/>
        <v>276. Quels sont les risques potentiels de la migration pour le migrant moyen ?</v>
      </c>
      <c r="L1754" s="172" t="str">
        <f t="shared" si="299"/>
        <v>276. Menene haɗarin zuwa biɗa ga matsaƙaicin ƙarhi?</v>
      </c>
    </row>
    <row r="1755">
      <c r="A1755" s="215" t="s">
        <v>5891</v>
      </c>
      <c r="B1755" s="216" t="s">
        <v>5892</v>
      </c>
      <c r="C1755" s="216" t="s">
        <v>2750</v>
      </c>
      <c r="D1755" s="216" t="s">
        <v>2751</v>
      </c>
      <c r="E1755" s="216" t="s">
        <v>2752</v>
      </c>
      <c r="F1755" s="182">
        <v>277.0</v>
      </c>
      <c r="G1755" s="172" t="str">
        <f>IFERROR(__xludf.DUMMYFUNCTION("TRIM(REGEXREPLACE(C1755, ""[0-9]+[a-f]?\."", """"))"),"What are some things that you could do to mitigate some of the risks associated with traveling to a neighboring country to find work?")</f>
        <v>What are some things that you could do to mitigate some of the risks associated with traveling to a neighboring country to find work?</v>
      </c>
      <c r="H1755" s="172" t="str">
        <f>IFERROR(__xludf.DUMMYFUNCTION("TRIM(REGEXREPLACE(D1755, ""[0-9]+[a-f]?\."", """"))"),"Quelles mesures pourriez-vous prendre pour atténuer certains des risques associés au voyage dans un pays voisin pour trouver du travail ?")</f>
        <v>Quelles mesures pourriez-vous prendre pour atténuer certains des risques associés au voyage dans un pays voisin pour trouver du travail ?</v>
      </c>
      <c r="I1755" s="172" t="str">
        <f>IFERROR(__xludf.DUMMYFUNCTION("TRIM(REGEXREPLACE(E1755, ""[0-9]+[a-f]?\."", """"))"),"Wadanne abubuwa ne za ka iya yi don rage wasu haɗurran da ke tattare da balaguro zuwa makwabciyar ƙasa don neman aiki?")</f>
        <v>Wadanne abubuwa ne za ka iya yi don rage wasu haɗurran da ke tattare da balaguro zuwa makwabciyar ƙasa don neman aiki?</v>
      </c>
      <c r="J1755" s="172" t="str">
        <f t="shared" ref="J1755:L1755" si="300">$F1755 &amp; ". " &amp;G1755</f>
        <v>277. What are some things that you could do to mitigate some of the risks associated with traveling to a neighboring country to find work?</v>
      </c>
      <c r="K1755" s="172" t="str">
        <f t="shared" si="300"/>
        <v>277. Quelles mesures pourriez-vous prendre pour atténuer certains des risques associés au voyage dans un pays voisin pour trouver du travail ?</v>
      </c>
      <c r="L1755" s="172" t="str">
        <f t="shared" si="300"/>
        <v>277. Wadanne abubuwa ne za ka iya yi don rage wasu haɗurran da ke tattare da balaguro zuwa makwabciyar ƙasa don neman aiki?</v>
      </c>
    </row>
    <row r="1756" hidden="1">
      <c r="A1756" s="188" t="s">
        <v>118</v>
      </c>
      <c r="B1756" s="279" t="s">
        <v>5893</v>
      </c>
      <c r="C1756" s="190"/>
      <c r="D1756" s="190"/>
      <c r="E1756" s="190"/>
    </row>
    <row r="1757" hidden="1">
      <c r="A1757" s="188" t="s">
        <v>68</v>
      </c>
      <c r="B1757" s="279" t="s">
        <v>5894</v>
      </c>
      <c r="C1757" s="190"/>
      <c r="D1757" s="290"/>
      <c r="E1757" s="290"/>
    </row>
    <row r="1758" hidden="1">
      <c r="A1758" s="172"/>
      <c r="B1758" s="172"/>
      <c r="C1758" s="172"/>
      <c r="D1758" s="172"/>
      <c r="E1758" s="172"/>
    </row>
    <row r="1759">
      <c r="A1759" s="207" t="s">
        <v>41</v>
      </c>
      <c r="B1759" s="208" t="s">
        <v>5895</v>
      </c>
      <c r="C1759" s="208" t="s">
        <v>2763</v>
      </c>
      <c r="D1759" s="208" t="s">
        <v>2764</v>
      </c>
      <c r="E1759" s="208" t="s">
        <v>2765</v>
      </c>
      <c r="F1759" s="182">
        <v>278.0</v>
      </c>
      <c r="G1759" s="172" t="str">
        <f>IFERROR(__xludf.DUMMYFUNCTION("TRIM(REGEXREPLACE(C1759, ""[0-9]+[a-f]?\."", """"))"),"I am going to ask you now about other things you may have done during ${period}.")</f>
        <v>I am going to ask you now about other things you may have done during ${period}.</v>
      </c>
      <c r="H1759" s="172" t="str">
        <f>IFERROR(__xludf.DUMMYFUNCTION("TRIM(REGEXREPLACE(D1759, ""[0-9]+[a-f]?\."", """"))"),"Je vais maintenant vous poser des questions sur d'autres choses que vous avez pu faire de ${period_french}.")</f>
        <v>Je vais maintenant vous poser des questions sur d'autres choses que vous avez pu faire de ${period_french}.</v>
      </c>
      <c r="I1759" s="172" t="str">
        <f>IFERROR(__xludf.DUMMYFUNCTION("TRIM(REGEXREPLACE(E1759, ""[0-9]+[a-f]?\."", """"))"),"Yanzu zan tambaye ku game da wasu abubuwan da ka samu damar yi a lokacin ${period_hausa}.")</f>
        <v>Yanzu zan tambaye ku game da wasu abubuwan da ka samu damar yi a lokacin ${period_hausa}.</v>
      </c>
      <c r="J1759" s="172" t="str">
        <f t="shared" ref="J1759:L1759" si="301">$F1759 &amp; ". " &amp;G1759</f>
        <v>278. I am going to ask you now about other things you may have done during ${period}.</v>
      </c>
      <c r="K1759" s="172" t="str">
        <f t="shared" si="301"/>
        <v>278. Je vais maintenant vous poser des questions sur d'autres choses que vous avez pu faire de ${period_french}.</v>
      </c>
      <c r="L1759" s="172" t="str">
        <f t="shared" si="301"/>
        <v>278. Yanzu zan tambaye ku game da wasu abubuwan da ka samu damar yi a lokacin ${period_hausa}.</v>
      </c>
    </row>
    <row r="1760">
      <c r="A1760" s="215" t="s">
        <v>353</v>
      </c>
      <c r="B1760" s="216" t="s">
        <v>5896</v>
      </c>
      <c r="C1760" s="216" t="s">
        <v>2767</v>
      </c>
      <c r="D1760" s="216" t="s">
        <v>2768</v>
      </c>
      <c r="E1760" s="216" t="s">
        <v>2769</v>
      </c>
      <c r="F1760" s="182">
        <v>279.0</v>
      </c>
      <c r="G1760" s="172" t="str">
        <f>IFERROR(__xludf.DUMMYFUNCTION("TRIM(REGEXREPLACE(C1760, ""[0-9]+[a-f]?\."", """"))"),"During ${period}, did you participate in any training to learn a new language?")</f>
        <v>During ${period}, did you participate in any training to learn a new language?</v>
      </c>
      <c r="H1760" s="172" t="str">
        <f>IFERROR(__xludf.DUMMYFUNCTION("TRIM(REGEXREPLACE(D1760, ""[0-9]+[a-f]?\."", """"))"),"Au cours la période de ${period_french}, avez-vous participé à une formation pour apprendre une nouvelle langue ?")</f>
        <v>Au cours la période de ${period_french}, avez-vous participé à une formation pour apprendre une nouvelle langue ?</v>
      </c>
      <c r="I1760" s="172" t="str">
        <f>IFERROR(__xludf.DUMMYFUNCTION("TRIM(REGEXREPLACE(E1760, ""[0-9]+[a-f]?\."", """"))"),"A lokacin ${period_hausa}, kun halarci wani horo don koyon wani sabon yare/harshe?")</f>
        <v>A lokacin ${period_hausa}, kun halarci wani horo don koyon wani sabon yare/harshe?</v>
      </c>
      <c r="J1760" s="172" t="str">
        <f t="shared" ref="J1760:L1760" si="302">$F1760 &amp; ". " &amp;G1760</f>
        <v>279. During ${period}, did you participate in any training to learn a new language?</v>
      </c>
      <c r="K1760" s="172" t="str">
        <f t="shared" si="302"/>
        <v>279. Au cours la période de ${period_french}, avez-vous participé à une formation pour apprendre une nouvelle langue ?</v>
      </c>
      <c r="L1760" s="172" t="str">
        <f t="shared" si="302"/>
        <v>279. A lokacin ${period_hausa}, kun halarci wani horo don koyon wani sabon yare/harshe?</v>
      </c>
    </row>
    <row r="1761">
      <c r="A1761" s="215" t="s">
        <v>5897</v>
      </c>
      <c r="B1761" s="216" t="s">
        <v>5898</v>
      </c>
      <c r="C1761" s="216" t="s">
        <v>2771</v>
      </c>
      <c r="D1761" s="216" t="s">
        <v>2772</v>
      </c>
      <c r="E1761" s="216" t="s">
        <v>2773</v>
      </c>
      <c r="F1761" s="182">
        <v>280.0</v>
      </c>
      <c r="G1761" s="172" t="str">
        <f>IFERROR(__xludf.DUMMYFUNCTION("TRIM(REGEXREPLACE(C1761, ""[0-9]+[a-f]?\."", """"))"),"What language did you train in?")</f>
        <v>What language did you train in?</v>
      </c>
      <c r="H1761" s="172" t="str">
        <f>IFERROR(__xludf.DUMMYFUNCTION("TRIM(REGEXREPLACE(D1761, ""[0-9]+[a-f]?\."", """"))"),"Dans quelle langue avez-vous été formé ?")</f>
        <v>Dans quelle langue avez-vous été formé ?</v>
      </c>
      <c r="I1761" s="172" t="str">
        <f>IFERROR(__xludf.DUMMYFUNCTION("TRIM(REGEXREPLACE(E1761, ""[0-9]+[a-f]?\."", """"))"),"A cikin wane yare ne aka horar da ku ?")</f>
        <v>A cikin wane yare ne aka horar da ku ?</v>
      </c>
      <c r="J1761" s="172" t="str">
        <f t="shared" ref="J1761:L1761" si="303">$F1761 &amp; ". " &amp;G1761</f>
        <v>280. What language did you train in?</v>
      </c>
      <c r="K1761" s="172" t="str">
        <f t="shared" si="303"/>
        <v>280. Dans quelle langue avez-vous été formé ?</v>
      </c>
      <c r="L1761" s="172" t="str">
        <f t="shared" si="303"/>
        <v>280. A cikin wane yare ne aka horar da ku ?</v>
      </c>
    </row>
    <row r="1762">
      <c r="A1762" s="246" t="s">
        <v>231</v>
      </c>
      <c r="B1762" s="247" t="s">
        <v>5899</v>
      </c>
      <c r="C1762" s="247" t="s">
        <v>2775</v>
      </c>
      <c r="D1762" s="247" t="s">
        <v>2776</v>
      </c>
      <c r="E1762" s="247" t="s">
        <v>2777</v>
      </c>
      <c r="F1762" s="182">
        <v>281.0</v>
      </c>
      <c r="G1762" s="172" t="str">
        <f>IFERROR(__xludf.DUMMYFUNCTION("TRIM(REGEXREPLACE(C1762, ""[0-9]+[a-f]?\."", """"))"),"Specify other")</f>
        <v>Specify other</v>
      </c>
      <c r="H1762" s="172" t="str">
        <f>IFERROR(__xludf.DUMMYFUNCTION("TRIM(REGEXREPLACE(D1762, ""[0-9]+[a-f]?\."", """"))"),"Autre à Préciser")</f>
        <v>Autre à Préciser</v>
      </c>
      <c r="I1762" s="172" t="str">
        <f>IFERROR(__xludf.DUMMYFUNCTION("TRIM(REGEXREPLACE(E1762, ""[0-9]+[a-f]?\."", """"))"),"Wani daban a baiyana")</f>
        <v>Wani daban a baiyana</v>
      </c>
      <c r="J1762" s="172" t="str">
        <f t="shared" ref="J1762:L1762" si="304">$F1762 &amp; ". " &amp;G1762</f>
        <v>281. Specify other</v>
      </c>
      <c r="K1762" s="172" t="str">
        <f t="shared" si="304"/>
        <v>281. Autre à Préciser</v>
      </c>
      <c r="L1762" s="172" t="str">
        <f t="shared" si="304"/>
        <v>281. Wani daban a baiyana</v>
      </c>
    </row>
    <row r="1763">
      <c r="A1763" s="253" t="s">
        <v>246</v>
      </c>
      <c r="B1763" s="254" t="s">
        <v>5900</v>
      </c>
      <c r="C1763" s="254" t="s">
        <v>2779</v>
      </c>
      <c r="D1763" s="254" t="s">
        <v>2780</v>
      </c>
      <c r="E1763" s="254" t="s">
        <v>2781</v>
      </c>
      <c r="F1763" s="182">
        <v>282.0</v>
      </c>
      <c r="G1763" s="172" t="str">
        <f>IFERROR(__xludf.DUMMYFUNCTION("TRIM(REGEXREPLACE(C1763, ""[0-9]+[a-f]?\."", """"))"),"How much did you have to pay for this training?")</f>
        <v>How much did you have to pay for this training?</v>
      </c>
      <c r="H1763" s="172" t="str">
        <f>IFERROR(__xludf.DUMMYFUNCTION("TRIM(REGEXREPLACE(D1763, ""[0-9]+[a-f]?\."", """"))"),"Combien avez-vous dû payer pour cette formation ?")</f>
        <v>Combien avez-vous dû payer pour cette formation ?</v>
      </c>
      <c r="I1763" s="172" t="str">
        <f>IFERROR(__xludf.DUMMYFUNCTION("TRIM(REGEXREPLACE(E1763, ""[0-9]+[a-f]?\."", """"))"),"Nawa kuka biya don wannan horon?")</f>
        <v>Nawa kuka biya don wannan horon?</v>
      </c>
      <c r="J1763" s="172" t="str">
        <f t="shared" ref="J1763:L1763" si="305">$F1763 &amp; ". " &amp;G1763</f>
        <v>282. How much did you have to pay for this training?</v>
      </c>
      <c r="K1763" s="172" t="str">
        <f t="shared" si="305"/>
        <v>282. Combien avez-vous dû payer pour cette formation ?</v>
      </c>
      <c r="L1763" s="172" t="str">
        <f t="shared" si="305"/>
        <v>282. Nawa kuka biya don wannan horon?</v>
      </c>
    </row>
    <row r="1764">
      <c r="A1764" s="215" t="s">
        <v>353</v>
      </c>
      <c r="B1764" s="216" t="s">
        <v>5901</v>
      </c>
      <c r="C1764" s="216" t="s">
        <v>2783</v>
      </c>
      <c r="D1764" s="216" t="s">
        <v>2784</v>
      </c>
      <c r="E1764" s="216" t="s">
        <v>2785</v>
      </c>
      <c r="F1764" s="182">
        <v>283.0</v>
      </c>
      <c r="G1764" s="172" t="str">
        <f>IFERROR(__xludf.DUMMYFUNCTION("TRIM(REGEXREPLACE(C1764, ""[0-9]+[a-f]?\."", """"))"),"During ${period}, did you participate in any form of vocational training or education course?")</f>
        <v>During ${period}, did you participate in any form of vocational training or education course?</v>
      </c>
      <c r="H1764" s="172" t="str">
        <f>IFERROR(__xludf.DUMMYFUNCTION("TRIM(REGEXREPLACE(D1764, ""[0-9]+[a-f]?\."", """"))"),"Au cours de la période de ${period_french}, avez-vous participé à une forme quelconque de formation professionnelle ou de cours ?")</f>
        <v>Au cours de la période de ${period_french}, avez-vous participé à une forme quelconque de formation professionnelle ou de cours ?</v>
      </c>
      <c r="I1764" s="172" t="str">
        <f>IFERROR(__xludf.DUMMYFUNCTION("TRIM(REGEXREPLACE(E1764, ""[0-9]+[a-f]?\."", """"))"),"A lokacin ${period_hausa}, kun shiga wani horo na kwarewa cikin wata sana'a ko wani karatu na ilimi?")</f>
        <v>A lokacin ${period_hausa}, kun shiga wani horo na kwarewa cikin wata sana'a ko wani karatu na ilimi?</v>
      </c>
      <c r="J1764" s="172" t="str">
        <f t="shared" ref="J1764:L1764" si="306">$F1764 &amp; ". " &amp;G1764</f>
        <v>283. During ${period}, did you participate in any form of vocational training or education course?</v>
      </c>
      <c r="K1764" s="172" t="str">
        <f t="shared" si="306"/>
        <v>283. Au cours de la période de ${period_french}, avez-vous participé à une forme quelconque de formation professionnelle ou de cours ?</v>
      </c>
      <c r="L1764" s="172" t="str">
        <f t="shared" si="306"/>
        <v>283. A lokacin ${period_hausa}, kun shiga wani horo na kwarewa cikin wata sana'a ko wani karatu na ilimi?</v>
      </c>
    </row>
    <row r="1765">
      <c r="A1765" s="246" t="s">
        <v>231</v>
      </c>
      <c r="B1765" s="247" t="s">
        <v>5902</v>
      </c>
      <c r="C1765" s="247" t="s">
        <v>2787</v>
      </c>
      <c r="D1765" s="247" t="s">
        <v>2788</v>
      </c>
      <c r="E1765" s="247" t="s">
        <v>2789</v>
      </c>
      <c r="F1765" s="182">
        <v>284.0</v>
      </c>
      <c r="G1765" s="172" t="str">
        <f>IFERROR(__xludf.DUMMYFUNCTION("TRIM(REGEXREPLACE(C1765, ""[0-9]+[a-f]?\."", """"))"),"What type of training course(s) did you participate in (e.g. mechanic training, accounting, IT systems)?")</f>
        <v>What type of training course(s) did you participate in (e.g. mechanic training, accounting, IT systems)?</v>
      </c>
      <c r="H1765" s="172" t="str">
        <f>IFERROR(__xludf.DUMMYFUNCTION("TRIM(REGEXREPLACE(D1765, ""[0-9]+[a-f]?\."", """"))"),"À quel(s) type(s) de formation(s) avez-vous participé (par exemple, formation mécanique, comptabilité, systèmes informatiques) ?")</f>
        <v>À quel(s) type(s) de formation(s) avez-vous participé (par exemple, formation mécanique, comptabilité, systèmes informatiques) ?</v>
      </c>
      <c r="I1765" s="172" t="str">
        <f>IFERROR(__xludf.DUMMYFUNCTION("TRIM(REGEXREPLACE(E1765, ""[0-9]+[a-f]?\."", """"))"),"Wane irin horo (s) kuka shiga (misali horon makanikanci, lissafin kuɗi, tsarin IT)?")</f>
        <v>Wane irin horo (s) kuka shiga (misali horon makanikanci, lissafin kuɗi, tsarin IT)?</v>
      </c>
      <c r="J1765" s="172" t="str">
        <f t="shared" ref="J1765:L1765" si="307">$F1765 &amp; ". " &amp;G1765</f>
        <v>284. What type of training course(s) did you participate in (e.g. mechanic training, accounting, IT systems)?</v>
      </c>
      <c r="K1765" s="172" t="str">
        <f t="shared" si="307"/>
        <v>284. À quel(s) type(s) de formation(s) avez-vous participé (par exemple, formation mécanique, comptabilité, systèmes informatiques) ?</v>
      </c>
      <c r="L1765" s="172" t="str">
        <f t="shared" si="307"/>
        <v>284. Wane irin horo (s) kuka shiga (misali horon makanikanci, lissafin kuɗi, tsarin IT)?</v>
      </c>
    </row>
    <row r="1766">
      <c r="A1766" s="253" t="s">
        <v>246</v>
      </c>
      <c r="B1766" s="254" t="s">
        <v>5903</v>
      </c>
      <c r="C1766" s="254" t="s">
        <v>2791</v>
      </c>
      <c r="D1766" s="254" t="s">
        <v>2792</v>
      </c>
      <c r="E1766" s="254" t="s">
        <v>2793</v>
      </c>
      <c r="F1766" s="182">
        <v>285.0</v>
      </c>
      <c r="G1766" s="172" t="str">
        <f>IFERROR(__xludf.DUMMYFUNCTION("TRIM(REGEXREPLACE(C1766, ""[0-9]+[a-f]?\."", """"))"),"How much did you have to pay for this training?")</f>
        <v>How much did you have to pay for this training?</v>
      </c>
      <c r="H1766" s="172" t="str">
        <f>IFERROR(__xludf.DUMMYFUNCTION("TRIM(REGEXREPLACE(D1766, ""[0-9]+[a-f]?\."", """"))"),"Combien avez-vous dû payer pour cette formation ?")</f>
        <v>Combien avez-vous dû payer pour cette formation ?</v>
      </c>
      <c r="I1766" s="172" t="str">
        <f>IFERROR(__xludf.DUMMYFUNCTION("TRIM(REGEXREPLACE(E1766, ""[0-9]+[a-f]?\."", """"))"),"Nawa kuka biya don wannan horon?")</f>
        <v>Nawa kuka biya don wannan horon?</v>
      </c>
      <c r="J1766" s="172" t="str">
        <f t="shared" ref="J1766:L1766" si="308">$F1766 &amp; ". " &amp;G1766</f>
        <v>285. How much did you have to pay for this training?</v>
      </c>
      <c r="K1766" s="172" t="str">
        <f t="shared" si="308"/>
        <v>285. Combien avez-vous dû payer pour cette formation ?</v>
      </c>
      <c r="L1766" s="172" t="str">
        <f t="shared" si="308"/>
        <v>285. Nawa kuka biya don wannan horon?</v>
      </c>
    </row>
    <row r="1767" hidden="1">
      <c r="A1767" s="310"/>
      <c r="B1767" s="227"/>
      <c r="C1767" s="227"/>
      <c r="D1767" s="227"/>
      <c r="E1767" s="227"/>
    </row>
    <row r="1768" hidden="1">
      <c r="A1768" s="188" t="s">
        <v>118</v>
      </c>
      <c r="B1768" s="279" t="s">
        <v>5904</v>
      </c>
      <c r="C1768" s="190"/>
      <c r="D1768" s="190"/>
      <c r="E1768" s="190"/>
    </row>
    <row r="1769">
      <c r="A1769" s="207" t="s">
        <v>41</v>
      </c>
      <c r="B1769" s="208" t="s">
        <v>5905</v>
      </c>
      <c r="C1769" s="208" t="s">
        <v>2801</v>
      </c>
      <c r="D1769" s="208" t="s">
        <v>2802</v>
      </c>
      <c r="E1769" s="208" t="s">
        <v>2803</v>
      </c>
      <c r="F1769" s="182">
        <v>286.0</v>
      </c>
      <c r="G1769" s="172" t="str">
        <f>IFERROR(__xludf.DUMMYFUNCTION("TRIM(REGEXREPLACE(C1769, ""[0-9]+[a-f]?\."", """"))"),"Now I would like to ask you about different ways you may use money that you earn.")</f>
        <v>Now I would like to ask you about different ways you may use money that you earn.</v>
      </c>
      <c r="H1769" s="172" t="str">
        <f>IFERROR(__xludf.DUMMYFUNCTION("TRIM(REGEXREPLACE(D1769, ""[0-9]+[a-f]?\."", """"))"),"Maintenant, je voudrais vous poser des questions sur les différentes façons dont vous pouvez utiliser l'argent que vous gagnez.")</f>
        <v>Maintenant, je voudrais vous poser des questions sur les différentes façons dont vous pouvez utiliser l'argent que vous gagnez.</v>
      </c>
      <c r="I1769" s="172" t="str">
        <f>IFERROR(__xludf.DUMMYFUNCTION("TRIM(REGEXREPLACE(E1769, ""[0-9]+[a-f]?\."", """"))"),"Yanzu ina so in tambaye ku bisa hanyoyi daban-daban da kuke amfani da su wajen kashe kuɗin da kuke samu.")</f>
        <v>Yanzu ina so in tambaye ku bisa hanyoyi daban-daban da kuke amfani da su wajen kashe kuɗin da kuke samu.</v>
      </c>
      <c r="J1769" s="172" t="str">
        <f t="shared" ref="J1769:L1769" si="309">$F1769 &amp; ". " &amp;G1769</f>
        <v>286. Now I would like to ask you about different ways you may use money that you earn.</v>
      </c>
      <c r="K1769" s="172" t="str">
        <f t="shared" si="309"/>
        <v>286. Maintenant, je voudrais vous poser des questions sur les différentes façons dont vous pouvez utiliser l'argent que vous gagnez.</v>
      </c>
      <c r="L1769" s="172" t="str">
        <f t="shared" si="309"/>
        <v>286. Yanzu ina so in tambaye ku bisa hanyoyi daban-daban da kuke amfani da su wajen kashe kuɗin da kuke samu.</v>
      </c>
    </row>
    <row r="1770">
      <c r="A1770" s="215" t="s">
        <v>5906</v>
      </c>
      <c r="B1770" s="216" t="s">
        <v>5907</v>
      </c>
      <c r="C1770" s="216" t="s">
        <v>2805</v>
      </c>
      <c r="D1770" s="216" t="s">
        <v>2806</v>
      </c>
      <c r="E1770" s="216" t="s">
        <v>5908</v>
      </c>
      <c r="F1770" s="182">
        <v>287.0</v>
      </c>
      <c r="G1770" s="172" t="str">
        <f>IFERROR(__xludf.DUMMYFUNCTION("TRIM(REGEXREPLACE(C1770, ""[0-9]+[a-f]?\."", """"))"),"Do you currently have savings of each of the following types that you have put aside for yourself, separate from your household?")</f>
        <v>Do you currently have savings of each of the following types that you have put aside for yourself, separate from your household?</v>
      </c>
      <c r="H1770" s="172" t="str">
        <f>IFERROR(__xludf.DUMMYFUNCTION("TRIM(REGEXREPLACE(D1770, ""[0-9]+[a-f]?\."", """"))"),"Avez-vous actuellement des économies de chacun des types suivants que vous avez mises de côté pour vous-même, séparément de votre ménage ?")</f>
        <v>Avez-vous actuellement des économies de chacun des types suivants que vous avez mises de côté pour vous-même, séparément de votre ménage ?</v>
      </c>
      <c r="I1770" s="172" t="str">
        <f>IFERROR(__xludf.DUMMYFUNCTION("TRIM(REGEXREPLACE(E1770, ""[0-9]+[a-f]?\."", """"))"),"Ko a halin yanzu kuna da tanadi na kowane irin waɗannan abubuwan da kuka ware don kanku, daban da na gidan ku?")</f>
        <v>Ko a halin yanzu kuna da tanadi na kowane irin waɗannan abubuwan da kuka ware don kanku, daban da na gidan ku?</v>
      </c>
      <c r="J1770" s="172" t="str">
        <f t="shared" ref="J1770:L1770" si="310">$F1770 &amp; ". " &amp;G1770</f>
        <v>287. Do you currently have savings of each of the following types that you have put aside for yourself, separate from your household?</v>
      </c>
      <c r="K1770" s="172" t="str">
        <f t="shared" si="310"/>
        <v>287. Avez-vous actuellement des économies de chacun des types suivants que vous avez mises de côté pour vous-même, séparément de votre ménage ?</v>
      </c>
      <c r="L1770" s="172" t="str">
        <f t="shared" si="310"/>
        <v>287. Ko a halin yanzu kuna da tanadi na kowane irin waɗannan abubuwan da kuka ware don kanku, daban da na gidan ku?</v>
      </c>
    </row>
    <row r="1771">
      <c r="A1771" s="246" t="s">
        <v>231</v>
      </c>
      <c r="B1771" s="247" t="s">
        <v>5909</v>
      </c>
      <c r="C1771" s="247" t="s">
        <v>2809</v>
      </c>
      <c r="D1771" s="247" t="s">
        <v>2810</v>
      </c>
      <c r="E1771" s="247" t="s">
        <v>2811</v>
      </c>
      <c r="F1771" s="182">
        <v>288.0</v>
      </c>
      <c r="G1771" s="172" t="str">
        <f>IFERROR(__xludf.DUMMYFUNCTION("TRIM(REGEXREPLACE(C1771, ""[0-9]+[a-f]?\."", """"))"),"Specify other:")</f>
        <v>Specify other:</v>
      </c>
      <c r="H1771" s="172" t="str">
        <f>IFERROR(__xludf.DUMMYFUNCTION("TRIM(REGEXREPLACE(D1771, ""[0-9]+[a-f]?\."", """"))"),"Autre à préciser")</f>
        <v>Autre à préciser</v>
      </c>
      <c r="I1771" s="172" t="str">
        <f>IFERROR(__xludf.DUMMYFUNCTION("TRIM(REGEXREPLACE(E1771, ""[0-9]+[a-f]?\."", """"))"),"Wani daban a baiyana")</f>
        <v>Wani daban a baiyana</v>
      </c>
      <c r="J1771" s="172" t="str">
        <f t="shared" ref="J1771:L1771" si="311">$F1771 &amp; ". " &amp;G1771</f>
        <v>288. Specify other:</v>
      </c>
      <c r="K1771" s="172" t="str">
        <f t="shared" si="311"/>
        <v>288. Autre à préciser</v>
      </c>
      <c r="L1771" s="172" t="str">
        <f t="shared" si="311"/>
        <v>288. Wani daban a baiyana</v>
      </c>
    </row>
    <row r="1772" hidden="1">
      <c r="A1772" s="255" t="s">
        <v>1042</v>
      </c>
      <c r="B1772" s="256" t="s">
        <v>5910</v>
      </c>
      <c r="C1772" s="256" t="s">
        <v>5911</v>
      </c>
      <c r="D1772" s="256" t="s">
        <v>5912</v>
      </c>
      <c r="E1772" s="256" t="s">
        <v>5913</v>
      </c>
    </row>
    <row r="1773" hidden="1">
      <c r="A1773" s="188" t="s">
        <v>68</v>
      </c>
      <c r="B1773" s="189" t="s">
        <v>5914</v>
      </c>
      <c r="C1773" s="217" t="s">
        <v>5915</v>
      </c>
      <c r="D1773" s="217" t="s">
        <v>5916</v>
      </c>
      <c r="E1773" s="217" t="s">
        <v>5917</v>
      </c>
    </row>
    <row r="1774">
      <c r="A1774" s="253" t="s">
        <v>246</v>
      </c>
      <c r="B1774" s="254" t="s">
        <v>5918</v>
      </c>
      <c r="C1774" s="254" t="s">
        <v>2819</v>
      </c>
      <c r="D1774" s="254" t="s">
        <v>2820</v>
      </c>
      <c r="E1774" s="254" t="s">
        <v>2821</v>
      </c>
      <c r="F1774" s="182">
        <v>289.0</v>
      </c>
      <c r="G1774" s="172" t="str">
        <f>IFERROR(__xludf.DUMMYFUNCTION("TRIM(REGEXREPLACE(C1774, ""[0-9]+[a-f]?\."", """"))"),"Please share with us your best estimate of the value in CFA ${pm_savings_name}")</f>
        <v>Please share with us your best estimate of the value in CFA ${pm_savings_name}</v>
      </c>
      <c r="H1774" s="172" t="str">
        <f>IFERROR(__xludf.DUMMYFUNCTION("TRIM(REGEXREPLACE(D1774, ""[0-9]+[a-f]?\."", """"))"),"Veuillez partager avec nous votre meilleure estimation de la valeur en CFA ${pm_savings_name}")</f>
        <v>Veuillez partager avec nous votre meilleure estimation de la valeur en CFA ${pm_savings_name}</v>
      </c>
      <c r="I1774" s="172" t="str">
        <f>IFERROR(__xludf.DUMMYFUNCTION("TRIM(REGEXREPLACE(E1774, ""[0-9]+[a-f]?\."", """"))"),"Da fatan za ku gaya mana misalin ƙimar kuɗin a CFA ${pm_savings_name}")</f>
        <v>Da fatan za ku gaya mana misalin ƙimar kuɗin a CFA ${pm_savings_name}</v>
      </c>
      <c r="J1774" s="172" t="str">
        <f t="shared" ref="J1774:L1774" si="312">$F1774 &amp; ". " &amp;G1774</f>
        <v>289. Please share with us your best estimate of the value in CFA ${pm_savings_name}</v>
      </c>
      <c r="K1774" s="172" t="str">
        <f t="shared" si="312"/>
        <v>289. Veuillez partager avec nous votre meilleure estimation de la valeur en CFA ${pm_savings_name}</v>
      </c>
      <c r="L1774" s="172" t="str">
        <f t="shared" si="312"/>
        <v>289. Da fatan za ku gaya mana misalin ƙimar kuɗin a CFA ${pm_savings_name}</v>
      </c>
    </row>
    <row r="1775" hidden="1">
      <c r="A1775" s="255" t="s">
        <v>1064</v>
      </c>
      <c r="B1775" s="261" t="s">
        <v>5910</v>
      </c>
      <c r="C1775" s="261" t="s">
        <v>5911</v>
      </c>
      <c r="D1775" s="261" t="s">
        <v>5912</v>
      </c>
      <c r="E1775" s="261" t="s">
        <v>5913</v>
      </c>
    </row>
    <row r="1776">
      <c r="A1776" s="215" t="s">
        <v>353</v>
      </c>
      <c r="B1776" s="273" t="s">
        <v>5919</v>
      </c>
      <c r="C1776" s="216" t="s">
        <v>2826</v>
      </c>
      <c r="D1776" s="216" t="s">
        <v>2827</v>
      </c>
      <c r="E1776" s="216" t="s">
        <v>5920</v>
      </c>
      <c r="F1776" s="182">
        <v>290.0</v>
      </c>
      <c r="G1776" s="172" t="str">
        <f>IFERROR(__xludf.DUMMYFUNCTION("TRIM(REGEXREPLACE(C1776, ""[0-9]+[a-f]?\."", """"))"),"In the past month have you put aside any money for the future?")</f>
        <v>In the past month have you put aside any money for the future?</v>
      </c>
      <c r="H1776" s="172" t="str">
        <f>IFERROR(__xludf.DUMMYFUNCTION("TRIM(REGEXREPLACE(D1776, ""[0-9]+[a-f]?\."", """"))"),"Au cours du mois dernier, avez-vous mis de l'argent de côté pour l'avenir ?")</f>
        <v>Au cours du mois dernier, avez-vous mis de l'argent de côté pour l'avenir ?</v>
      </c>
      <c r="I1776" s="172" t="str">
        <f>IFERROR(__xludf.DUMMYFUNCTION("TRIM(REGEXREPLACE(E1776, ""[0-9]+[a-f]?\."", """"))"),"A cikin watan da ya gabata ko kun yi wata ajiyar kuɗi don gaba?")</f>
        <v>A cikin watan da ya gabata ko kun yi wata ajiyar kuɗi don gaba?</v>
      </c>
      <c r="J1776" s="172" t="str">
        <f t="shared" ref="J1776:L1776" si="313">$F1776 &amp; ". " &amp;G1776</f>
        <v>290. In the past month have you put aside any money for the future?</v>
      </c>
      <c r="K1776" s="172" t="str">
        <f t="shared" si="313"/>
        <v>290. Au cours du mois dernier, avez-vous mis de l'argent de côté pour l'avenir ?</v>
      </c>
      <c r="L1776" s="172" t="str">
        <f t="shared" si="313"/>
        <v>290. A cikin watan da ya gabata ko kun yi wata ajiyar kuɗi don gaba?</v>
      </c>
    </row>
    <row r="1777" hidden="1">
      <c r="A1777" s="188" t="s">
        <v>118</v>
      </c>
      <c r="B1777" s="279" t="s">
        <v>5921</v>
      </c>
      <c r="C1777" s="190"/>
      <c r="D1777" s="190"/>
      <c r="E1777" s="190"/>
    </row>
    <row r="1778" hidden="1">
      <c r="A1778" s="188" t="s">
        <v>68</v>
      </c>
      <c r="B1778" s="279" t="s">
        <v>5922</v>
      </c>
      <c r="C1778" s="190"/>
      <c r="D1778" s="290"/>
      <c r="E1778" s="290"/>
    </row>
    <row r="1779" hidden="1">
      <c r="A1779" s="172"/>
      <c r="B1779" s="174"/>
      <c r="C1779" s="174" t="s">
        <v>52</v>
      </c>
      <c r="D1779" s="174" t="s">
        <v>52</v>
      </c>
      <c r="E1779" s="174" t="s">
        <v>52</v>
      </c>
    </row>
    <row r="1780" hidden="1">
      <c r="A1780" s="188" t="s">
        <v>118</v>
      </c>
      <c r="B1780" s="279" t="s">
        <v>5923</v>
      </c>
      <c r="C1780" s="190"/>
      <c r="D1780" s="190"/>
      <c r="E1780" s="190"/>
    </row>
    <row r="1781" hidden="1">
      <c r="A1781" s="211" t="s">
        <v>107</v>
      </c>
      <c r="B1781" s="212" t="s">
        <v>5924</v>
      </c>
      <c r="C1781" s="214"/>
      <c r="D1781" s="214"/>
      <c r="E1781" s="214"/>
    </row>
    <row r="1782">
      <c r="A1782" s="215" t="s">
        <v>353</v>
      </c>
      <c r="B1782" s="216" t="s">
        <v>5925</v>
      </c>
      <c r="C1782" s="216" t="s">
        <v>2845</v>
      </c>
      <c r="D1782" s="216" t="s">
        <v>2846</v>
      </c>
      <c r="E1782" s="216" t="s">
        <v>2847</v>
      </c>
      <c r="F1782" s="182">
        <v>291.0</v>
      </c>
      <c r="G1782" s="172" t="str">
        <f>IFERROR(__xludf.DUMMYFUNCTION("TRIM(REGEXREPLACE(C1782, ""[0-9]+[a-f]?\."", """"))"),"During period, did you experience an emergency or urgent need that forced you to:")</f>
        <v>During period, did you experience an emergency or urgent need that forced you to:</v>
      </c>
      <c r="H1782" s="172" t="str">
        <f>IFERROR(__xludf.DUMMYFUNCTION("TRIM(REGEXREPLACE(D1782, ""[0-9]+[a-f]?\."", """"))"),"Au cours de la période, avez-vous ressenti une urgence ou un besoin urgent qui vous a obligé à :")</f>
        <v>Au cours de la période, avez-vous ressenti une urgence ou un besoin urgent qui vous a obligé à :</v>
      </c>
      <c r="I1782" s="172" t="str">
        <f>IFERROR(__xludf.DUMMYFUNCTION("TRIM(REGEXREPLACE(E1782, ""[0-9]+[a-f]?\."", """"))"),"A lokacin ${period_hausa}, ko gidanku ya fuskanci wani hali na gaggawa ko wata buƙatu ta gaggawa wanda ya tilasta muku:")</f>
        <v>A lokacin ${period_hausa}, ko gidanku ya fuskanci wani hali na gaggawa ko wata buƙatu ta gaggawa wanda ya tilasta muku:</v>
      </c>
      <c r="J1782" s="172" t="str">
        <f t="shared" ref="J1782:L1782" si="314">$F1782 &amp; ". " &amp;G1782</f>
        <v>291. During period, did you experience an emergency or urgent need that forced you to:</v>
      </c>
      <c r="K1782" s="172" t="str">
        <f t="shared" si="314"/>
        <v>291. Au cours de la période, avez-vous ressenti une urgence ou un besoin urgent qui vous a obligé à :</v>
      </c>
      <c r="L1782" s="172" t="str">
        <f t="shared" si="314"/>
        <v>291. A lokacin ${period_hausa}, ko gidanku ya fuskanci wani hali na gaggawa ko wata buƙatu ta gaggawa wanda ya tilasta muku:</v>
      </c>
    </row>
    <row r="1783">
      <c r="A1783" s="215" t="s">
        <v>353</v>
      </c>
      <c r="B1783" s="216" t="s">
        <v>5926</v>
      </c>
      <c r="C1783" s="216" t="s">
        <v>2849</v>
      </c>
      <c r="D1783" s="216" t="s">
        <v>2850</v>
      </c>
      <c r="E1783" s="216" t="s">
        <v>2851</v>
      </c>
      <c r="F1783" s="182">
        <v>292.0</v>
      </c>
      <c r="G1783" s="172" t="str">
        <f>IFERROR(__xludf.DUMMYFUNCTION("TRIM(REGEXREPLACE(C1783, ""[0-9]+[a-f]?\."", """"))"),"Sell assets")</f>
        <v>Sell assets</v>
      </c>
      <c r="H1783" s="172" t="str">
        <f>IFERROR(__xludf.DUMMYFUNCTION("TRIM(REGEXREPLACE(D1783, ""[0-9]+[a-f]?\."", """"))"),"Vendre des actifs")</f>
        <v>Vendre des actifs</v>
      </c>
      <c r="I1783" s="172" t="str">
        <f>IFERROR(__xludf.DUMMYFUNCTION("TRIM(REGEXREPLACE(E1783, ""[0-9]+[a-f]?\."", """"))"),"Saida kadarori")</f>
        <v>Saida kadarori</v>
      </c>
      <c r="J1783" s="172" t="str">
        <f t="shared" ref="J1783:L1783" si="315">$F1783 &amp; ". " &amp;G1783</f>
        <v>292. Sell assets</v>
      </c>
      <c r="K1783" s="172" t="str">
        <f t="shared" si="315"/>
        <v>292. Vendre des actifs</v>
      </c>
      <c r="L1783" s="172" t="str">
        <f t="shared" si="315"/>
        <v>292. Saida kadarori</v>
      </c>
    </row>
    <row r="1784">
      <c r="A1784" s="215" t="s">
        <v>353</v>
      </c>
      <c r="B1784" s="216" t="s">
        <v>5927</v>
      </c>
      <c r="C1784" s="216" t="s">
        <v>2853</v>
      </c>
      <c r="D1784" s="216" t="s">
        <v>2854</v>
      </c>
      <c r="E1784" s="216" t="s">
        <v>2855</v>
      </c>
      <c r="F1784" s="182">
        <v>293.0</v>
      </c>
      <c r="G1784" s="172" t="str">
        <f>IFERROR(__xludf.DUMMYFUNCTION("TRIM(REGEXREPLACE(C1784, ""[0-9]+[a-f]?\."", """"))"),"Borrow money")</f>
        <v>Borrow money</v>
      </c>
      <c r="H1784" s="172" t="str">
        <f>IFERROR(__xludf.DUMMYFUNCTION("TRIM(REGEXREPLACE(D1784, ""[0-9]+[a-f]?\."", """"))"),"Emprunter de l'argent")</f>
        <v>Emprunter de l'argent</v>
      </c>
      <c r="I1784" s="172" t="str">
        <f>IFERROR(__xludf.DUMMYFUNCTION("TRIM(REGEXREPLACE(E1784, ""[0-9]+[a-f]?\."", """"))"),"Bashin kudi")</f>
        <v>Bashin kudi</v>
      </c>
      <c r="J1784" s="172" t="str">
        <f t="shared" ref="J1784:L1784" si="316">$F1784 &amp; ". " &amp;G1784</f>
        <v>293. Borrow money</v>
      </c>
      <c r="K1784" s="172" t="str">
        <f t="shared" si="316"/>
        <v>293. Emprunter de l'argent</v>
      </c>
      <c r="L1784" s="172" t="str">
        <f t="shared" si="316"/>
        <v>293. Bashin kudi</v>
      </c>
    </row>
    <row r="1785">
      <c r="A1785" s="215" t="s">
        <v>353</v>
      </c>
      <c r="B1785" s="216" t="s">
        <v>5928</v>
      </c>
      <c r="C1785" s="216" t="s">
        <v>2857</v>
      </c>
      <c r="D1785" s="216" t="s">
        <v>2858</v>
      </c>
      <c r="E1785" s="216" t="s">
        <v>2859</v>
      </c>
      <c r="F1785" s="182">
        <v>294.0</v>
      </c>
      <c r="G1785" s="172" t="str">
        <f>IFERROR(__xludf.DUMMYFUNCTION("TRIM(REGEXREPLACE(C1785, ""[0-9]+[a-f]?\."", """"))"),"Spend savings")</f>
        <v>Spend savings</v>
      </c>
      <c r="H1785" s="172" t="str">
        <f>IFERROR(__xludf.DUMMYFUNCTION("TRIM(REGEXREPLACE(D1785, ""[0-9]+[a-f]?\."", """"))"),"Utiliser votre epargne")</f>
        <v>Utiliser votre epargne</v>
      </c>
      <c r="I1785" s="172" t="str">
        <f>IFERROR(__xludf.DUMMYFUNCTION("TRIM(REGEXREPLACE(E1785, ""[0-9]+[a-f]?\."", """"))"),"Kashe kuɗin ajiyar ku")</f>
        <v>Kashe kuɗin ajiyar ku</v>
      </c>
      <c r="J1785" s="172" t="str">
        <f t="shared" ref="J1785:L1785" si="317">$F1785 &amp; ". " &amp;G1785</f>
        <v>294. Spend savings</v>
      </c>
      <c r="K1785" s="172" t="str">
        <f t="shared" si="317"/>
        <v>294. Utiliser votre epargne</v>
      </c>
      <c r="L1785" s="172" t="str">
        <f t="shared" si="317"/>
        <v>294. Kashe kuɗin ajiyar ku</v>
      </c>
    </row>
    <row r="1786" hidden="1">
      <c r="A1786" s="211" t="s">
        <v>238</v>
      </c>
      <c r="B1786" s="224" t="s">
        <v>5924</v>
      </c>
      <c r="C1786" s="225"/>
      <c r="D1786" s="225"/>
      <c r="E1786" s="225"/>
    </row>
    <row r="1787">
      <c r="A1787" s="215" t="s">
        <v>5929</v>
      </c>
      <c r="B1787" s="216" t="s">
        <v>5930</v>
      </c>
      <c r="C1787" s="216" t="s">
        <v>2864</v>
      </c>
      <c r="D1787" s="216" t="s">
        <v>2865</v>
      </c>
      <c r="E1787" s="216" t="s">
        <v>5931</v>
      </c>
      <c r="F1787" s="182">
        <v>295.0</v>
      </c>
      <c r="G1787" s="172" t="str">
        <f>IFERROR(__xludf.DUMMYFUNCTION("TRIM(REGEXREPLACE(C1787, ""[0-9]+[a-f]?\."", """"))"),"What type of event led you to sell assets or borrow money?")</f>
        <v>What type of event led you to sell assets or borrow money?</v>
      </c>
      <c r="H1787" s="172" t="str">
        <f>IFERROR(__xludf.DUMMYFUNCTION("TRIM(REGEXREPLACE(D1787, ""[0-9]+[a-f]?\."", """"))"),"Quel type d'événement vous a amené à vendre des actifs ou à emprunter de l'argent ?")</f>
        <v>Quel type d'événement vous a amené à vendre des actifs ou à emprunter de l'argent ?</v>
      </c>
      <c r="I1787" s="172" t="str">
        <f>IFERROR(__xludf.DUMMYFUNCTION("TRIM(REGEXREPLACE(E1787, ""[0-9]+[a-f]?\."", """"))"),"Wane irin lamari ne ya kai ku sayar da kadarori ko ɗaukan bashi?")</f>
        <v>Wane irin lamari ne ya kai ku sayar da kadarori ko ɗaukan bashi?</v>
      </c>
      <c r="J1787" s="172" t="str">
        <f t="shared" ref="J1787:L1787" si="318">$F1787 &amp; ". " &amp;G1787</f>
        <v>295. What type of event led you to sell assets or borrow money?</v>
      </c>
      <c r="K1787" s="172" t="str">
        <f t="shared" si="318"/>
        <v>295. Quel type d'événement vous a amené à vendre des actifs ou à emprunter de l'argent ?</v>
      </c>
      <c r="L1787" s="172" t="str">
        <f t="shared" si="318"/>
        <v>295. Wane irin lamari ne ya kai ku sayar da kadarori ko ɗaukan bashi?</v>
      </c>
    </row>
    <row r="1788">
      <c r="A1788" s="246" t="s">
        <v>231</v>
      </c>
      <c r="B1788" s="247" t="s">
        <v>5932</v>
      </c>
      <c r="C1788" s="247" t="s">
        <v>2868</v>
      </c>
      <c r="D1788" s="247" t="s">
        <v>2869</v>
      </c>
      <c r="E1788" s="247" t="s">
        <v>5933</v>
      </c>
      <c r="F1788" s="182">
        <v>296.0</v>
      </c>
      <c r="G1788" s="172" t="str">
        <f>IFERROR(__xludf.DUMMYFUNCTION("TRIM(REGEXREPLACE(C1788, ""[0-9]+[a-f]?\."", """"))"),"Please briefly describe the event that led you to sell assets or borrow money")</f>
        <v>Please briefly describe the event that led you to sell assets or borrow money</v>
      </c>
      <c r="H1788" s="172" t="str">
        <f>IFERROR(__xludf.DUMMYFUNCTION("TRIM(REGEXREPLACE(D1788, ""[0-9]+[a-f]?\."", """"))"),"Veuillez décrire brièvement l'événement qui vous a amené à vendre des actifs ou à emprunter de l'argent")</f>
        <v>Veuillez décrire brièvement l'événement qui vous a amené à vendre des actifs ou à emprunter de l'argent</v>
      </c>
      <c r="I1788" s="172" t="str">
        <f>IFERROR(__xludf.DUMMYFUNCTION("TRIM(REGEXREPLACE(E1788, ""[0-9]+[a-f]?\."", """"))"),"Ina son ku bani taƙaitaccen bayani bisa abin da ya sa ku saida kadarori ko ɗaukan bashi")</f>
        <v>Ina son ku bani taƙaitaccen bayani bisa abin da ya sa ku saida kadarori ko ɗaukan bashi</v>
      </c>
      <c r="J1788" s="172" t="str">
        <f t="shared" ref="J1788:L1788" si="319">$F1788 &amp; ". " &amp;G1788</f>
        <v>296. Please briefly describe the event that led you to sell assets or borrow money</v>
      </c>
      <c r="K1788" s="172" t="str">
        <f t="shared" si="319"/>
        <v>296. Veuillez décrire brièvement l'événement qui vous a amené à vendre des actifs ou à emprunter de l'argent</v>
      </c>
      <c r="L1788" s="172" t="str">
        <f t="shared" si="319"/>
        <v>296. Ina son ku bani taƙaitaccen bayani bisa abin da ya sa ku saida kadarori ko ɗaukan bashi</v>
      </c>
    </row>
    <row r="1789">
      <c r="A1789" s="253" t="s">
        <v>246</v>
      </c>
      <c r="B1789" s="254" t="s">
        <v>5934</v>
      </c>
      <c r="C1789" s="254" t="s">
        <v>2872</v>
      </c>
      <c r="D1789" s="254" t="s">
        <v>2873</v>
      </c>
      <c r="E1789" s="254" t="s">
        <v>2874</v>
      </c>
      <c r="F1789" s="182">
        <v>297.0</v>
      </c>
      <c r="G1789" s="172" t="str">
        <f>IFERROR(__xludf.DUMMYFUNCTION("TRIM(REGEXREPLACE(C1789, ""[0-9]+[a-f]?\."", """"))"),"What was the value of assets you sold (in CFA)?")</f>
        <v>What was the value of assets you sold (in CFA)?</v>
      </c>
      <c r="H1789" s="172" t="str">
        <f>IFERROR(__xludf.DUMMYFUNCTION("TRIM(REGEXREPLACE(D1789, ""[0-9]+[a-f]?\."", """"))"),"Quelle était la valeur des actifs que vous avez vendus ?")</f>
        <v>Quelle était la valeur des actifs que vous avez vendus ?</v>
      </c>
      <c r="I1789" s="172" t="str">
        <f>IFERROR(__xludf.DUMMYFUNCTION("TRIM(REGEXREPLACE(E1789, ""[0-9]+[a-f]?\."", """"))"),"Misalin nawa ne ƙimar kadarorin da kuka saida?")</f>
        <v>Misalin nawa ne ƙimar kadarorin da kuka saida?</v>
      </c>
      <c r="J1789" s="172" t="str">
        <f t="shared" ref="J1789:L1789" si="320">$F1789 &amp; ". " &amp;G1789</f>
        <v>297. What was the value of assets you sold (in CFA)?</v>
      </c>
      <c r="K1789" s="172" t="str">
        <f t="shared" si="320"/>
        <v>297. Quelle était la valeur des actifs que vous avez vendus ?</v>
      </c>
      <c r="L1789" s="172" t="str">
        <f t="shared" si="320"/>
        <v>297. Misalin nawa ne ƙimar kadarorin da kuka saida?</v>
      </c>
    </row>
    <row r="1790">
      <c r="A1790" s="253" t="s">
        <v>246</v>
      </c>
      <c r="B1790" s="254" t="s">
        <v>5935</v>
      </c>
      <c r="C1790" s="254" t="s">
        <v>2879</v>
      </c>
      <c r="D1790" s="254" t="s">
        <v>2880</v>
      </c>
      <c r="E1790" s="254" t="s">
        <v>5936</v>
      </c>
      <c r="F1790" s="182">
        <v>298.0</v>
      </c>
      <c r="G1790" s="172" t="str">
        <f>IFERROR(__xludf.DUMMYFUNCTION("TRIM(REGEXREPLACE(C1790, ""[0-9]+[a-f]?\."", """"))"),"What was the value of the loan you took (in CFA)?")</f>
        <v>What was the value of the loan you took (in CFA)?</v>
      </c>
      <c r="H1790" s="172" t="str">
        <f>IFERROR(__xludf.DUMMYFUNCTION("TRIM(REGEXREPLACE(D1790, ""[0-9]+[a-f]?\."", """"))"),"Quelle était la valeur du prêt que vous avez contracté ?")</f>
        <v>Quelle était la valeur du prêt que vous avez contracté ?</v>
      </c>
      <c r="I1790" s="172" t="str">
        <f>IFERROR(__xludf.DUMMYFUNCTION("TRIM(REGEXREPLACE(E1790, ""[0-9]+[a-f]?\."", """"))"),"Nawa ne kuɗin bashin da kuka ɗauko?")</f>
        <v>Nawa ne kuɗin bashin da kuka ɗauko?</v>
      </c>
      <c r="J1790" s="172" t="str">
        <f t="shared" ref="J1790:L1790" si="321">$F1790 &amp; ". " &amp;G1790</f>
        <v>298. What was the value of the loan you took (in CFA)?</v>
      </c>
      <c r="K1790" s="172" t="str">
        <f t="shared" si="321"/>
        <v>298. Quelle était la valeur du prêt que vous avez contracté ?</v>
      </c>
      <c r="L1790" s="172" t="str">
        <f t="shared" si="321"/>
        <v>298. Nawa ne kuɗin bashin da kuka ɗauko?</v>
      </c>
    </row>
    <row r="1791">
      <c r="A1791" s="253" t="s">
        <v>246</v>
      </c>
      <c r="B1791" s="254" t="s">
        <v>5937</v>
      </c>
      <c r="C1791" s="254" t="s">
        <v>2884</v>
      </c>
      <c r="D1791" s="254" t="s">
        <v>2885</v>
      </c>
      <c r="E1791" s="254" t="s">
        <v>2886</v>
      </c>
      <c r="F1791" s="182">
        <v>299.0</v>
      </c>
      <c r="G1791" s="172" t="str">
        <f>IFERROR(__xludf.DUMMYFUNCTION("TRIM(REGEXREPLACE(C1791, ""[0-9]+[a-f]?\."", """"))"),"What was the value of the savings you spent (in CFA)?")</f>
        <v>What was the value of the savings you spent (in CFA)?</v>
      </c>
      <c r="H1791" s="172" t="str">
        <f>IFERROR(__xludf.DUMMYFUNCTION("TRIM(REGEXREPLACE(D1791, ""[0-9]+[a-f]?\."", """"))"),"Quelle était la valeur de l'epargne que vous avez utilisé ?")</f>
        <v>Quelle était la valeur de l'epargne que vous avez utilisé ?</v>
      </c>
      <c r="I1791" s="172" t="str">
        <f>IFERROR(__xludf.DUMMYFUNCTION("TRIM(REGEXREPLACE(E1791, ""[0-9]+[a-f]?\."", """"))"),"Nawa kuɗin ajiyar da kuka kashe?")</f>
        <v>Nawa kuɗin ajiyar da kuka kashe?</v>
      </c>
      <c r="J1791" s="172" t="str">
        <f t="shared" ref="J1791:L1791" si="322">$F1791 &amp; ". " &amp;G1791</f>
        <v>299. What was the value of the savings you spent (in CFA)?</v>
      </c>
      <c r="K1791" s="172" t="str">
        <f t="shared" si="322"/>
        <v>299. Quelle était la valeur de l'epargne que vous avez utilisé ?</v>
      </c>
      <c r="L1791" s="172" t="str">
        <f t="shared" si="322"/>
        <v>299. Nawa kuɗin ajiyar da kuka kashe?</v>
      </c>
    </row>
    <row r="1792">
      <c r="A1792" s="253" t="s">
        <v>246</v>
      </c>
      <c r="B1792" s="254" t="s">
        <v>5938</v>
      </c>
      <c r="C1792" s="254" t="s">
        <v>2888</v>
      </c>
      <c r="D1792" s="254" t="s">
        <v>2889</v>
      </c>
      <c r="E1792" s="254" t="s">
        <v>2890</v>
      </c>
      <c r="F1792" s="182">
        <v>300.0</v>
      </c>
      <c r="G1792" s="172" t="str">
        <f>IFERROR(__xludf.DUMMYFUNCTION("TRIM(REGEXREPLACE(C1792, ""[0-9]+[a-f]?\."", """"))"),"Think about all of the credit or money you have borrowed. What is the approximate total value of all money you owe to other people (in CFA)?")</f>
        <v>Think about all of the credit or money you have borrowed. What is the approximate total value of all money you owe to other people (in CFA)?</v>
      </c>
      <c r="H1792" s="172" t="str">
        <f>IFERROR(__xludf.DUMMYFUNCTION("TRIM(REGEXREPLACE(D1792, ""[0-9]+[a-f]?\."", """"))"),"Pensez à tout le crédit ou l'argent que vous avez emprunté. Quelle est la valeur totale approximative de tout l'argent que vous devez à d'autres personnes ?")</f>
        <v>Pensez à tout le crédit ou l'argent que vous avez emprunté. Quelle est la valeur totale approximative de tout l'argent que vous devez à d'autres personnes ?</v>
      </c>
      <c r="I1792" s="172" t="str">
        <f>IFERROR(__xludf.DUMMYFUNCTION("TRIM(REGEXREPLACE(E1792, ""[0-9]+[a-f]?\."", """"))"),"Ku tuna da duk bashi ko kuɗin da kuka aro. Nawa ne kimar jimillar duk kuɗin da wasu mutanne ke binku?")</f>
        <v>Ku tuna da duk bashi ko kuɗin da kuka aro. Nawa ne kimar jimillar duk kuɗin da wasu mutanne ke binku?</v>
      </c>
      <c r="J1792" s="172" t="str">
        <f t="shared" ref="J1792:L1792" si="323">$F1792 &amp; ". " &amp;G1792</f>
        <v>300. Think about all of the credit or money you have borrowed. What is the approximate total value of all money you owe to other people (in CFA)?</v>
      </c>
      <c r="K1792" s="172" t="str">
        <f t="shared" si="323"/>
        <v>300. Pensez à tout le crédit ou l'argent que vous avez emprunté. Quelle est la valeur totale approximative de tout l'argent que vous devez à d'autres personnes ?</v>
      </c>
      <c r="L1792" s="172" t="str">
        <f t="shared" si="323"/>
        <v>300. Ku tuna da duk bashi ko kuɗin da kuka aro. Nawa ne kimar jimillar duk kuɗin da wasu mutanne ke binku?</v>
      </c>
    </row>
    <row r="1793">
      <c r="A1793" s="215" t="s">
        <v>5939</v>
      </c>
      <c r="B1793" s="216" t="s">
        <v>5940</v>
      </c>
      <c r="C1793" s="216" t="s">
        <v>5941</v>
      </c>
      <c r="D1793" s="216" t="s">
        <v>5942</v>
      </c>
      <c r="E1793" s="216" t="s">
        <v>5943</v>
      </c>
      <c r="F1793" s="182">
        <v>301.0</v>
      </c>
      <c r="G1793" s="172" t="str">
        <f>IFERROR(__xludf.DUMMYFUNCTION("TRIM(REGEXREPLACE(C1793, ""[0-9]+[a-f]?\."", """"))"),"Please tell me the extent do you agree/disagree:
 If I had an emergency that required 5,000 CFA urgently (within 3 days), I would be able to find the money.")</f>
        <v>Please tell me the extent do you agree/disagree:
 If I had an emergency that required 5,000 CFA urgently (within 3 days), I would be able to find the money.</v>
      </c>
      <c r="H1793" s="172" t="str">
        <f>IFERROR(__xludf.DUMMYFUNCTION("TRIM(REGEXREPLACE(D1793, ""[0-9]+[a-f]?\."", """"))"),"Veuillez me dire dans quelle mesure êtes-vous d'accord/pas d'accord :
 Si j'avais une urgence qui nécessitait 5 000 CFA en urgence (dans les 3 jours), je serais capable de trouver l'argent.")</f>
        <v>Veuillez me dire dans quelle mesure êtes-vous d'accord/pas d'accord :
 Si j'avais une urgence qui nécessitait 5 000 CFA en urgence (dans les 3 jours), je serais capable de trouver l'argent.</v>
      </c>
      <c r="I1793" s="172" t="str">
        <f>IFERROR(__xludf.DUMMYFUNCTION("TRIM(REGEXREPLACE(E1793, ""[0-9]+[a-f]?\."", """"))"),"Da fatan za ka gaya mini matsayin yarda/rishin yarda da kowanne: 
 Idan wata buƙatar gaggawa na 5,000 CFA ta same ni (a cikin kwanaki 3), zan iya samun kuɗin.")</f>
        <v>Da fatan za ka gaya mini matsayin yarda/rishin yarda da kowanne: 
 Idan wata buƙatar gaggawa na 5,000 CFA ta same ni (a cikin kwanaki 3), zan iya samun kuɗin.</v>
      </c>
      <c r="J1793" s="172" t="str">
        <f t="shared" ref="J1793:L1793" si="324">$F1793 &amp; ". " &amp;G1793</f>
        <v>301. Please tell me the extent do you agree/disagree:
 If I had an emergency that required 5,000 CFA urgently (within 3 days), I would be able to find the money.</v>
      </c>
      <c r="K1793" s="172" t="str">
        <f t="shared" si="324"/>
        <v>301. Veuillez me dire dans quelle mesure êtes-vous d'accord/pas d'accord :
 Si j'avais une urgence qui nécessitait 5 000 CFA en urgence (dans les 3 jours), je serais capable de trouver l'argent.</v>
      </c>
      <c r="L1793" s="172" t="str">
        <f t="shared" si="324"/>
        <v>301. Da fatan za ka gaya mini matsayin yarda/rishin yarda da kowanne: 
 Idan wata buƙatar gaggawa na 5,000 CFA ta same ni (a cikin kwanaki 3), zan iya samun kuɗin.</v>
      </c>
    </row>
    <row r="1794">
      <c r="A1794" s="215" t="s">
        <v>5944</v>
      </c>
      <c r="B1794" s="216" t="s">
        <v>5945</v>
      </c>
      <c r="C1794" s="216" t="s">
        <v>2898</v>
      </c>
      <c r="D1794" s="216" t="s">
        <v>2899</v>
      </c>
      <c r="E1794" s="216" t="s">
        <v>2900</v>
      </c>
      <c r="F1794" s="182">
        <v>302.0</v>
      </c>
      <c r="G1794" s="172" t="str">
        <f>IFERROR(__xludf.DUMMYFUNCTION("TRIM(REGEXREPLACE(C1794, ""[0-9]+[a-f]?\."", """"))"),"What type of person would you go to first for this money?")</f>
        <v>What type of person would you go to first for this money?</v>
      </c>
      <c r="H1794" s="172" t="str">
        <f>IFERROR(__xludf.DUMMYFUNCTION("TRIM(REGEXREPLACE(D1794, ""[0-9]+[a-f]?\."", """"))"),"Vers quel type de personne iriez-vous en premier pour cet argent ?")</f>
        <v>Vers quel type de personne iriez-vous en premier pour cet argent ?</v>
      </c>
      <c r="I1794" s="172" t="str">
        <f>IFERROR(__xludf.DUMMYFUNCTION("TRIM(REGEXREPLACE(E1794, ""[0-9]+[a-f]?\."", """"))"),"Wane irin mutum ne za ku fara zuwa wurin shi don neman wannan kuɗin?")</f>
        <v>Wane irin mutum ne za ku fara zuwa wurin shi don neman wannan kuɗin?</v>
      </c>
      <c r="J1794" s="172" t="str">
        <f t="shared" ref="J1794:L1794" si="325">$F1794 &amp; ". " &amp;G1794</f>
        <v>302. What type of person would you go to first for this money?</v>
      </c>
      <c r="K1794" s="172" t="str">
        <f t="shared" si="325"/>
        <v>302. Vers quel type de personne iriez-vous en premier pour cet argent ?</v>
      </c>
      <c r="L1794" s="172" t="str">
        <f t="shared" si="325"/>
        <v>302. Wane irin mutum ne za ku fara zuwa wurin shi don neman wannan kuɗin?</v>
      </c>
    </row>
    <row r="1795">
      <c r="A1795" s="246" t="s">
        <v>231</v>
      </c>
      <c r="B1795" s="247" t="s">
        <v>5946</v>
      </c>
      <c r="C1795" s="247" t="s">
        <v>2905</v>
      </c>
      <c r="D1795" s="247" t="s">
        <v>2906</v>
      </c>
      <c r="E1795" s="247" t="s">
        <v>2907</v>
      </c>
      <c r="F1795" s="182">
        <v>303.0</v>
      </c>
      <c r="G1795" s="172" t="str">
        <f>IFERROR(__xludf.DUMMYFUNCTION("TRIM(REGEXREPLACE(C1795, ""[0-9]+[a-f]?\."", """"))"),"Specify your relationship with this person")</f>
        <v>Specify your relationship with this person</v>
      </c>
      <c r="H1795" s="172" t="str">
        <f>IFERROR(__xludf.DUMMYFUNCTION("TRIM(REGEXREPLACE(D1795, ""[0-9]+[a-f]?\."", """"))"),"Précisez votre relation avec cette personne")</f>
        <v>Précisez votre relation avec cette personne</v>
      </c>
      <c r="I1795" s="172" t="str">
        <f>IFERROR(__xludf.DUMMYFUNCTION("TRIM(REGEXREPLACE(E1795, ""[0-9]+[a-f]?\."", """"))"),"Faɗi dangantakar ku da wannan mutumen")</f>
        <v>Faɗi dangantakar ku da wannan mutumen</v>
      </c>
      <c r="J1795" s="172" t="str">
        <f t="shared" ref="J1795:L1795" si="326">$F1795 &amp; ". " &amp;G1795</f>
        <v>303. Specify your relationship with this person</v>
      </c>
      <c r="K1795" s="172" t="str">
        <f t="shared" si="326"/>
        <v>303. Précisez votre relation avec cette personne</v>
      </c>
      <c r="L1795" s="172" t="str">
        <f t="shared" si="326"/>
        <v>303. Faɗi dangantakar ku da wannan mutumen</v>
      </c>
    </row>
    <row r="1796" hidden="1">
      <c r="A1796" s="188" t="s">
        <v>118</v>
      </c>
      <c r="B1796" s="279" t="s">
        <v>5947</v>
      </c>
      <c r="C1796" s="190"/>
      <c r="D1796" s="190"/>
      <c r="E1796" s="190"/>
    </row>
    <row r="1797" hidden="1">
      <c r="A1797" s="188" t="s">
        <v>68</v>
      </c>
      <c r="B1797" s="279" t="s">
        <v>5948</v>
      </c>
      <c r="C1797" s="190"/>
      <c r="D1797" s="290"/>
      <c r="E1797" s="290"/>
    </row>
    <row r="1798" hidden="1">
      <c r="A1798" s="172"/>
      <c r="B1798" s="172"/>
      <c r="C1798" s="174" t="s">
        <v>52</v>
      </c>
      <c r="D1798" s="174" t="s">
        <v>52</v>
      </c>
      <c r="E1798" s="174" t="s">
        <v>52</v>
      </c>
    </row>
    <row r="1799" hidden="1">
      <c r="A1799" s="188" t="s">
        <v>118</v>
      </c>
      <c r="B1799" s="279" t="s">
        <v>5949</v>
      </c>
      <c r="C1799" s="190"/>
      <c r="D1799" s="190"/>
      <c r="E1799" s="190"/>
    </row>
    <row r="1800">
      <c r="A1800" s="207" t="s">
        <v>41</v>
      </c>
      <c r="B1800" s="208" t="s">
        <v>5950</v>
      </c>
      <c r="C1800" s="208" t="s">
        <v>2923</v>
      </c>
      <c r="D1800" s="208" t="s">
        <v>2924</v>
      </c>
      <c r="E1800" s="208" t="s">
        <v>2925</v>
      </c>
      <c r="F1800" s="182">
        <v>304.0</v>
      </c>
      <c r="G1800" s="172" t="str">
        <f>IFERROR(__xludf.DUMMYFUNCTION("TRIM(REGEXREPLACE(C1800, ""[0-9]+[a-f]?\."", """"))"),"I would like to ask you a few questions about your health and wellbeing")</f>
        <v>I would like to ask you a few questions about your health and wellbeing</v>
      </c>
      <c r="H1800" s="172" t="str">
        <f>IFERROR(__xludf.DUMMYFUNCTION("TRIM(REGEXREPLACE(D1800, ""[0-9]+[a-f]?\."", """"))"),"Je voudrais vous poser quelques questions sur votre santé et votre bien-être")</f>
        <v>Je voudrais vous poser quelques questions sur votre santé et votre bien-être</v>
      </c>
      <c r="I1800" s="172" t="str">
        <f>IFERROR(__xludf.DUMMYFUNCTION("TRIM(REGEXREPLACE(E1800, ""[0-9]+[a-f]?\."", """"))"),"Ina so in yi muku wasu ƴan tambayoyi bisa lafiyar ku da jin daɗin ku")</f>
        <v>Ina so in yi muku wasu ƴan tambayoyi bisa lafiyar ku da jin daɗin ku</v>
      </c>
      <c r="J1800" s="172" t="str">
        <f t="shared" ref="J1800:L1800" si="327">$F1800 &amp; ". " &amp;G1800</f>
        <v>304. I would like to ask you a few questions about your health and wellbeing</v>
      </c>
      <c r="K1800" s="172" t="str">
        <f t="shared" si="327"/>
        <v>304. Je voudrais vous poser quelques questions sur votre santé et votre bien-être</v>
      </c>
      <c r="L1800" s="172" t="str">
        <f t="shared" si="327"/>
        <v>304. Ina so in yi muku wasu ƴan tambayoyi bisa lafiyar ku da jin daɗin ku</v>
      </c>
    </row>
    <row r="1801">
      <c r="A1801" s="215" t="s">
        <v>5951</v>
      </c>
      <c r="B1801" s="216" t="s">
        <v>5952</v>
      </c>
      <c r="C1801" s="216" t="s">
        <v>2927</v>
      </c>
      <c r="D1801" s="216" t="s">
        <v>2928</v>
      </c>
      <c r="E1801" s="216" t="s">
        <v>2929</v>
      </c>
      <c r="F1801" s="182">
        <v>305.0</v>
      </c>
      <c r="G1801" s="172" t="str">
        <f>IFERROR(__xludf.DUMMYFUNCTION("TRIM(REGEXREPLACE(C1801, ""[0-9]+[a-f]?\."", """"))"),"In general, how would you characterize your physical health?")</f>
        <v>In general, how would you characterize your physical health?</v>
      </c>
      <c r="H1801" s="172" t="str">
        <f>IFERROR(__xludf.DUMMYFUNCTION("TRIM(REGEXREPLACE(D1801, ""[0-9]+[a-f]?\."", """"))"),"En général, comment caractériseriez-vous votre santé physique ?")</f>
        <v>En général, comment caractériseriez-vous votre santé physique ?</v>
      </c>
      <c r="I1801" s="172" t="str">
        <f>IFERROR(__xludf.DUMMYFUNCTION("TRIM(REGEXREPLACE(E1801, ""[0-9]+[a-f]?\."", """"))"),"A taƙaice, yaya za ku siffanta lafiyar jikin ku?")</f>
        <v>A taƙaice, yaya za ku siffanta lafiyar jikin ku?</v>
      </c>
      <c r="J1801" s="172" t="str">
        <f t="shared" ref="J1801:L1801" si="328">$F1801 &amp; ". " &amp;G1801</f>
        <v>305. In general, how would you characterize your physical health?</v>
      </c>
      <c r="K1801" s="172" t="str">
        <f t="shared" si="328"/>
        <v>305. En général, comment caractériseriez-vous votre santé physique ?</v>
      </c>
      <c r="L1801" s="172" t="str">
        <f t="shared" si="328"/>
        <v>305. A taƙaice, yaya za ku siffanta lafiyar jikin ku?</v>
      </c>
    </row>
    <row r="1802">
      <c r="A1802" s="215" t="s">
        <v>353</v>
      </c>
      <c r="B1802" s="216" t="s">
        <v>5953</v>
      </c>
      <c r="C1802" s="216" t="s">
        <v>2931</v>
      </c>
      <c r="D1802" s="216" t="s">
        <v>2932</v>
      </c>
      <c r="E1802" s="216" t="s">
        <v>2933</v>
      </c>
      <c r="F1802" s="182">
        <v>306.0</v>
      </c>
      <c r="G1802" s="172" t="str">
        <f>IFERROR(__xludf.DUMMYFUNCTION("TRIM(REGEXREPLACE(C1802, ""[0-9]+[a-f]?\."", """"))"),"Do you currently suffer from any illness or disability that limits your ability to travel or work?")</f>
        <v>Do you currently suffer from any illness or disability that limits your ability to travel or work?</v>
      </c>
      <c r="H1802" s="172" t="str">
        <f>IFERROR(__xludf.DUMMYFUNCTION("TRIM(REGEXREPLACE(D1802, ""[0-9]+[a-f]?\."", """"))"),"Souffrez-vous actuellement d'une maladie ou d'un handicap qui limite votre capacité à voyager ou à travailler ?")</f>
        <v>Souffrez-vous actuellement d'une maladie ou d'un handicap qui limite votre capacité à voyager ou à travailler ?</v>
      </c>
      <c r="I1802" s="172" t="str">
        <f>IFERROR(__xludf.DUMMYFUNCTION("TRIM(REGEXREPLACE(E1802, ""[0-9]+[a-f]?\."", """"))"),"Ko a halin yanzu kuna fama da wata rashin lafiya ko naƙasa da ke kawo muku cikas bisa karfinku na yin tafiya ko yin aiki?")</f>
        <v>Ko a halin yanzu kuna fama da wata rashin lafiya ko naƙasa da ke kawo muku cikas bisa karfinku na yin tafiya ko yin aiki?</v>
      </c>
      <c r="J1802" s="172" t="str">
        <f t="shared" ref="J1802:L1802" si="329">$F1802 &amp; ". " &amp;G1802</f>
        <v>306. Do you currently suffer from any illness or disability that limits your ability to travel or work?</v>
      </c>
      <c r="K1802" s="172" t="str">
        <f t="shared" si="329"/>
        <v>306. Souffrez-vous actuellement d'une maladie ou d'un handicap qui limite votre capacité à voyager ou à travailler ?</v>
      </c>
      <c r="L1802" s="172" t="str">
        <f t="shared" si="329"/>
        <v>306. Ko a halin yanzu kuna fama da wata rashin lafiya ko naƙasa da ke kawo muku cikas bisa karfinku na yin tafiya ko yin aiki?</v>
      </c>
    </row>
    <row r="1803">
      <c r="A1803" s="215" t="s">
        <v>5954</v>
      </c>
      <c r="B1803" s="216" t="s">
        <v>5955</v>
      </c>
      <c r="C1803" s="216" t="s">
        <v>2934</v>
      </c>
      <c r="D1803" s="216" t="s">
        <v>2935</v>
      </c>
      <c r="E1803" s="216" t="s">
        <v>5956</v>
      </c>
      <c r="F1803" s="182">
        <v>307.0</v>
      </c>
      <c r="G1803" s="172" t="str">
        <f>IFERROR(__xludf.DUMMYFUNCTION("TRIM(REGEXREPLACE(C1803, ""[0-9]+[a-f]?\."", """"))"),"What illness limits you in this way?")</f>
        <v>What illness limits you in this way?</v>
      </c>
      <c r="H1803" s="172" t="str">
        <f>IFERROR(__xludf.DUMMYFUNCTION("TRIM(REGEXREPLACE(D1803, ""[0-9]+[a-f]?\."", """"))"),"Quelle maladie vous limite de cette manière ?")</f>
        <v>Quelle maladie vous limite de cette manière ?</v>
      </c>
      <c r="I1803" s="172" t="str">
        <f>IFERROR(__xludf.DUMMYFUNCTION("TRIM(REGEXREPLACE(E1803, ""[0-9]+[a-f]?\."", """"))"),"Wace cuta ce ke tsaida ku kenan ?")</f>
        <v>Wace cuta ce ke tsaida ku kenan ?</v>
      </c>
      <c r="J1803" s="172" t="str">
        <f t="shared" ref="J1803:L1803" si="330">$F1803 &amp; ". " &amp;G1803</f>
        <v>307. What illness limits you in this way?</v>
      </c>
      <c r="K1803" s="172" t="str">
        <f t="shared" si="330"/>
        <v>307. Quelle maladie vous limite de cette manière ?</v>
      </c>
      <c r="L1803" s="172" t="str">
        <f t="shared" si="330"/>
        <v>307. Wace cuta ce ke tsaida ku kenan ?</v>
      </c>
    </row>
    <row r="1804">
      <c r="A1804" s="246" t="s">
        <v>231</v>
      </c>
      <c r="B1804" s="247" t="s">
        <v>5957</v>
      </c>
      <c r="C1804" s="247" t="s">
        <v>2941</v>
      </c>
      <c r="D1804" s="247" t="s">
        <v>2942</v>
      </c>
      <c r="E1804" s="247" t="s">
        <v>5958</v>
      </c>
      <c r="F1804" s="182">
        <v>308.0</v>
      </c>
      <c r="G1804" s="172" t="str">
        <f>IFERROR(__xludf.DUMMYFUNCTION("TRIM(REGEXREPLACE(C1804, ""[0-9]+[a-f]?\."", """"))"),"Other, specify:")</f>
        <v>Other, specify:</v>
      </c>
      <c r="H1804" s="172" t="str">
        <f>IFERROR(__xludf.DUMMYFUNCTION("TRIM(REGEXREPLACE(D1804, ""[0-9]+[a-f]?\."", """"))"),"Autre précisez:")</f>
        <v>Autre précisez:</v>
      </c>
      <c r="I1804" s="172" t="str">
        <f>IFERROR(__xludf.DUMMYFUNCTION("TRIM(REGEXREPLACE(E1804, ""[0-9]+[a-f]?\."", """"))"),"wani daban baiyana")</f>
        <v>wani daban baiyana</v>
      </c>
      <c r="J1804" s="172" t="str">
        <f t="shared" ref="J1804:L1804" si="331">$F1804 &amp; ". " &amp;G1804</f>
        <v>308. Other, specify:</v>
      </c>
      <c r="K1804" s="172" t="str">
        <f t="shared" si="331"/>
        <v>308. Autre précisez:</v>
      </c>
      <c r="L1804" s="172" t="str">
        <f t="shared" si="331"/>
        <v>308. wani daban baiyana</v>
      </c>
    </row>
    <row r="1805">
      <c r="A1805" s="207" t="s">
        <v>41</v>
      </c>
      <c r="B1805" s="208" t="s">
        <v>5959</v>
      </c>
      <c r="C1805" s="208" t="s">
        <v>2946</v>
      </c>
      <c r="D1805" s="208" t="s">
        <v>2947</v>
      </c>
      <c r="E1805" s="208" t="s">
        <v>5960</v>
      </c>
      <c r="F1805" s="182">
        <v>309.0</v>
      </c>
      <c r="G1805" s="172" t="str">
        <f>IFERROR(__xludf.DUMMYFUNCTION("TRIM(REGEXREPLACE(C1805, ""[0-9]+[a-f]?\."", """"))"),"Now I want to ask you about the past week (7 days)")</f>
        <v>Now I want to ask you about the past week (7 days)</v>
      </c>
      <c r="H1805" s="172" t="str">
        <f>IFERROR(__xludf.DUMMYFUNCTION("TRIM(REGEXREPLACE(D1805, ""[0-9]+[a-f]?\."", """"))"),"Maintenant, je veux vous poser des questions sur la semaine dernière (7 jours)")</f>
        <v>Maintenant, je veux vous poser des questions sur la semaine dernière (7 jours)</v>
      </c>
      <c r="I1805" s="172" t="str">
        <f>IFERROR(__xludf.DUMMYFUNCTION("TRIM(REGEXREPLACE(E1805, ""[0-9]+[a-f]?\."", """"))"),"Yanzu ina so in muku tambayoyi kan satin da ya gabata (kwana 7)")</f>
        <v>Yanzu ina so in muku tambayoyi kan satin da ya gabata (kwana 7)</v>
      </c>
      <c r="J1805" s="172" t="str">
        <f t="shared" ref="J1805:L1805" si="332">$F1805 &amp; ". " &amp;G1805</f>
        <v>309. Now I want to ask you about the past week (7 days)</v>
      </c>
      <c r="K1805" s="172" t="str">
        <f t="shared" si="332"/>
        <v>309. Maintenant, je veux vous poser des questions sur la semaine dernière (7 jours)</v>
      </c>
      <c r="L1805" s="172" t="str">
        <f t="shared" si="332"/>
        <v>309. Yanzu ina so in muku tambayoyi kan satin da ya gabata (kwana 7)</v>
      </c>
    </row>
    <row r="1806">
      <c r="A1806" s="215" t="s">
        <v>353</v>
      </c>
      <c r="B1806" s="216" t="s">
        <v>5961</v>
      </c>
      <c r="C1806" s="216" t="s">
        <v>2950</v>
      </c>
      <c r="D1806" s="216" t="s">
        <v>2951</v>
      </c>
      <c r="E1806" s="216" t="s">
        <v>2952</v>
      </c>
      <c r="F1806" s="182">
        <v>310.0</v>
      </c>
      <c r="G1806" s="172" t="str">
        <f>IFERROR(__xludf.DUMMYFUNCTION("TRIM(REGEXREPLACE(C1806, ""[0-9]+[a-f]?\."", """"))"),"In the past 7 days have you cut the size of meals or skipped meals?")</f>
        <v>In the past 7 days have you cut the size of meals or skipped meals?</v>
      </c>
      <c r="H1806" s="172" t="str">
        <f>IFERROR(__xludf.DUMMYFUNCTION("TRIM(REGEXREPLACE(D1806, ""[0-9]+[a-f]?\."", """"))"),"Au cours des 7 derniers jours, avez-vous réduit la taille des repas ou sauté des repas ?")</f>
        <v>Au cours des 7 derniers jours, avez-vous réduit la taille des repas ou sauté des repas ?</v>
      </c>
      <c r="I1806" s="172" t="str">
        <f>IFERROR(__xludf.DUMMYFUNCTION("TRIM(REGEXREPLACE(E1806, ""[0-9]+[a-f]?\."", """"))"),"A cikin kwanaki 7 da suka gabata kun rage yawan abincin da kuka saba ci ko kun tsallake shi gabaɗaya?")</f>
        <v>A cikin kwanaki 7 da suka gabata kun rage yawan abincin da kuka saba ci ko kun tsallake shi gabaɗaya?</v>
      </c>
      <c r="J1806" s="172" t="str">
        <f t="shared" ref="J1806:L1806" si="333">$F1806 &amp; ". " &amp;G1806</f>
        <v>310. In the past 7 days have you cut the size of meals or skipped meals?</v>
      </c>
      <c r="K1806" s="172" t="str">
        <f t="shared" si="333"/>
        <v>310. Au cours des 7 derniers jours, avez-vous réduit la taille des repas ou sauté des repas ?</v>
      </c>
      <c r="L1806" s="172" t="str">
        <f t="shared" si="333"/>
        <v>310. A cikin kwanaki 7 da suka gabata kun rage yawan abincin da kuka saba ci ko kun tsallake shi gabaɗaya?</v>
      </c>
    </row>
    <row r="1807">
      <c r="A1807" s="253" t="s">
        <v>246</v>
      </c>
      <c r="B1807" s="254" t="s">
        <v>5962</v>
      </c>
      <c r="C1807" s="254" t="s">
        <v>2957</v>
      </c>
      <c r="D1807" s="254" t="s">
        <v>2958</v>
      </c>
      <c r="E1807" s="254" t="s">
        <v>2959</v>
      </c>
      <c r="F1807" s="182">
        <v>311.0</v>
      </c>
      <c r="G1807" s="172" t="str">
        <f>IFERROR(__xludf.DUMMYFUNCTION("TRIM(REGEXREPLACE(C1807, ""[0-9]+[a-f]?\."", """"))"),"How many days?")</f>
        <v>How many days?</v>
      </c>
      <c r="H1807" s="172" t="str">
        <f>IFERROR(__xludf.DUMMYFUNCTION("TRIM(REGEXREPLACE(D1807, ""[0-9]+[a-f]?\."", """"))"),"Combien de jours ?")</f>
        <v>Combien de jours ?</v>
      </c>
      <c r="I1807" s="172" t="str">
        <f>IFERROR(__xludf.DUMMYFUNCTION("TRIM(REGEXREPLACE(E1807, ""[0-9]+[a-f]?\."", """"))"),"Kwana nawa?")</f>
        <v>Kwana nawa?</v>
      </c>
      <c r="J1807" s="172" t="str">
        <f t="shared" ref="J1807:L1807" si="334">$F1807 &amp; ". " &amp;G1807</f>
        <v>311. How many days?</v>
      </c>
      <c r="K1807" s="172" t="str">
        <f t="shared" si="334"/>
        <v>311. Combien de jours ?</v>
      </c>
      <c r="L1807" s="172" t="str">
        <f t="shared" si="334"/>
        <v>311. Kwana nawa?</v>
      </c>
    </row>
    <row r="1808">
      <c r="A1808" s="253" t="s">
        <v>246</v>
      </c>
      <c r="B1808" s="254" t="s">
        <v>5963</v>
      </c>
      <c r="C1808" s="254" t="s">
        <v>2961</v>
      </c>
      <c r="D1808" s="254" t="s">
        <v>2962</v>
      </c>
      <c r="E1808" s="254" t="s">
        <v>5964</v>
      </c>
      <c r="F1808" s="182">
        <v>312.0</v>
      </c>
      <c r="G1808" s="172" t="str">
        <f>IFERROR(__xludf.DUMMYFUNCTION("TRIM(REGEXREPLACE(C1808, ""[0-9]+[a-f]?\."", """"))"),"In the past week how many days did you consume animal protein (fish, meat, poultry)?")</f>
        <v>In the past week how many days did you consume animal protein (fish, meat, poultry)?</v>
      </c>
      <c r="H1808" s="172" t="str">
        <f>IFERROR(__xludf.DUMMYFUNCTION("TRIM(REGEXREPLACE(D1808, ""[0-9]+[a-f]?\."", """"))"),"Au cours de la semaine écoulée, combien de fois avez-vous consommé des protéines animales (poisson, viande, volaille) ?")</f>
        <v>Au cours de la semaine écoulée, combien de fois avez-vous consommé des protéines animales (poisson, viande, volaille) ?</v>
      </c>
      <c r="I1808" s="172" t="str">
        <f>IFERROR(__xludf.DUMMYFUNCTION("TRIM(REGEXREPLACE(E1808, ""[0-9]+[a-f]?\."", """"))"),"A cikin satin da ya gabata sau nawa kuka ci abinci masu gina jiki kamar (kifi, nama, kaji)?")</f>
        <v>A cikin satin da ya gabata sau nawa kuka ci abinci masu gina jiki kamar (kifi, nama, kaji)?</v>
      </c>
      <c r="J1808" s="172" t="str">
        <f t="shared" ref="J1808:L1808" si="335">$F1808 &amp; ". " &amp;G1808</f>
        <v>312. In the past week how many days did you consume animal protein (fish, meat, poultry)?</v>
      </c>
      <c r="K1808" s="172" t="str">
        <f t="shared" si="335"/>
        <v>312. Au cours de la semaine écoulée, combien de fois avez-vous consommé des protéines animales (poisson, viande, volaille) ?</v>
      </c>
      <c r="L1808" s="172" t="str">
        <f t="shared" si="335"/>
        <v>312. A cikin satin da ya gabata sau nawa kuka ci abinci masu gina jiki kamar (kifi, nama, kaji)?</v>
      </c>
    </row>
    <row r="1809">
      <c r="A1809" s="253" t="s">
        <v>246</v>
      </c>
      <c r="B1809" s="254" t="s">
        <v>5965</v>
      </c>
      <c r="C1809" s="254" t="s">
        <v>2968</v>
      </c>
      <c r="D1809" s="254" t="s">
        <v>2969</v>
      </c>
      <c r="E1809" s="254" t="s">
        <v>2970</v>
      </c>
      <c r="F1809" s="182">
        <v>313.0</v>
      </c>
      <c r="G1809" s="172" t="str">
        <f>IFERROR(__xludf.DUMMYFUNCTION("TRIM(REGEXREPLACE(C1809, ""[0-9]+[a-f]?\."", """"))"),"How many hours of sleep per night did you get on average in the last seven days?")</f>
        <v>How many hours of sleep per night did you get on average in the last seven days?</v>
      </c>
      <c r="H1809" s="172" t="str">
        <f>IFERROR(__xludf.DUMMYFUNCTION("TRIM(REGEXREPLACE(D1809, ""[0-9]+[a-f]?\."", """"))"),"Combien d'heures de sommeil par nuit avez-vous dormi en moyenne au cours des sept derniers jours ?")</f>
        <v>Combien d'heures de sommeil par nuit avez-vous dormi en moyenne au cours des sept derniers jours ?</v>
      </c>
      <c r="I1809" s="172" t="str">
        <f>IFERROR(__xludf.DUMMYFUNCTION("TRIM(REGEXREPLACE(E1809, ""[0-9]+[a-f]?\."", """"))"),"Sa'o'i nawa kuka yi barci a kowane dare a taƙaice cikin kwanaki bakwai da suka wuce?")</f>
        <v>Sa'o'i nawa kuka yi barci a kowane dare a taƙaice cikin kwanaki bakwai da suka wuce?</v>
      </c>
      <c r="J1809" s="172" t="str">
        <f t="shared" ref="J1809:L1809" si="336">$F1809 &amp; ". " &amp;G1809</f>
        <v>313. How many hours of sleep per night did you get on average in the last seven days?</v>
      </c>
      <c r="K1809" s="172" t="str">
        <f t="shared" si="336"/>
        <v>313. Combien d'heures de sommeil par nuit avez-vous dormi en moyenne au cours des sept derniers jours ?</v>
      </c>
      <c r="L1809" s="172" t="str">
        <f t="shared" si="336"/>
        <v>313. Sa'o'i nawa kuka yi barci a kowane dare a taƙaice cikin kwanaki bakwai da suka wuce?</v>
      </c>
    </row>
    <row r="1810" hidden="1">
      <c r="A1810" s="211" t="s">
        <v>107</v>
      </c>
      <c r="B1810" s="311" t="s">
        <v>5966</v>
      </c>
      <c r="C1810" s="214"/>
      <c r="D1810" s="214"/>
      <c r="E1810" s="214"/>
    </row>
    <row r="1811">
      <c r="A1811" s="215" t="s">
        <v>5579</v>
      </c>
      <c r="B1811" s="273" t="s">
        <v>5967</v>
      </c>
      <c r="C1811" s="216" t="s">
        <v>2978</v>
      </c>
      <c r="D1811" s="216" t="s">
        <v>2979</v>
      </c>
      <c r="E1811" s="216" t="s">
        <v>2980</v>
      </c>
      <c r="F1811" s="182">
        <v>314.0</v>
      </c>
      <c r="G1811" s="172" t="str">
        <f>IFERROR(__xludf.DUMMYFUNCTION("TRIM(REGEXREPLACE(C1811, ""[0-9]+[a-f]?\."", """"))"),"In the past week, how often did you experience the following feelings?")</f>
        <v>In the past week, how often did you experience the following feelings?</v>
      </c>
      <c r="H1811" s="172" t="str">
        <f>IFERROR(__xludf.DUMMYFUNCTION("TRIM(REGEXREPLACE(D1811, ""[0-9]+[a-f]?\."", """"))"),"Au cours de la semaine dernière, à quelle fréquence avez-vous ressenti les sentiments suivants ?")</f>
        <v>Au cours de la semaine dernière, à quelle fréquence avez-vous ressenti les sentiments suivants ?</v>
      </c>
      <c r="I1811" s="172" t="str">
        <f>IFERROR(__xludf.DUMMYFUNCTION("TRIM(REGEXREPLACE(E1811, ""[0-9]+[a-f]?\."", """"))"),"A cikin satin da ya wuce, sau nawa kuka ji irin waɗannan abubuwan a ranku?")</f>
        <v>A cikin satin da ya wuce, sau nawa kuka ji irin waɗannan abubuwan a ranku?</v>
      </c>
      <c r="J1811" s="172" t="str">
        <f t="shared" ref="J1811:L1811" si="337">$F1811 &amp; ". " &amp;G1811</f>
        <v>314. In the past week, how often did you experience the following feelings?</v>
      </c>
      <c r="K1811" s="172" t="str">
        <f t="shared" si="337"/>
        <v>314. Au cours de la semaine dernière, à quelle fréquence avez-vous ressenti les sentiments suivants ?</v>
      </c>
      <c r="L1811" s="172" t="str">
        <f t="shared" si="337"/>
        <v>314. A cikin satin da ya wuce, sau nawa kuka ji irin waɗannan abubuwan a ranku?</v>
      </c>
    </row>
    <row r="1812">
      <c r="A1812" s="215" t="s">
        <v>5579</v>
      </c>
      <c r="B1812" s="273" t="s">
        <v>5968</v>
      </c>
      <c r="C1812" s="216" t="s">
        <v>2982</v>
      </c>
      <c r="D1812" s="216" t="s">
        <v>2983</v>
      </c>
      <c r="E1812" s="216" t="s">
        <v>2984</v>
      </c>
      <c r="F1812" s="182">
        <v>315.0</v>
      </c>
      <c r="G1812" s="172" t="str">
        <f>IFERROR(__xludf.DUMMYFUNCTION("TRIM(REGEXREPLACE(C1812, ""[0-9]+[a-f]?\."", """"))"),"Enjoyment")</f>
        <v>Enjoyment</v>
      </c>
      <c r="H1812" s="172" t="str">
        <f>IFERROR(__xludf.DUMMYFUNCTION("TRIM(REGEXREPLACE(D1812, ""[0-9]+[a-f]?\."", """"))"),"Plaisir")</f>
        <v>Plaisir</v>
      </c>
      <c r="I1812" s="172" t="str">
        <f>IFERROR(__xludf.DUMMYFUNCTION("TRIM(REGEXREPLACE(E1812, ""[0-9]+[a-f]?\."", """"))"),"jin daɗi")</f>
        <v>jin daɗi</v>
      </c>
      <c r="J1812" s="172" t="str">
        <f t="shared" ref="J1812:L1812" si="338">$F1812 &amp; ". " &amp;G1812</f>
        <v>315. Enjoyment</v>
      </c>
      <c r="K1812" s="172" t="str">
        <f t="shared" si="338"/>
        <v>315. Plaisir</v>
      </c>
      <c r="L1812" s="172" t="str">
        <f t="shared" si="338"/>
        <v>315. jin daɗi</v>
      </c>
    </row>
    <row r="1813">
      <c r="A1813" s="215" t="s">
        <v>5579</v>
      </c>
      <c r="B1813" s="273" t="s">
        <v>5969</v>
      </c>
      <c r="C1813" s="216" t="s">
        <v>2986</v>
      </c>
      <c r="D1813" s="216" t="s">
        <v>2987</v>
      </c>
      <c r="E1813" s="216" t="s">
        <v>2988</v>
      </c>
      <c r="F1813" s="182">
        <v>316.0</v>
      </c>
      <c r="G1813" s="172" t="str">
        <f>IFERROR(__xludf.DUMMYFUNCTION("TRIM(REGEXREPLACE(C1813, ""[0-9]+[a-f]?\."", """"))"),"Happiness")</f>
        <v>Happiness</v>
      </c>
      <c r="H1813" s="172" t="str">
        <f>IFERROR(__xludf.DUMMYFUNCTION("TRIM(REGEXREPLACE(D1813, ""[0-9]+[a-f]?\."", """"))"),"Bonheur")</f>
        <v>Bonheur</v>
      </c>
      <c r="I1813" s="172" t="str">
        <f>IFERROR(__xludf.DUMMYFUNCTION("TRIM(REGEXREPLACE(E1813, ""[0-9]+[a-f]?\."", """"))"),"Farin ciki")</f>
        <v>Farin ciki</v>
      </c>
      <c r="J1813" s="172" t="str">
        <f t="shared" ref="J1813:L1813" si="339">$F1813 &amp; ". " &amp;G1813</f>
        <v>316. Happiness</v>
      </c>
      <c r="K1813" s="172" t="str">
        <f t="shared" si="339"/>
        <v>316. Bonheur</v>
      </c>
      <c r="L1813" s="172" t="str">
        <f t="shared" si="339"/>
        <v>316. Farin ciki</v>
      </c>
    </row>
    <row r="1814">
      <c r="A1814" s="215" t="s">
        <v>5579</v>
      </c>
      <c r="B1814" s="273" t="s">
        <v>5970</v>
      </c>
      <c r="C1814" s="216" t="s">
        <v>2990</v>
      </c>
      <c r="D1814" s="216" t="s">
        <v>2990</v>
      </c>
      <c r="E1814" s="216" t="s">
        <v>2991</v>
      </c>
      <c r="F1814" s="182">
        <v>317.0</v>
      </c>
      <c r="G1814" s="172" t="str">
        <f>IFERROR(__xludf.DUMMYFUNCTION("TRIM(REGEXREPLACE(C1814, ""[0-9]+[a-f]?\."", """"))"),"Stress")</f>
        <v>Stress</v>
      </c>
      <c r="H1814" s="172" t="str">
        <f>IFERROR(__xludf.DUMMYFUNCTION("TRIM(REGEXREPLACE(D1814, ""[0-9]+[a-f]?\."", """"))"),"Stress")</f>
        <v>Stress</v>
      </c>
      <c r="I1814" s="172" t="str">
        <f>IFERROR(__xludf.DUMMYFUNCTION("TRIM(REGEXREPLACE(E1814, ""[0-9]+[a-f]?\."", """"))"),"Babbar Damuwa")</f>
        <v>Babbar Damuwa</v>
      </c>
      <c r="J1814" s="172" t="str">
        <f t="shared" ref="J1814:L1814" si="340">$F1814 &amp; ". " &amp;G1814</f>
        <v>317. Stress</v>
      </c>
      <c r="K1814" s="172" t="str">
        <f t="shared" si="340"/>
        <v>317. Stress</v>
      </c>
      <c r="L1814" s="172" t="str">
        <f t="shared" si="340"/>
        <v>317. Babbar Damuwa</v>
      </c>
    </row>
    <row r="1815">
      <c r="A1815" s="215" t="s">
        <v>5579</v>
      </c>
      <c r="B1815" s="273" t="s">
        <v>5971</v>
      </c>
      <c r="C1815" s="216" t="s">
        <v>2993</v>
      </c>
      <c r="D1815" s="216" t="s">
        <v>2994</v>
      </c>
      <c r="E1815" s="216" t="s">
        <v>2995</v>
      </c>
      <c r="F1815" s="182">
        <v>318.0</v>
      </c>
      <c r="G1815" s="172" t="str">
        <f>IFERROR(__xludf.DUMMYFUNCTION("TRIM(REGEXREPLACE(C1815, ""[0-9]+[a-f]?\."", """"))"),"Worry")</f>
        <v>Worry</v>
      </c>
      <c r="H1815" s="172" t="str">
        <f>IFERROR(__xludf.DUMMYFUNCTION("TRIM(REGEXREPLACE(D1815, ""[0-9]+[a-f]?\."", """"))"),"Inquiétude")</f>
        <v>Inquiétude</v>
      </c>
      <c r="I1815" s="172" t="str">
        <f>IFERROR(__xludf.DUMMYFUNCTION("TRIM(REGEXREPLACE(E1815, ""[0-9]+[a-f]?\."", """"))"),"Damuwa")</f>
        <v>Damuwa</v>
      </c>
      <c r="J1815" s="172" t="str">
        <f t="shared" ref="J1815:L1815" si="341">$F1815 &amp; ". " &amp;G1815</f>
        <v>318. Worry</v>
      </c>
      <c r="K1815" s="172" t="str">
        <f t="shared" si="341"/>
        <v>318. Inquiétude</v>
      </c>
      <c r="L1815" s="172" t="str">
        <f t="shared" si="341"/>
        <v>318. Damuwa</v>
      </c>
    </row>
    <row r="1816">
      <c r="A1816" s="215" t="s">
        <v>5579</v>
      </c>
      <c r="B1816" s="273" t="s">
        <v>5972</v>
      </c>
      <c r="C1816" s="216" t="s">
        <v>2997</v>
      </c>
      <c r="D1816" s="216" t="s">
        <v>2998</v>
      </c>
      <c r="E1816" s="216" t="s">
        <v>2999</v>
      </c>
      <c r="F1816" s="182">
        <v>319.0</v>
      </c>
      <c r="G1816" s="172" t="str">
        <f>IFERROR(__xludf.DUMMYFUNCTION("TRIM(REGEXREPLACE(C1816, ""[0-9]+[a-f]?\."", """"))"),"Anger")</f>
        <v>Anger</v>
      </c>
      <c r="H1816" s="172" t="str">
        <f>IFERROR(__xludf.DUMMYFUNCTION("TRIM(REGEXREPLACE(D1816, ""[0-9]+[a-f]?\."", """"))"),"Colère")</f>
        <v>Colère</v>
      </c>
      <c r="I1816" s="172" t="str">
        <f>IFERROR(__xludf.DUMMYFUNCTION("TRIM(REGEXREPLACE(E1816, ""[0-9]+[a-f]?\."", """"))"),"Fushi")</f>
        <v>Fushi</v>
      </c>
      <c r="J1816" s="172" t="str">
        <f t="shared" ref="J1816:L1816" si="342">$F1816 &amp; ". " &amp;G1816</f>
        <v>319. Anger</v>
      </c>
      <c r="K1816" s="172" t="str">
        <f t="shared" si="342"/>
        <v>319. Colère</v>
      </c>
      <c r="L1816" s="172" t="str">
        <f t="shared" si="342"/>
        <v>319. Fushi</v>
      </c>
    </row>
    <row r="1817">
      <c r="A1817" s="215" t="s">
        <v>5579</v>
      </c>
      <c r="B1817" s="273" t="s">
        <v>5973</v>
      </c>
      <c r="C1817" s="216" t="s">
        <v>3002</v>
      </c>
      <c r="D1817" s="216" t="s">
        <v>3003</v>
      </c>
      <c r="E1817" s="216" t="s">
        <v>3004</v>
      </c>
      <c r="F1817" s="182">
        <v>320.0</v>
      </c>
      <c r="G1817" s="172" t="str">
        <f>IFERROR(__xludf.DUMMYFUNCTION("TRIM(REGEXREPLACE(C1817, ""[0-9]+[a-f]?\."", """"))"),"Physical pain")</f>
        <v>Physical pain</v>
      </c>
      <c r="H1817" s="172" t="str">
        <f>IFERROR(__xludf.DUMMYFUNCTION("TRIM(REGEXREPLACE(D1817, ""[0-9]+[a-f]?\."", """"))"),"Douleur physique")</f>
        <v>Douleur physique</v>
      </c>
      <c r="I1817" s="172" t="str">
        <f>IFERROR(__xludf.DUMMYFUNCTION("TRIM(REGEXREPLACE(E1817, ""[0-9]+[a-f]?\."", """"))"),"ciwon jiki")</f>
        <v>ciwon jiki</v>
      </c>
      <c r="J1817" s="172" t="str">
        <f t="shared" ref="J1817:L1817" si="343">$F1817 &amp; ". " &amp;G1817</f>
        <v>320. Physical pain</v>
      </c>
      <c r="K1817" s="172" t="str">
        <f t="shared" si="343"/>
        <v>320. Douleur physique</v>
      </c>
      <c r="L1817" s="172" t="str">
        <f t="shared" si="343"/>
        <v>320. ciwon jiki</v>
      </c>
    </row>
    <row r="1818">
      <c r="A1818" s="215" t="s">
        <v>5579</v>
      </c>
      <c r="B1818" s="273" t="s">
        <v>5974</v>
      </c>
      <c r="C1818" s="216" t="s">
        <v>3006</v>
      </c>
      <c r="D1818" s="216" t="s">
        <v>3007</v>
      </c>
      <c r="E1818" s="216" t="s">
        <v>3008</v>
      </c>
      <c r="F1818" s="182">
        <v>321.0</v>
      </c>
      <c r="G1818" s="172" t="str">
        <f>IFERROR(__xludf.DUMMYFUNCTION("TRIM(REGEXREPLACE(C1818, ""[0-9]+[a-f]?\."", """"))"),"Loneliness")</f>
        <v>Loneliness</v>
      </c>
      <c r="H1818" s="172" t="str">
        <f>IFERROR(__xludf.DUMMYFUNCTION("TRIM(REGEXREPLACE(D1818, ""[0-9]+[a-f]?\."", """"))"),"Solitude")</f>
        <v>Solitude</v>
      </c>
      <c r="I1818" s="172" t="str">
        <f>IFERROR(__xludf.DUMMYFUNCTION("TRIM(REGEXREPLACE(E1818, ""[0-9]+[a-f]?\."", """"))"),"kadaici")</f>
        <v>kadaici</v>
      </c>
      <c r="J1818" s="172" t="str">
        <f t="shared" ref="J1818:L1818" si="344">$F1818 &amp; ". " &amp;G1818</f>
        <v>321. Loneliness</v>
      </c>
      <c r="K1818" s="172" t="str">
        <f t="shared" si="344"/>
        <v>321. Solitude</v>
      </c>
      <c r="L1818" s="172" t="str">
        <f t="shared" si="344"/>
        <v>321. kadaici</v>
      </c>
    </row>
    <row r="1819" hidden="1">
      <c r="A1819" s="211" t="s">
        <v>238</v>
      </c>
      <c r="B1819" s="211" t="s">
        <v>5966</v>
      </c>
      <c r="C1819" s="225"/>
      <c r="D1819" s="225"/>
      <c r="E1819" s="225"/>
    </row>
    <row r="1820" hidden="1">
      <c r="A1820" s="211" t="s">
        <v>107</v>
      </c>
      <c r="B1820" s="311" t="s">
        <v>5975</v>
      </c>
      <c r="C1820" s="214"/>
      <c r="D1820" s="214"/>
      <c r="E1820" s="214"/>
    </row>
    <row r="1821">
      <c r="A1821" s="215" t="s">
        <v>5939</v>
      </c>
      <c r="B1821" s="273" t="s">
        <v>5976</v>
      </c>
      <c r="C1821" s="216" t="s">
        <v>3022</v>
      </c>
      <c r="D1821" s="216" t="s">
        <v>3023</v>
      </c>
      <c r="E1821" s="216" t="s">
        <v>3024</v>
      </c>
      <c r="F1821" s="182">
        <v>322.0</v>
      </c>
      <c r="G1821" s="172" t="str">
        <f>IFERROR(__xludf.DUMMYFUNCTION("TRIM(REGEXREPLACE(C1821, ""[0-9]+[a-f]?\."", """"))"),"I will now read out several statements. You should tell me whether these statements are true for you by using the following scale.")</f>
        <v>I will now read out several statements. You should tell me whether these statements are true for you by using the following scale.</v>
      </c>
      <c r="H1821" s="172" t="str">
        <f>IFERROR(__xludf.DUMMYFUNCTION("TRIM(REGEXREPLACE(D1821, ""[0-9]+[a-f]?\."", """"))"),"Je vais maintenant lire plusieurs déclarations. Vous devez me dire si ces affirmations sont vraies pour vous en utilisant l'échelle suivante.")</f>
        <v>Je vais maintenant lire plusieurs déclarations. Vous devez me dire si ces affirmations sont vraies pour vous en utilisant l'échelle suivante.</v>
      </c>
      <c r="I1821" s="172" t="str">
        <f>IFERROR(__xludf.DUMMYFUNCTION("TRIM(REGEXREPLACE(E1821, ""[0-9]+[a-f]?\."", """"))"),"Yanzu zan karanta wasu maganganu da yawa. Za ku gaya mini ko waɗannan maganganun sun yi daidai da ku ta hanyar yin amfani da kuranga mai zuwa.")</f>
        <v>Yanzu zan karanta wasu maganganu da yawa. Za ku gaya mini ko waɗannan maganganun sun yi daidai da ku ta hanyar yin amfani da kuranga mai zuwa.</v>
      </c>
      <c r="J1821" s="172" t="str">
        <f t="shared" ref="J1821:L1821" si="345">$F1821 &amp; ". " &amp;G1821</f>
        <v>322. I will now read out several statements. You should tell me whether these statements are true for you by using the following scale.</v>
      </c>
      <c r="K1821" s="172" t="str">
        <f t="shared" si="345"/>
        <v>322. Je vais maintenant lire plusieurs déclarations. Vous devez me dire si ces affirmations sont vraies pour vous en utilisant l'échelle suivante.</v>
      </c>
      <c r="L1821" s="172" t="str">
        <f t="shared" si="345"/>
        <v>322. Yanzu zan karanta wasu maganganu da yawa. Za ku gaya mini ko waɗannan maganganun sun yi daidai da ku ta hanyar yin amfani da kuranga mai zuwa.</v>
      </c>
    </row>
    <row r="1822">
      <c r="A1822" s="215" t="s">
        <v>5939</v>
      </c>
      <c r="B1822" s="273" t="s">
        <v>5977</v>
      </c>
      <c r="C1822" s="216" t="s">
        <v>3026</v>
      </c>
      <c r="D1822" s="216" t="s">
        <v>3028</v>
      </c>
      <c r="E1822" s="216" t="s">
        <v>5978</v>
      </c>
      <c r="F1822" s="182">
        <v>323.0</v>
      </c>
      <c r="G1822" s="172" t="str">
        <f>IFERROR(__xludf.DUMMYFUNCTION("TRIM(REGEXREPLACE(C1822, ""[0-9]+[a-f]?\."", """"))"),"I feel I do not have much to be proud of.")</f>
        <v>I feel I do not have much to be proud of.</v>
      </c>
      <c r="H1822" s="172" t="str">
        <f>IFERROR(__xludf.DUMMYFUNCTION("TRIM(REGEXREPLACE(D1822, ""[0-9]+[a-f]?\."", """"))"),"Je sens que je n'ai pas beaucoup de raisons d'être fier (comblé).")</f>
        <v>Je sens que je n'ai pas beaucoup de raisons d'être fier (comblé).</v>
      </c>
      <c r="I1822" s="172" t="str">
        <f>IFERROR(__xludf.DUMMYFUNCTION("TRIM(REGEXREPLACE(E1822, ""[0-9]+[a-f]?\."", """"))"),"Ina jin ba ni da hujjojin ji da kaina.")</f>
        <v>Ina jin ba ni da hujjojin ji da kaina.</v>
      </c>
      <c r="J1822" s="172" t="str">
        <f t="shared" ref="J1822:L1822" si="346">$F1822 &amp; ". " &amp;G1822</f>
        <v>323. I feel I do not have much to be proud of.</v>
      </c>
      <c r="K1822" s="172" t="str">
        <f t="shared" si="346"/>
        <v>323. Je sens que je n'ai pas beaucoup de raisons d'être fier (comblé).</v>
      </c>
      <c r="L1822" s="172" t="str">
        <f t="shared" si="346"/>
        <v>323. Ina jin ba ni da hujjojin ji da kaina.</v>
      </c>
    </row>
    <row r="1823">
      <c r="A1823" s="215" t="s">
        <v>5939</v>
      </c>
      <c r="B1823" s="273" t="s">
        <v>5979</v>
      </c>
      <c r="C1823" s="216" t="s">
        <v>3033</v>
      </c>
      <c r="D1823" s="216" t="s">
        <v>3034</v>
      </c>
      <c r="E1823" s="216" t="s">
        <v>5980</v>
      </c>
      <c r="F1823" s="182">
        <v>324.0</v>
      </c>
      <c r="G1823" s="172" t="str">
        <f>IFERROR(__xludf.DUMMYFUNCTION("TRIM(REGEXREPLACE(C1823, ""[0-9]+[a-f]?\."", """"))"),"At times I think I am no good at all.")</f>
        <v>At times I think I am no good at all.</v>
      </c>
      <c r="H1823" s="172" t="str">
        <f>IFERROR(__xludf.DUMMYFUNCTION("TRIM(REGEXREPLACE(D1823, ""[0-9]+[a-f]?\."", """"))"),"Parfois, je pense que je ne suis utile à rien")</f>
        <v>Parfois, je pense que je ne suis utile à rien</v>
      </c>
      <c r="I1823" s="172" t="str">
        <f>IFERROR(__xludf.DUMMYFUNCTION("TRIM(REGEXREPLACE(E1823, ""[0-9]+[a-f]?\."", """"))"),"A wasu lokuta ina ganin ba ni da amfani komai.")</f>
        <v>A wasu lokuta ina ganin ba ni da amfani komai.</v>
      </c>
      <c r="J1823" s="172" t="str">
        <f t="shared" ref="J1823:L1823" si="347">$F1823 &amp; ". " &amp;G1823</f>
        <v>324. At times I think I am no good at all.</v>
      </c>
      <c r="K1823" s="172" t="str">
        <f t="shared" si="347"/>
        <v>324. Parfois, je pense que je ne suis utile à rien</v>
      </c>
      <c r="L1823" s="172" t="str">
        <f t="shared" si="347"/>
        <v>324. A wasu lokuta ina ganin ba ni da amfani komai.</v>
      </c>
    </row>
    <row r="1824" hidden="1">
      <c r="A1824" s="211" t="s">
        <v>238</v>
      </c>
      <c r="B1824" s="211" t="s">
        <v>5975</v>
      </c>
      <c r="C1824" s="225"/>
      <c r="D1824" s="225"/>
      <c r="E1824" s="225"/>
    </row>
    <row r="1825">
      <c r="A1825" s="253" t="s">
        <v>246</v>
      </c>
      <c r="B1825" s="312" t="s">
        <v>5981</v>
      </c>
      <c r="C1825" s="254" t="s">
        <v>3043</v>
      </c>
      <c r="D1825" s="254" t="s">
        <v>3044</v>
      </c>
      <c r="E1825" s="254" t="s">
        <v>3045</v>
      </c>
      <c r="F1825" s="182">
        <v>325.0</v>
      </c>
      <c r="G1825" s="172" t="str">
        <f>IFERROR(__xludf.DUMMYFUNCTION("TRIM(REGEXREPLACE(C1825, ""[0-9]+[a-f]?\."", """"))"),"Suppose we say that the top of the ladder represents the best possible life for you and the bottom of the ladder represents the worst possible life for you. If the top step is 10 and the bottom step is 0, on which step of the ladder do you feel you person"&amp;"ally stand at the present time?")</f>
        <v>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v>
      </c>
      <c r="H1825" s="172" t="str">
        <f>IFERROR(__xludf.DUMMYFUNCTION("TRIM(REGEXREPLACE(D1825, ""[0-9]+[a-f]?\."", """"))"),"Supposons que le haut de l'échelle représente la meilleure vie possible pour vous et que le bas de l'échelle représente la pire vie possible pour vous. Si l'échelon supérieur est 10 et l'échelon inférieur est 0, sur quel échelon de l'échelle pensez-vous q"&amp;"ue vous vous situez personnellement à l'heure actuelle ?")</f>
        <v>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v>
      </c>
      <c r="I1825" s="172" t="str">
        <f>IFERROR(__xludf.DUMMYFUNCTION("TRIM(REGEXREPLACE(E1825, ""[0-9]+[a-f]?\."", """"))"),"A ce saman kuranga tana nuna mafi kyawun rayuwa a gare ku kuma kasan kuranga tana nuna mafi munin rayuwa a gareku. Idan matakin saman ya kasance 10 kuma matakin ƙasa shine 0, akan wane mataki na kurangar kake jin kai da kanka kake a halin yanzu?")</f>
        <v>A ce saman kuranga tana nuna mafi kyawun rayuwa a gare ku kuma kasan kuranga tana nuna mafi munin rayuwa a gareku. Idan matakin saman ya kasance 10 kuma matakin ƙasa shine 0, akan wane mataki na kurangar kake jin kai da kanka kake a halin yanzu?</v>
      </c>
      <c r="J1825" s="172" t="str">
        <f t="shared" ref="J1825:L1825" si="348">$F1825 &amp; ". " &amp;G1825</f>
        <v>325.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v>
      </c>
      <c r="K1825" s="172" t="str">
        <f t="shared" si="348"/>
        <v>325.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v>
      </c>
      <c r="L1825" s="172" t="str">
        <f t="shared" si="348"/>
        <v>325. A ce saman kuranga tana nuna mafi kyawun rayuwa a gare ku kuma kasan kuranga tana nuna mafi munin rayuwa a gareku. Idan matakin saman ya kasance 10 kuma matakin ƙasa shine 0, akan wane mataki na kurangar kake jin kai da kanka kake a halin yanzu?</v>
      </c>
    </row>
    <row r="1826" hidden="1">
      <c r="A1826" s="188" t="s">
        <v>118</v>
      </c>
      <c r="B1826" s="279" t="s">
        <v>5982</v>
      </c>
      <c r="C1826" s="190"/>
      <c r="D1826" s="190"/>
      <c r="E1826" s="190"/>
    </row>
    <row r="1827" hidden="1">
      <c r="A1827" s="188" t="s">
        <v>68</v>
      </c>
      <c r="B1827" s="279" t="s">
        <v>5983</v>
      </c>
      <c r="C1827" s="190"/>
      <c r="D1827" s="290"/>
      <c r="E1827" s="290"/>
    </row>
    <row r="1828" hidden="1">
      <c r="A1828" s="310"/>
      <c r="B1828" s="227"/>
      <c r="C1828" s="174"/>
      <c r="D1828" s="174"/>
      <c r="E1828" s="174"/>
    </row>
    <row r="1829" hidden="1">
      <c r="A1829" s="188" t="s">
        <v>118</v>
      </c>
      <c r="B1829" s="279" t="s">
        <v>5984</v>
      </c>
      <c r="C1829" s="190"/>
      <c r="D1829" s="190"/>
      <c r="E1829" s="190"/>
    </row>
    <row r="1830">
      <c r="A1830" s="207" t="s">
        <v>41</v>
      </c>
      <c r="B1830" s="208" t="s">
        <v>5985</v>
      </c>
      <c r="C1830" s="208" t="s">
        <v>3065</v>
      </c>
      <c r="D1830" s="208" t="s">
        <v>3066</v>
      </c>
      <c r="E1830" s="208" t="s">
        <v>3067</v>
      </c>
      <c r="F1830" s="182">
        <v>326.0</v>
      </c>
      <c r="G1830" s="172" t="str">
        <f>IFERROR(__xludf.DUMMYFUNCTION("TRIM(REGEXREPLACE(C1830, ""[0-9]+[a-f]?\."", """"))"),"I will now ask a few more questions about identity and health documents many people living here have.")</f>
        <v>I will now ask a few more questions about identity and health documents many people living here have.</v>
      </c>
      <c r="H1830" s="172" t="str">
        <f>IFERROR(__xludf.DUMMYFUNCTION("TRIM(REGEXREPLACE(D1830, ""[0-9]+[a-f]?\."", """"))"),"Je vais maintenant poser quelques questions supplémentaires sur les documents d'identité et de santé que possèdent de nombreuses personnes vivant ici.")</f>
        <v>Je vais maintenant poser quelques questions supplémentaires sur les documents d'identité et de santé que possèdent de nombreuses personnes vivant ici.</v>
      </c>
      <c r="I1830" s="172" t="str">
        <f>IFERROR(__xludf.DUMMYFUNCTION("TRIM(REGEXREPLACE(E1830, ""[0-9]+[a-f]?\."", """"))"),"Yanzu zan muku yi ƙarin tambayoyi game da takardun ɗan kasa da kiwon lafiya da yawan mutane wanda ke zaune a nan suke da su.")</f>
        <v>Yanzu zan muku yi ƙarin tambayoyi game da takardun ɗan kasa da kiwon lafiya da yawan mutane wanda ke zaune a nan suke da su.</v>
      </c>
      <c r="J1830" s="172" t="str">
        <f t="shared" ref="J1830:L1830" si="349">$F1830 &amp; ". " &amp;G1830</f>
        <v>326. I will now ask a few more questions about identity and health documents many people living here have.</v>
      </c>
      <c r="K1830" s="172" t="str">
        <f t="shared" si="349"/>
        <v>326. Je vais maintenant poser quelques questions supplémentaires sur les documents d'identité et de santé que possèdent de nombreuses personnes vivant ici.</v>
      </c>
      <c r="L1830" s="172" t="str">
        <f t="shared" si="349"/>
        <v>326. Yanzu zan muku yi ƙarin tambayoyi game da takardun ɗan kasa da kiwon lafiya da yawan mutane wanda ke zaune a nan suke da su.</v>
      </c>
    </row>
    <row r="1831">
      <c r="A1831" s="215" t="s">
        <v>3423</v>
      </c>
      <c r="B1831" s="216" t="s">
        <v>5986</v>
      </c>
      <c r="C1831" s="216" t="s">
        <v>3069</v>
      </c>
      <c r="D1831" s="216" t="s">
        <v>3070</v>
      </c>
      <c r="E1831" s="216" t="s">
        <v>3071</v>
      </c>
      <c r="F1831" s="182">
        <v>327.0</v>
      </c>
      <c r="G1831" s="172" t="str">
        <f>IFERROR(__xludf.DUMMYFUNCTION("TRIM(REGEXREPLACE(C1831, ""[0-9]+[a-f]?\."", """"))"),"Do you have a national ID card?")</f>
        <v>Do you have a national ID card?</v>
      </c>
      <c r="H1831" s="172" t="str">
        <f>IFERROR(__xludf.DUMMYFUNCTION("TRIM(REGEXREPLACE(D1831, ""[0-9]+[a-f]?\."", """"))"),"Avez-vous une carte d'identité nationale?")</f>
        <v>Avez-vous une carte d'identité nationale?</v>
      </c>
      <c r="I1831" s="172" t="str">
        <f>IFERROR(__xludf.DUMMYFUNCTION("TRIM(REGEXREPLACE(E1831, ""[0-9]+[a-f]?\."", """"))"),"Kuna da katin shaidar ɗan kasa?")</f>
        <v>Kuna da katin shaidar ɗan kasa?</v>
      </c>
      <c r="J1831" s="172" t="str">
        <f t="shared" ref="J1831:L1831" si="350">$F1831 &amp; ". " &amp;G1831</f>
        <v>327. Do you have a national ID card?</v>
      </c>
      <c r="K1831" s="172" t="str">
        <f t="shared" si="350"/>
        <v>327. Avez-vous une carte d'identité nationale?</v>
      </c>
      <c r="L1831" s="172" t="str">
        <f t="shared" si="350"/>
        <v>327. Kuna da katin shaidar ɗan kasa?</v>
      </c>
    </row>
    <row r="1832">
      <c r="A1832" s="215" t="s">
        <v>353</v>
      </c>
      <c r="B1832" s="216" t="s">
        <v>5987</v>
      </c>
      <c r="C1832" s="216" t="s">
        <v>3073</v>
      </c>
      <c r="D1832" s="216" t="s">
        <v>3074</v>
      </c>
      <c r="E1832" s="216" t="s">
        <v>3075</v>
      </c>
      <c r="F1832" s="182">
        <v>328.0</v>
      </c>
      <c r="G1832" s="172" t="str">
        <f>IFERROR(__xludf.DUMMYFUNCTION("TRIM(REGEXREPLACE(C1832, ""[0-9]+[a-f]?\."", """"))"),"Did the respondent show you the national ID card they claimed to possess?")</f>
        <v>Did the respondent show you the national ID card they claimed to possess?</v>
      </c>
      <c r="H1832" s="172" t="str">
        <f>IFERROR(__xludf.DUMMYFUNCTION("TRIM(REGEXREPLACE(D1832, ""[0-9]+[a-f]?\."", """"))"),"Le répondant vous a-t-il montré la carte d'identité nationale qu'il prétendait posséder ?")</f>
        <v>Le répondant vous a-t-il montré la carte d'identité nationale qu'il prétendait posséder ?</v>
      </c>
      <c r="I1832" s="172" t="str">
        <f>IFERROR(__xludf.DUMMYFUNCTION("TRIM(REGEXREPLACE(E1832, ""[0-9]+[a-f]?\."", """"))"),"Ko mai bada amsa ya nuna maka katin shaidarshi na ɗan ƙasa ?")</f>
        <v>Ko mai bada amsa ya nuna maka katin shaidarshi na ɗan ƙasa ?</v>
      </c>
      <c r="J1832" s="172" t="str">
        <f t="shared" ref="J1832:L1832" si="351">$F1832 &amp; ". " &amp;G1832</f>
        <v>328. Did the respondent show you the national ID card they claimed to possess?</v>
      </c>
      <c r="K1832" s="172" t="str">
        <f t="shared" si="351"/>
        <v>328. Le répondant vous a-t-il montré la carte d'identité nationale qu'il prétendait posséder ?</v>
      </c>
      <c r="L1832" s="172" t="str">
        <f t="shared" si="351"/>
        <v>328. Ko mai bada amsa ya nuna maka katin shaidarshi na ɗan ƙasa ?</v>
      </c>
    </row>
    <row r="1833" hidden="1">
      <c r="A1833" s="313" t="s">
        <v>751</v>
      </c>
      <c r="B1833" s="314" t="s">
        <v>5988</v>
      </c>
      <c r="C1833" s="314" t="s">
        <v>5989</v>
      </c>
      <c r="D1833" s="314" t="s">
        <v>5990</v>
      </c>
      <c r="E1833" s="314" t="s">
        <v>5991</v>
      </c>
    </row>
    <row r="1834">
      <c r="A1834" s="215" t="s">
        <v>3423</v>
      </c>
      <c r="B1834" s="216" t="s">
        <v>5992</v>
      </c>
      <c r="C1834" s="216" t="s">
        <v>3077</v>
      </c>
      <c r="D1834" s="216" t="s">
        <v>3078</v>
      </c>
      <c r="E1834" s="216" t="s">
        <v>3079</v>
      </c>
      <c r="F1834" s="182">
        <v>329.0</v>
      </c>
      <c r="G1834" s="172" t="str">
        <f>IFERROR(__xludf.DUMMYFUNCTION("TRIM(REGEXREPLACE(C1834, ""[0-9]+[a-f]?\."", """"))"),"Do you have a vaccination booklet?")</f>
        <v>Do you have a vaccination booklet?</v>
      </c>
      <c r="H1834" s="172" t="str">
        <f>IFERROR(__xludf.DUMMYFUNCTION("TRIM(REGEXREPLACE(D1834, ""[0-9]+[a-f]?\."", """"))"),"Avez-vous un carnet de vaccination ?")</f>
        <v>Avez-vous un carnet de vaccination ?</v>
      </c>
      <c r="I1834" s="172" t="str">
        <f>IFERROR(__xludf.DUMMYFUNCTION("TRIM(REGEXREPLACE(E1834, ""[0-9]+[a-f]?\."", """"))"),"Kuna da takardar rigakafi?")</f>
        <v>Kuna da takardar rigakafi?</v>
      </c>
      <c r="J1834" s="172" t="str">
        <f t="shared" ref="J1834:L1834" si="352">$F1834 &amp; ". " &amp;G1834</f>
        <v>329. Do you have a vaccination booklet?</v>
      </c>
      <c r="K1834" s="172" t="str">
        <f t="shared" si="352"/>
        <v>329. Avez-vous un carnet de vaccination ?</v>
      </c>
      <c r="L1834" s="172" t="str">
        <f t="shared" si="352"/>
        <v>329. Kuna da takardar rigakafi?</v>
      </c>
    </row>
    <row r="1835">
      <c r="A1835" s="215" t="s">
        <v>353</v>
      </c>
      <c r="B1835" s="216" t="s">
        <v>5993</v>
      </c>
      <c r="C1835" s="216" t="s">
        <v>3081</v>
      </c>
      <c r="D1835" s="216" t="s">
        <v>3082</v>
      </c>
      <c r="E1835" s="216" t="s">
        <v>3083</v>
      </c>
      <c r="F1835" s="182">
        <v>330.0</v>
      </c>
      <c r="G1835" s="172" t="str">
        <f>IFERROR(__xludf.DUMMYFUNCTION("TRIM(REGEXREPLACE(C1835, ""[0-9]+[a-f]?\."", """"))"),"Did the respondent show you the vaccination booklet they claimed to possess?")</f>
        <v>Did the respondent show you the vaccination booklet they claimed to possess?</v>
      </c>
      <c r="H1835" s="172" t="str">
        <f>IFERROR(__xludf.DUMMYFUNCTION("TRIM(REGEXREPLACE(D1835, ""[0-9]+[a-f]?\."", """"))"),"L'enquêté vous a-t-il montré le carnet de vaccination qu'il prétendait posséder ?")</f>
        <v>L'enquêté vous a-t-il montré le carnet de vaccination qu'il prétendait posséder ?</v>
      </c>
      <c r="I1835" s="172" t="str">
        <f>IFERROR(__xludf.DUMMYFUNCTION("TRIM(REGEXREPLACE(E1835, ""[0-9]+[a-f]?\."", """"))"),"Ko mai bada amsa ya nuna maka takardar rigakafinshi?")</f>
        <v>Ko mai bada amsa ya nuna maka takardar rigakafinshi?</v>
      </c>
      <c r="J1835" s="172" t="str">
        <f t="shared" ref="J1835:L1835" si="353">$F1835 &amp; ". " &amp;G1835</f>
        <v>330. Did the respondent show you the vaccination booklet they claimed to possess?</v>
      </c>
      <c r="K1835" s="172" t="str">
        <f t="shared" si="353"/>
        <v>330. L'enquêté vous a-t-il montré le carnet de vaccination qu'il prétendait posséder ?</v>
      </c>
      <c r="L1835" s="172" t="str">
        <f t="shared" si="353"/>
        <v>330. Ko mai bada amsa ya nuna maka takardar rigakafinshi?</v>
      </c>
    </row>
    <row r="1836">
      <c r="A1836" s="215" t="s">
        <v>5939</v>
      </c>
      <c r="B1836" s="216" t="s">
        <v>5994</v>
      </c>
      <c r="C1836" s="216" t="s">
        <v>3085</v>
      </c>
      <c r="D1836" s="216" t="s">
        <v>3086</v>
      </c>
      <c r="E1836" s="216" t="s">
        <v>5995</v>
      </c>
      <c r="F1836" s="182">
        <v>331.0</v>
      </c>
      <c r="G1836" s="172" t="str">
        <f>IFERROR(__xludf.DUMMYFUNCTION("TRIM(REGEXREPLACE(C1836, ""[0-9]+[a-f]?\."", """"))"),"Do you agree or disagree with the following statement: when crossing borders, it is important to travel with the required identification and documents.")</f>
        <v>Do you agree or disagree with the following statement: when crossing borders, it is important to travel with the required identification and documents.</v>
      </c>
      <c r="H1836" s="172" t="str">
        <f>IFERROR(__xludf.DUMMYFUNCTION("TRIM(REGEXREPLACE(D1836, ""[0-9]+[a-f]?\."", """"))"),"Etes-vous d'accord ou pas d'accord avec l'affirmation suivante : lors du passage des frontières, il est important de voyager avec les pièces d'identité et les documents requis.")</f>
        <v>Etes-vous d'accord ou pas d'accord avec l'affirmation suivante : lors du passage des frontières, il est important de voyager avec les pièces d'identité et les documents requis.</v>
      </c>
      <c r="I1836" s="172" t="str">
        <f>IFERROR(__xludf.DUMMYFUNCTION("TRIM(REGEXREPLACE(E1836, ""[0-9]+[a-f]?\."", """"))"),"Ko ka yarda ko ba ka yarda da wannan magana ba: lokacin ketare iyakoki, yana da mahimmanci tafiya tare da takadar ɗan ƙasa da kuma takardun da ake buƙata.")</f>
        <v>Ko ka yarda ko ba ka yarda da wannan magana ba: lokacin ketare iyakoki, yana da mahimmanci tafiya tare da takadar ɗan ƙasa da kuma takardun da ake buƙata.</v>
      </c>
      <c r="J1836" s="172" t="str">
        <f t="shared" ref="J1836:L1836" si="354">$F1836 &amp; ". " &amp;G1836</f>
        <v>331. Do you agree or disagree with the following statement: when crossing borders, it is important to travel with the required identification and documents.</v>
      </c>
      <c r="K1836" s="172" t="str">
        <f t="shared" si="354"/>
        <v>331. Etes-vous d'accord ou pas d'accord avec l'affirmation suivante : lors du passage des frontières, il est important de voyager avec les pièces d'identité et les documents requis.</v>
      </c>
      <c r="L1836" s="172" t="str">
        <f t="shared" si="354"/>
        <v>331. Ko ka yarda ko ba ka yarda da wannan magana ba: lokacin ketare iyakoki, yana da mahimmanci tafiya tare da takadar ɗan ƙasa da kuma takardun da ake buƙata.</v>
      </c>
    </row>
    <row r="1837" hidden="1">
      <c r="A1837" s="172"/>
      <c r="B1837" s="174"/>
      <c r="C1837" s="174" t="s">
        <v>52</v>
      </c>
      <c r="D1837" s="174" t="s">
        <v>52</v>
      </c>
      <c r="E1837" s="174" t="s">
        <v>52</v>
      </c>
    </row>
    <row r="1838" hidden="1">
      <c r="A1838" s="211" t="s">
        <v>107</v>
      </c>
      <c r="B1838" s="212" t="s">
        <v>5996</v>
      </c>
      <c r="C1838" s="214"/>
      <c r="D1838" s="214"/>
      <c r="E1838" s="214"/>
    </row>
    <row r="1839">
      <c r="A1839" s="207" t="s">
        <v>41</v>
      </c>
      <c r="B1839" s="208" t="s">
        <v>5997</v>
      </c>
      <c r="C1839" s="208" t="s">
        <v>3089</v>
      </c>
      <c r="D1839" s="208" t="s">
        <v>3090</v>
      </c>
      <c r="E1839" s="208" t="s">
        <v>3091</v>
      </c>
      <c r="F1839" s="182">
        <v>332.0</v>
      </c>
      <c r="G1839" s="172" t="str">
        <f>IFERROR(__xludf.DUMMYFUNCTION("TRIM(REGEXREPLACE(C1839, ""[0-9]+[a-f]?\."", """"))"),"I would like to understand what you would expect to happen if you decided to travel to a neighboring country for work for at least one month.")</f>
        <v>I would like to understand what you would expect to happen if you decided to travel to a neighboring country for work for at least one month.</v>
      </c>
      <c r="H1839" s="172" t="str">
        <f>IFERROR(__xludf.DUMMYFUNCTION("TRIM(REGEXREPLACE(D1839, ""[0-9]+[a-f]?\."", """"))"),"J'aimerais comprendre ce à quoi vous vous attendriez si vous décidiez de vous rendre dans un pays voisin pour travailler pendant au moins un mois.")</f>
        <v>J'aimerais comprendre ce à quoi vous vous attendriez si vous décidiez de vous rendre dans un pays voisin pour travailler pendant au moins un mois.</v>
      </c>
      <c r="I1839" s="172" t="str">
        <f>IFERROR(__xludf.DUMMYFUNCTION("TRIM(REGEXREPLACE(E1839, ""[0-9]+[a-f]?\."", """"))"),"Ina so in fahimci abin da kuke tsammanin zai faru idan kun yanke shawarar tafiya na akalla wata ɗaya zuwa wata makwabciyar ƙasa don aiki.")</f>
        <v>Ina so in fahimci abin da kuke tsammanin zai faru idan kun yanke shawarar tafiya na akalla wata ɗaya zuwa wata makwabciyar ƙasa don aiki.</v>
      </c>
      <c r="J1839" s="172" t="str">
        <f t="shared" ref="J1839:L1839" si="355">$F1839 &amp; ". " &amp;G1839</f>
        <v>332. I would like to understand what you would expect to happen if you decided to travel to a neighboring country for work for at least one month.</v>
      </c>
      <c r="K1839" s="172" t="str">
        <f t="shared" si="355"/>
        <v>332. J'aimerais comprendre ce à quoi vous vous attendriez si vous décidiez de vous rendre dans un pays voisin pour travailler pendant au moins un mois.</v>
      </c>
      <c r="L1839" s="172" t="str">
        <f t="shared" si="355"/>
        <v>332. Ina so in fahimci abin da kuke tsammanin zai faru idan kun yanke shawarar tafiya na akalla wata ɗaya zuwa wata makwabciyar ƙasa don aiki.</v>
      </c>
    </row>
    <row r="1840">
      <c r="A1840" s="253" t="s">
        <v>246</v>
      </c>
      <c r="B1840" s="254" t="s">
        <v>5998</v>
      </c>
      <c r="C1840" s="254" t="s">
        <v>3093</v>
      </c>
      <c r="D1840" s="254" t="s">
        <v>3094</v>
      </c>
      <c r="E1840" s="254" t="s">
        <v>3095</v>
      </c>
      <c r="F1840" s="182">
        <v>333.0</v>
      </c>
      <c r="G1840" s="172" t="str">
        <f>IFERROR(__xludf.DUMMYFUNCTION("TRIM(REGEXREPLACE(C1840, ""[0-9]+[a-f]?\."", """"))"),"How much money would you expect to earn each month (before paying your expenses) in CFA?")</f>
        <v>How much money would you expect to earn each month (before paying your expenses) in CFA?</v>
      </c>
      <c r="H1840" s="172" t="str">
        <f>IFERROR(__xludf.DUMMYFUNCTION("TRIM(REGEXREPLACE(D1840, ""[0-9]+[a-f]?\."", """"))"),"Combien d'argent espérez-vous qu'il gagne chaque mois (sans depense) en CFA ?")</f>
        <v>Combien d'argent espérez-vous qu'il gagne chaque mois (sans depense) en CFA ?</v>
      </c>
      <c r="I1840" s="172" t="str">
        <f>IFERROR(__xludf.DUMMYFUNCTION("TRIM(REGEXREPLACE(E1840, ""[0-9]+[a-f]?\."", """"))"),"Nawa kuke tsammanin samu kowane wata (kafin ku biya kuɗin ku) a sefa?")</f>
        <v>Nawa kuke tsammanin samu kowane wata (kafin ku biya kuɗin ku) a sefa?</v>
      </c>
      <c r="J1840" s="172" t="str">
        <f t="shared" ref="J1840:L1840" si="356">$F1840 &amp; ". " &amp;G1840</f>
        <v>333. How much money would you expect to earn each month (before paying your expenses) in CFA?</v>
      </c>
      <c r="K1840" s="172" t="str">
        <f t="shared" si="356"/>
        <v>333. Combien d'argent espérez-vous qu'il gagne chaque mois (sans depense) en CFA ?</v>
      </c>
      <c r="L1840" s="172" t="str">
        <f t="shared" si="356"/>
        <v>333. Nawa kuke tsammanin samu kowane wata (kafin ku biya kuɗin ku) a sefa?</v>
      </c>
    </row>
    <row r="1841">
      <c r="A1841" s="253" t="s">
        <v>246</v>
      </c>
      <c r="B1841" s="254" t="s">
        <v>5999</v>
      </c>
      <c r="C1841" s="254" t="s">
        <v>3097</v>
      </c>
      <c r="D1841" s="254" t="s">
        <v>3098</v>
      </c>
      <c r="E1841" s="254" t="s">
        <v>3099</v>
      </c>
      <c r="F1841" s="182">
        <v>334.0</v>
      </c>
      <c r="G1841" s="172" t="str">
        <f>IFERROR(__xludf.DUMMYFUNCTION("TRIM(REGEXREPLACE(C1841, ""[0-9]+[a-f]?\."", """"))"),"Imagine that five years from now you are living in another West African country like Cote d'Ivoire or Nigeria. How much money do you think you would earn per month?")</f>
        <v>Imagine that five years from now you are living in another West African country like Cote d'Ivoire or Nigeria. How much money do you think you would earn per month?</v>
      </c>
      <c r="H1841" s="172" t="str">
        <f>IFERROR(__xludf.DUMMYFUNCTION("TRIM(REGEXREPLACE(D1841, ""[0-9]+[a-f]?\."", """"))"),"Imaginez que dans cinq ans vous vivez dans un autre pays d'Afrique de l'Ouest comme la Côte d'Ivoire ou le Nigeria. Combien d'argent pensez-vous que vous gagneriez par mois en CFA ?")</f>
        <v>Imaginez que dans cinq ans vous vivez dans un autre pays d'Afrique de l'Ouest comme la Côte d'Ivoire ou le Nigeria. Combien d'argent pensez-vous que vous gagneriez par mois en CFA ?</v>
      </c>
      <c r="I1841" s="172" t="str">
        <f>IFERROR(__xludf.DUMMYFUNCTION("TRIM(REGEXREPLACE(E1841, ""[0-9]+[a-f]?\."", """"))"),"Ku ƙaddara cewa shekaru biyar masu zuwa kuna zaune a wata ƙasa ta yammacin Afirka kamar Cote d'Ivoire ko Najeriya. Nawa kuke tunanin samu a kowane wata a sefa?")</f>
        <v>Ku ƙaddara cewa shekaru biyar masu zuwa kuna zaune a wata ƙasa ta yammacin Afirka kamar Cote d'Ivoire ko Najeriya. Nawa kuke tunanin samu a kowane wata a sefa?</v>
      </c>
      <c r="J1841" s="172" t="str">
        <f t="shared" ref="J1841:L1841" si="357">$F1841 &amp; ". " &amp;G1841</f>
        <v>334. Imagine that five years from now you are living in another West African country like Cote d'Ivoire or Nigeria. How much money do you think you would earn per month?</v>
      </c>
      <c r="K1841" s="172" t="str">
        <f t="shared" si="357"/>
        <v>334. Imaginez que dans cinq ans vous vivez dans un autre pays d'Afrique de l'Ouest comme la Côte d'Ivoire ou le Nigeria. Combien d'argent pensez-vous que vous gagneriez par mois en CFA ?</v>
      </c>
      <c r="L1841" s="172" t="str">
        <f t="shared" si="357"/>
        <v>334. Ku ƙaddara cewa shekaru biyar masu zuwa kuna zaune a wata ƙasa ta yammacin Afirka kamar Cote d'Ivoire ko Najeriya. Nawa kuke tunanin samu a kowane wata a sefa?</v>
      </c>
    </row>
    <row r="1842">
      <c r="A1842" s="253" t="s">
        <v>246</v>
      </c>
      <c r="B1842" s="254" t="s">
        <v>6000</v>
      </c>
      <c r="C1842" s="254" t="s">
        <v>3101</v>
      </c>
      <c r="D1842" s="254" t="s">
        <v>3102</v>
      </c>
      <c r="E1842" s="254" t="s">
        <v>3103</v>
      </c>
      <c r="F1842" s="182">
        <v>335.0</v>
      </c>
      <c r="G1842" s="172" t="str">
        <f>IFERROR(__xludf.DUMMYFUNCTION("TRIM(REGEXREPLACE(C1842, ""[0-9]+[a-f]?\."", """"))"),"How much money would you expect to share with your household each month in CFA?")</f>
        <v>How much money would you expect to share with your household each month in CFA?</v>
      </c>
      <c r="H1842" s="172" t="str">
        <f>IFERROR(__xludf.DUMMYFUNCTION("TRIM(REGEXREPLACE(D1842, ""[0-9]+[a-f]?\."", """"))"),"Combien d'argent vous attendez-vous à ce qu'il partage avec votre ménage chaque mois en CFA ?")</f>
        <v>Combien d'argent vous attendez-vous à ce qu'il partage avec votre ménage chaque mois en CFA ?</v>
      </c>
      <c r="I1842" s="172" t="str">
        <f>IFERROR(__xludf.DUMMYFUNCTION("TRIM(REGEXREPLACE(E1842, ""[0-9]+[a-f]?\."", """"))"),"Nawa kuke tsammanin zaku aikawa gidanku a kowane wata a sefa?")</f>
        <v>Nawa kuke tsammanin zaku aikawa gidanku a kowane wata a sefa?</v>
      </c>
      <c r="J1842" s="172" t="str">
        <f t="shared" ref="J1842:L1842" si="358">$F1842 &amp; ". " &amp;G1842</f>
        <v>335. How much money would you expect to share with your household each month in CFA?</v>
      </c>
      <c r="K1842" s="172" t="str">
        <f t="shared" si="358"/>
        <v>335. Combien d'argent vous attendez-vous à ce qu'il partage avec votre ménage chaque mois en CFA ?</v>
      </c>
      <c r="L1842" s="172" t="str">
        <f t="shared" si="358"/>
        <v>335. Nawa kuke tsammanin zaku aikawa gidanku a kowane wata a sefa?</v>
      </c>
    </row>
    <row r="1843">
      <c r="A1843" s="253" t="s">
        <v>246</v>
      </c>
      <c r="B1843" s="254" t="s">
        <v>6001</v>
      </c>
      <c r="C1843" s="254" t="s">
        <v>3105</v>
      </c>
      <c r="D1843" s="254" t="s">
        <v>3106</v>
      </c>
      <c r="E1843" s="254" t="s">
        <v>3107</v>
      </c>
      <c r="F1843" s="182">
        <v>336.0</v>
      </c>
      <c r="G1843" s="172" t="str">
        <f>IFERROR(__xludf.DUMMYFUNCTION("TRIM(REGEXREPLACE(C1843, ""[0-9]+[a-f]?\."", """"))"),"How much money would you expect to put aside to save for the future each month?")</f>
        <v>How much money would you expect to put aside to save for the future each month?</v>
      </c>
      <c r="H1843" s="172" t="str">
        <f>IFERROR(__xludf.DUMMYFUNCTION("TRIM(REGEXREPLACE(D1843, ""[0-9]+[a-f]?\."", """"))"),"Combien comptez-vous mettre de côté chaque mois pour épargner pour l’avenir ?")</f>
        <v>Combien comptez-vous mettre de côté chaque mois pour épargner pour l’avenir ?</v>
      </c>
      <c r="I1843" s="172" t="str">
        <f>IFERROR(__xludf.DUMMYFUNCTION("TRIM(REGEXREPLACE(E1843, ""[0-9]+[a-f]?\."", """"))"),"Nawa ne kuke ganin zaku ajiye don gaba a kowane wata?")</f>
        <v>Nawa ne kuke ganin zaku ajiye don gaba a kowane wata?</v>
      </c>
      <c r="J1843" s="172" t="str">
        <f t="shared" ref="J1843:L1843" si="359">$F1843 &amp; ". " &amp;G1843</f>
        <v>336. How much money would you expect to put aside to save for the future each month?</v>
      </c>
      <c r="K1843" s="172" t="str">
        <f t="shared" si="359"/>
        <v>336. Combien comptez-vous mettre de côté chaque mois pour épargner pour l’avenir ?</v>
      </c>
      <c r="L1843" s="172" t="str">
        <f t="shared" si="359"/>
        <v>336. Nawa ne kuke ganin zaku ajiye don gaba a kowane wata?</v>
      </c>
    </row>
    <row r="1844">
      <c r="A1844" s="253" t="s">
        <v>246</v>
      </c>
      <c r="B1844" s="254" t="s">
        <v>6002</v>
      </c>
      <c r="C1844" s="254" t="s">
        <v>3108</v>
      </c>
      <c r="D1844" s="254" t="s">
        <v>3109</v>
      </c>
      <c r="E1844" s="254" t="s">
        <v>3110</v>
      </c>
      <c r="F1844" s="182">
        <v>337.0</v>
      </c>
      <c r="G1844" s="172" t="str">
        <f>IFERROR(__xludf.DUMMYFUNCTION("TRIM(REGEXREPLACE(C1844, ""[0-9]+[a-f]?\."", """"))"),"How many times would you expect to contact members of your household each month?")</f>
        <v>How many times would you expect to contact members of your household each month?</v>
      </c>
      <c r="H1844" s="172" t="str">
        <f>IFERROR(__xludf.DUMMYFUNCTION("TRIM(REGEXREPLACE(D1844, ""[0-9]+[a-f]?\."", """"))"),"Combien de fois vous attendriez-vous à ce qu'il contacte les membres de votre ménage chaque mois ?")</f>
        <v>Combien de fois vous attendriez-vous à ce qu'il contacte les membres de votre ménage chaque mois ?</v>
      </c>
      <c r="I1844" s="172" t="str">
        <f>IFERROR(__xludf.DUMMYFUNCTION("TRIM(REGEXREPLACE(E1844, ""[0-9]+[a-f]?\."", """"))"),"Sau nawa kuke tsammanin tuntuɓar ƴan gidan ku kowane wata ?")</f>
        <v>Sau nawa kuke tsammanin tuntuɓar ƴan gidan ku kowane wata ?</v>
      </c>
      <c r="J1844" s="172" t="str">
        <f t="shared" ref="J1844:L1844" si="360">$F1844 &amp; ". " &amp;G1844</f>
        <v>337. How many times would you expect to contact members of your household each month?</v>
      </c>
      <c r="K1844" s="172" t="str">
        <f t="shared" si="360"/>
        <v>337. Combien de fois vous attendriez-vous à ce qu'il contacte les membres de votre ménage chaque mois ?</v>
      </c>
      <c r="L1844" s="172" t="str">
        <f t="shared" si="360"/>
        <v>337. Sau nawa kuke tsammanin tuntuɓar ƴan gidan ku kowane wata ?</v>
      </c>
    </row>
    <row r="1845" hidden="1">
      <c r="A1845" s="211" t="s">
        <v>238</v>
      </c>
      <c r="B1845" s="224" t="s">
        <v>5996</v>
      </c>
      <c r="C1845" s="225"/>
      <c r="D1845" s="225"/>
      <c r="E1845" s="225"/>
    </row>
    <row r="1846" hidden="1">
      <c r="A1846" s="172"/>
      <c r="B1846" s="174"/>
      <c r="C1846" s="174" t="s">
        <v>52</v>
      </c>
      <c r="D1846" s="174" t="s">
        <v>52</v>
      </c>
      <c r="E1846" s="174" t="s">
        <v>52</v>
      </c>
    </row>
    <row r="1847" hidden="1">
      <c r="A1847" s="211" t="s">
        <v>107</v>
      </c>
      <c r="B1847" s="212" t="s">
        <v>6003</v>
      </c>
      <c r="C1847" s="214"/>
      <c r="D1847" s="214"/>
      <c r="E1847" s="214"/>
    </row>
    <row r="1848">
      <c r="A1848" s="207" t="s">
        <v>41</v>
      </c>
      <c r="B1848" s="208" t="s">
        <v>6004</v>
      </c>
      <c r="C1848" s="208" t="s">
        <v>3121</v>
      </c>
      <c r="D1848" s="208" t="s">
        <v>3122</v>
      </c>
      <c r="E1848" s="208" t="s">
        <v>3123</v>
      </c>
      <c r="F1848" s="182">
        <v>338.0</v>
      </c>
      <c r="G1848" s="172" t="str">
        <f>IFERROR(__xludf.DUMMYFUNCTION("TRIM(REGEXREPLACE(C1848, ""[0-9]+[a-f]?\."", """"))"),"Now I will ask about things you or your family may have done in preparation for your migration. Consider all migration preparations since ${period}.")</f>
        <v>Now I will ask about things you or your family may have done in preparation for your migration. Consider all migration preparations since ${period}.</v>
      </c>
      <c r="H1848" s="172" t="str">
        <f>IFERROR(__xludf.DUMMYFUNCTION("TRIM(REGEXREPLACE(D1848, ""[0-9]+[a-f]?\."", """"))"),"Je vais maintenant vous poser des questions sur les choses que vous ou votre famille avez pu faire pour préparer votre migration. Prenez en compte tous les préparatifs de migration depuis ${period_french}.")</f>
        <v>Je vais maintenant vous poser des questions sur les choses que vous ou votre famille avez pu faire pour préparer votre migration. Prenez en compte tous les préparatifs de migration depuis ${period_french}.</v>
      </c>
      <c r="I1848" s="172" t="str">
        <f>IFERROR(__xludf.DUMMYFUNCTION("TRIM(REGEXREPLACE(E1848, ""[0-9]+[a-f]?\."", """"))"),"Yanzu zan yi tambayoyi game da abubuwan da ku ko ƴan gidan ku kuka yi a shirye-shiryen zuwanku bulaguro. Ku yi la'aƙari da duk shirye-shiryen tahiya tun ${period_hausa}.")</f>
        <v>Yanzu zan yi tambayoyi game da abubuwan da ku ko ƴan gidan ku kuka yi a shirye-shiryen zuwanku bulaguro. Ku yi la'aƙari da duk shirye-shiryen tahiya tun ${period_hausa}.</v>
      </c>
      <c r="J1848" s="172" t="str">
        <f t="shared" ref="J1848:L1848" si="361">$F1848 &amp; ". " &amp;G1848</f>
        <v>338. Now I will ask about things you or your family may have done in preparation for your migration. Consider all migration preparations since ${period}.</v>
      </c>
      <c r="K1848" s="172" t="str">
        <f t="shared" si="361"/>
        <v>338. Je vais maintenant vous poser des questions sur les choses que vous ou votre famille avez pu faire pour préparer votre migration. Prenez en compte tous les préparatifs de migration depuis ${period_french}.</v>
      </c>
      <c r="L1848" s="172" t="str">
        <f t="shared" si="361"/>
        <v>338. Yanzu zan yi tambayoyi game da abubuwan da ku ko ƴan gidan ku kuka yi a shirye-shiryen zuwanku bulaguro. Ku yi la'aƙari da duk shirye-shiryen tahiya tun ${period_hausa}.</v>
      </c>
    </row>
    <row r="1849">
      <c r="A1849" s="215" t="s">
        <v>353</v>
      </c>
      <c r="B1849" s="273" t="s">
        <v>6005</v>
      </c>
      <c r="C1849" s="216" t="s">
        <v>6006</v>
      </c>
      <c r="D1849" s="216" t="s">
        <v>6007</v>
      </c>
      <c r="E1849" s="216" t="s">
        <v>6008</v>
      </c>
      <c r="F1849" s="182">
        <v>339.0</v>
      </c>
      <c r="G1849" s="172" t="str">
        <f>IFERROR(__xludf.DUMMYFUNCTION("TRIM(REGEXREPLACE(C1849, ""[0-9]+[a-f]?\."", """"))"),"Have you and ${shm_name} discussed your plans or desire to travel to another country to find work since ${period}?")</f>
        <v>Have you and ${shm_name} discussed your plans or desire to travel to another country to find work since ${period}?</v>
      </c>
      <c r="H1849" s="172" t="str">
        <f>IFERROR(__xludf.DUMMYFUNCTION("TRIM(REGEXREPLACE(D1849, ""[0-9]+[a-f]?\."", """"))"),"Avez-vous discuté vous et ${shm_name} de vos projets ou de votre désir de voyager dans un autre pays pour trouver du travail depuis ${period_french} ?")</f>
        <v>Avez-vous discuté vous et ${shm_name} de vos projets ou de votre désir de voyager dans un autre pays pour trouver du travail depuis ${period_french} ?</v>
      </c>
      <c r="I1849" s="172" t="str">
        <f>IFERROR(__xludf.DUMMYFUNCTION("TRIM(REGEXREPLACE(E1849, ""[0-9]+[a-f]?\."", """"))"),"Ko kun tattauna tare da ${shm_name} game da shirin ka ko sha'awar ka ta tafiya wata ƙasa don neman aiki tun ${period_hausa}?")</f>
        <v>Ko kun tattauna tare da ${shm_name} game da shirin ka ko sha'awar ka ta tafiya wata ƙasa don neman aiki tun ${period_hausa}?</v>
      </c>
      <c r="J1849" s="172" t="str">
        <f t="shared" ref="J1849:L1849" si="362">$F1849 &amp; ". " &amp;G1849</f>
        <v>339. Have you and ${shm_name} discussed your plans or desire to travel to another country to find work since ${period}?</v>
      </c>
      <c r="K1849" s="172" t="str">
        <f t="shared" si="362"/>
        <v>339. Avez-vous discuté vous et ${shm_name} de vos projets ou de votre désir de voyager dans un autre pays pour trouver du travail depuis ${period_french} ?</v>
      </c>
      <c r="L1849" s="172" t="str">
        <f t="shared" si="362"/>
        <v>339. Ko kun tattauna tare da ${shm_name} game da shirin ka ko sha'awar ka ta tafiya wata ƙasa don neman aiki tun ${period_hausa}?</v>
      </c>
    </row>
    <row r="1850">
      <c r="A1850" s="215" t="s">
        <v>353</v>
      </c>
      <c r="B1850" s="273" t="s">
        <v>6009</v>
      </c>
      <c r="C1850" s="216" t="s">
        <v>6010</v>
      </c>
      <c r="D1850" s="216" t="s">
        <v>6011</v>
      </c>
      <c r="E1850" s="216" t="s">
        <v>6012</v>
      </c>
      <c r="F1850" s="182">
        <v>340.0</v>
      </c>
      <c r="G1850" s="172" t="str">
        <f>IFERROR(__xludf.DUMMYFUNCTION("TRIM(REGEXREPLACE(C1850, ""[0-9]+[a-f]?\."", """"))"),"Have you discussed with your household how your household responsibilities would be managed during your migration?")</f>
        <v>Have you discussed with your household how your household responsibilities would be managed during your migration?</v>
      </c>
      <c r="H1850" s="172" t="str">
        <f>IFERROR(__xludf.DUMMYFUNCTION("TRIM(REGEXREPLACE(D1850, ""[0-9]+[a-f]?\."", """"))"),"Avez-vous discuté avec votre ménage de la manière dont vos responsabilités familiales seraient gérées pendant votre migration ?")</f>
        <v>Avez-vous discuté avec votre ménage de la manière dont vos responsabilités familiales seraient gérées pendant votre migration ?</v>
      </c>
      <c r="I1850" s="172" t="str">
        <f>IFERROR(__xludf.DUMMYFUNCTION("TRIM(REGEXREPLACE(E1850, ""[0-9]+[a-f]?\."", """"))"),"Ko kun tattauna da ƴan gidanku a kan yadda za a gudanar da ayyukanku na gida a lokacin da babu kai a gida ?")</f>
        <v>Ko kun tattauna da ƴan gidanku a kan yadda za a gudanar da ayyukanku na gida a lokacin da babu kai a gida ?</v>
      </c>
      <c r="J1850" s="172" t="str">
        <f t="shared" ref="J1850:L1850" si="363">$F1850 &amp; ". " &amp;G1850</f>
        <v>340. Have you discussed with your household how your household responsibilities would be managed during your migration?</v>
      </c>
      <c r="K1850" s="172" t="str">
        <f t="shared" si="363"/>
        <v>340. Avez-vous discuté avec votre ménage de la manière dont vos responsabilités familiales seraient gérées pendant votre migration ?</v>
      </c>
      <c r="L1850" s="172" t="str">
        <f t="shared" si="363"/>
        <v>340. Ko kun tattauna da ƴan gidanku a kan yadda za a gudanar da ayyukanku na gida a lokacin da babu kai a gida ?</v>
      </c>
    </row>
    <row r="1851">
      <c r="A1851" s="215" t="s">
        <v>3423</v>
      </c>
      <c r="B1851" s="216" t="s">
        <v>6013</v>
      </c>
      <c r="C1851" s="216" t="s">
        <v>6014</v>
      </c>
      <c r="D1851" s="216" t="s">
        <v>6015</v>
      </c>
      <c r="E1851" s="216" t="s">
        <v>6016</v>
      </c>
      <c r="F1851" s="182">
        <v>341.0</v>
      </c>
      <c r="G1851" s="172" t="str">
        <f>IFERROR(__xludf.DUMMYFUNCTION("TRIM(REGEXREPLACE(C1851, ""[0-9]+[a-f]?\."", """"))"),"Have you or your immediate family gathered resources in order to prepare for migration? This could include saving money, selling assets, or taking a loan.")</f>
        <v>Have you or your immediate family gathered resources in order to prepare for migration? This could include saving money, selling assets, or taking a loan.</v>
      </c>
      <c r="H1851" s="172" t="str">
        <f>IFERROR(__xludf.DUMMYFUNCTION("TRIM(REGEXREPLACE(D1851, ""[0-9]+[a-f]?\."", """"))"),"Est-ce que vous ou votre famille proche avez rassemblé des ressources pour vous préparer à la migration ? Il peut s'agir d'économiser de l'argent, de vendre des actifs ou de contracter un prêt.")</f>
        <v>Est-ce que vous ou votre famille proche avez rassemblé des ressources pour vous préparer à la migration ? Il peut s'agir d'économiser de l'argent, de vendre des actifs ou de contracter un prêt.</v>
      </c>
      <c r="I1851" s="172" t="str">
        <f>IFERROR(__xludf.DUMMYFUNCTION("TRIM(REGEXREPLACE(E1851, ""[0-9]+[a-f]?\."", """"))"),"Ko kai ko ƴan gidanku kun yi tanadin guzuri don shirin zuwa biɗa? Wannan na iya haɗawa da ajiyar kuɗi, sayar da kadarori, ko ɗaukar bashi.")</f>
        <v>Ko kai ko ƴan gidanku kun yi tanadin guzuri don shirin zuwa biɗa? Wannan na iya haɗawa da ajiyar kuɗi, sayar da kadarori, ko ɗaukar bashi.</v>
      </c>
      <c r="J1851" s="172" t="str">
        <f t="shared" ref="J1851:L1851" si="364">$F1851 &amp; ". " &amp;G1851</f>
        <v>341. Have you or your immediate family gathered resources in order to prepare for migration? This could include saving money, selling assets, or taking a loan.</v>
      </c>
      <c r="K1851" s="172" t="str">
        <f t="shared" si="364"/>
        <v>341. Est-ce que vous ou votre famille proche avez rassemblé des ressources pour vous préparer à la migration ? Il peut s'agir d'économiser de l'argent, de vendre des actifs ou de contracter un prêt.</v>
      </c>
      <c r="L1851" s="172" t="str">
        <f t="shared" si="364"/>
        <v>341. Ko kai ko ƴan gidanku kun yi tanadin guzuri don shirin zuwa biɗa? Wannan na iya haɗawa da ajiyar kuɗi, sayar da kadarori, ko ɗaukar bashi.</v>
      </c>
    </row>
    <row r="1852">
      <c r="A1852" s="215" t="s">
        <v>3423</v>
      </c>
      <c r="B1852" s="216" t="s">
        <v>6017</v>
      </c>
      <c r="C1852" s="216" t="s">
        <v>6018</v>
      </c>
      <c r="D1852" s="216" t="s">
        <v>6019</v>
      </c>
      <c r="E1852" s="216" t="s">
        <v>6020</v>
      </c>
      <c r="F1852" s="182">
        <v>342.0</v>
      </c>
      <c r="G1852" s="172" t="str">
        <f>IFERROR(__xludf.DUMMYFUNCTION("TRIM(REGEXREPLACE(C1852, ""[0-9]+[a-f]?\."", """"))"),"Have you or your immediate family prepared any legal paperwork, such as marriage documents, birth certificates, or proof of property to prepare for migration?")</f>
        <v>Have you or your immediate family prepared any legal paperwork, such as marriage documents, birth certificates, or proof of property to prepare for migration?</v>
      </c>
      <c r="H1852" s="172" t="str">
        <f>IFERROR(__xludf.DUMMYFUNCTION("TRIM(REGEXREPLACE(D1852, ""[0-9]+[a-f]?\."", """"))"),"Est-ce que vous ou votre famille immédiate avez préparé des documents juridiques, tels que des documents de mariage, des certificats de naissance ou une preuve de propriété pour vous préparer à la migration ?")</f>
        <v>Est-ce que vous ou votre famille immédiate avez préparé des documents juridiques, tels que des documents de mariage, des certificats de naissance ou une preuve de propriété pour vous préparer à la migration ?</v>
      </c>
      <c r="I1852" s="172" t="str">
        <f>IFERROR(__xludf.DUMMYFUNCTION("TRIM(REGEXREPLACE(E1852, ""[0-9]+[a-f]?\."", """"))"),"Shin kai ko ƴan gidanku kun shirya wasu takardun doka, kamar takardar aure, takardun haihuwa, ko shaidar dukiya don shiryawa zuwa biɗa?")</f>
        <v>Shin kai ko ƴan gidanku kun shirya wasu takardun doka, kamar takardar aure, takardun haihuwa, ko shaidar dukiya don shiryawa zuwa biɗa?</v>
      </c>
      <c r="J1852" s="172" t="str">
        <f t="shared" ref="J1852:L1852" si="365">$F1852 &amp; ". " &amp;G1852</f>
        <v>342. Have you or your immediate family prepared any legal paperwork, such as marriage documents, birth certificates, or proof of property to prepare for migration?</v>
      </c>
      <c r="K1852" s="172" t="str">
        <f t="shared" si="365"/>
        <v>342. Est-ce que vous ou votre famille immédiate avez préparé des documents juridiques, tels que des documents de mariage, des certificats de naissance ou une preuve de propriété pour vous préparer à la migration ?</v>
      </c>
      <c r="L1852" s="172" t="str">
        <f t="shared" si="365"/>
        <v>342. Shin kai ko ƴan gidanku kun shirya wasu takardun doka, kamar takardar aure, takardun haihuwa, ko shaidar dukiya don shiryawa zuwa biɗa?</v>
      </c>
    </row>
    <row r="1853">
      <c r="A1853" s="215" t="s">
        <v>6021</v>
      </c>
      <c r="B1853" s="216" t="s">
        <v>6022</v>
      </c>
      <c r="C1853" s="216" t="s">
        <v>3150</v>
      </c>
      <c r="D1853" s="216" t="s">
        <v>3151</v>
      </c>
      <c r="E1853" s="216" t="s">
        <v>3152</v>
      </c>
      <c r="F1853" s="182">
        <v>343.0</v>
      </c>
      <c r="G1853" s="172" t="str">
        <f>IFERROR(__xludf.DUMMYFUNCTION("TRIM(REGEXREPLACE(C1853, ""[0-9]+[a-f]?\."", """"))"),"Who have you spoken with outside of your household about whether you should migrate or where you should go?")</f>
        <v>Who have you spoken with outside of your household about whether you should migrate or where you should go?</v>
      </c>
      <c r="H1853" s="172" t="str">
        <f>IFERROR(__xludf.DUMMYFUNCTION("TRIM(REGEXREPLACE(D1853, ""[0-9]+[a-f]?\."", """"))"),"Avec qui avez-vous parlé en dehors de votre ménage pour savoir si vous devriez émigrer ou du lieu où vous devriez aller ?")</f>
        <v>Avec qui avez-vous parlé en dehors de votre ménage pour savoir si vous devriez émigrer ou du lieu où vous devriez aller ?</v>
      </c>
      <c r="I1853" s="172" t="str">
        <f>IFERROR(__xludf.DUMMYFUNCTION("TRIM(REGEXREPLACE(E1853, ""[0-9]+[a-f]?\."", """"))"),"Wane ne kuka yi magana da shi a wajen gidanku, a kan ko za ku je biɗa ko kuma inda za ku je?")</f>
        <v>Wane ne kuka yi magana da shi a wajen gidanku, a kan ko za ku je biɗa ko kuma inda za ku je?</v>
      </c>
      <c r="J1853" s="172" t="str">
        <f t="shared" ref="J1853:L1853" si="366">$F1853 &amp; ". " &amp;G1853</f>
        <v>343. Who have you spoken with outside of your household about whether you should migrate or where you should go?</v>
      </c>
      <c r="K1853" s="172" t="str">
        <f t="shared" si="366"/>
        <v>343. Avec qui avez-vous parlé en dehors de votre ménage pour savoir si vous devriez émigrer ou du lieu où vous devriez aller ?</v>
      </c>
      <c r="L1853" s="172" t="str">
        <f t="shared" si="366"/>
        <v>343. Wane ne kuka yi magana da shi a wajen gidanku, a kan ko za ku je biɗa ko kuma inda za ku je?</v>
      </c>
    </row>
    <row r="1854">
      <c r="A1854" s="215" t="s">
        <v>6023</v>
      </c>
      <c r="B1854" s="216" t="s">
        <v>6024</v>
      </c>
      <c r="C1854" s="216" t="s">
        <v>3154</v>
      </c>
      <c r="D1854" s="216" t="s">
        <v>3155</v>
      </c>
      <c r="E1854" s="216" t="s">
        <v>3156</v>
      </c>
      <c r="F1854" s="182">
        <v>344.0</v>
      </c>
      <c r="G1854" s="172" t="str">
        <f>IFERROR(__xludf.DUMMYFUNCTION("TRIM(REGEXREPLACE(C1854, ""[0-9]+[a-f]?\."", """"))"),"What kinds of information did you discuss with these people?")</f>
        <v>What kinds of information did you discuss with these people?</v>
      </c>
      <c r="H1854" s="172" t="str">
        <f>IFERROR(__xludf.DUMMYFUNCTION("TRIM(REGEXREPLACE(D1854, ""[0-9]+[a-f]?\."", """"))"),"De quels types d'informations avez-vous discuté avec ces personnes ?")</f>
        <v>De quels types d'informations avez-vous discuté avec ces personnes ?</v>
      </c>
      <c r="I1854" s="172" t="str">
        <f>IFERROR(__xludf.DUMMYFUNCTION("TRIM(REGEXREPLACE(E1854, ""[0-9]+[a-f]?\."", """"))"),"Wane irin bayani kuka tattauna da waɗannan mutane?")</f>
        <v>Wane irin bayani kuka tattauna da waɗannan mutane?</v>
      </c>
      <c r="J1854" s="172" t="str">
        <f t="shared" ref="J1854:L1854" si="367">$F1854 &amp; ". " &amp;G1854</f>
        <v>344. What kinds of information did you discuss with these people?</v>
      </c>
      <c r="K1854" s="172" t="str">
        <f t="shared" si="367"/>
        <v>344. De quels types d'informations avez-vous discuté avec ces personnes ?</v>
      </c>
      <c r="L1854" s="172" t="str">
        <f t="shared" si="367"/>
        <v>344. Wane irin bayani kuka tattauna da waɗannan mutane?</v>
      </c>
    </row>
    <row r="1855">
      <c r="A1855" s="215" t="s">
        <v>5853</v>
      </c>
      <c r="B1855" s="216" t="s">
        <v>6025</v>
      </c>
      <c r="C1855" s="216" t="s">
        <v>6026</v>
      </c>
      <c r="D1855" s="216" t="s">
        <v>6027</v>
      </c>
      <c r="E1855" s="216" t="s">
        <v>6028</v>
      </c>
      <c r="F1855" s="182">
        <v>345.0</v>
      </c>
      <c r="G1855" s="172" t="str">
        <f>IFERROR(__xludf.DUMMYFUNCTION("TRIM(REGEXREPLACE(C1855, ""[0-9]+[a-f]?\."", """"))"),"Did this information encourage or discourage you to migrate?")</f>
        <v>Did this information encourage or discourage you to migrate?</v>
      </c>
      <c r="H1855" s="172" t="str">
        <f>IFERROR(__xludf.DUMMYFUNCTION("TRIM(REGEXREPLACE(D1855, ""[0-9]+[a-f]?\."", """"))"),"Ces informations vous ont-elles encouragé ou découragé à migrer ?")</f>
        <v>Ces informations vous ont-elles encouragé ou découragé à migrer ?</v>
      </c>
      <c r="I1855" s="172" t="str">
        <f>IFERROR(__xludf.DUMMYFUNCTION("TRIM(REGEXREPLACE(E1855, ""[0-9]+[a-f]?\."", """"))"),"Ko wannan bayanin ya ƙarfafa muka gwiwa ko ya hana ka zuwa biɗa?")</f>
        <v>Ko wannan bayanin ya ƙarfafa muka gwiwa ko ya hana ka zuwa biɗa?</v>
      </c>
      <c r="J1855" s="172" t="str">
        <f t="shared" ref="J1855:L1855" si="368">$F1855 &amp; ". " &amp;G1855</f>
        <v>345. Did this information encourage or discourage you to migrate?</v>
      </c>
      <c r="K1855" s="172" t="str">
        <f t="shared" si="368"/>
        <v>345. Ces informations vous ont-elles encouragé ou découragé à migrer ?</v>
      </c>
      <c r="L1855" s="172" t="str">
        <f t="shared" si="368"/>
        <v>345. Ko wannan bayanin ya ƙarfafa muka gwiwa ko ya hana ka zuwa biɗa?</v>
      </c>
    </row>
    <row r="1856">
      <c r="A1856" s="215" t="s">
        <v>353</v>
      </c>
      <c r="B1856" s="216" t="s">
        <v>6029</v>
      </c>
      <c r="C1856" s="216" t="s">
        <v>6030</v>
      </c>
      <c r="D1856" s="216" t="s">
        <v>6031</v>
      </c>
      <c r="E1856" s="216" t="s">
        <v>6032</v>
      </c>
      <c r="F1856" s="182">
        <v>346.0</v>
      </c>
      <c r="G1856" s="172" t="str">
        <f>IFERROR(__xludf.DUMMYFUNCTION("TRIM(REGEXREPLACE(C1856, ""[0-9]+[a-f]?\."", """"))"),"Have you heard of Mercy Corps or the TSARI program?")</f>
        <v>Have you heard of Mercy Corps or the TSARI program?</v>
      </c>
      <c r="H1856" s="172" t="str">
        <f>IFERROR(__xludf.DUMMYFUNCTION("TRIM(REGEXREPLACE(D1856, ""[0-9]+[a-f]?\."", """"))"),"Avez-vous entendu parler de Mercy Corps ou du programme TSARI ?")</f>
        <v>Avez-vous entendu parler de Mercy Corps ou du programme TSARI ?</v>
      </c>
      <c r="I1856" s="172" t="str">
        <f>IFERROR(__xludf.DUMMYFUNCTION("TRIM(REGEXREPLACE(E1856, ""[0-9]+[a-f]?\."", """"))"),"Ko ka ji labarin Mercy Corps ko shirin TSARI?")</f>
        <v>Ko ka ji labarin Mercy Corps ko shirin TSARI?</v>
      </c>
      <c r="J1856" s="172" t="str">
        <f t="shared" ref="J1856:L1856" si="369">$F1856 &amp; ". " &amp;G1856</f>
        <v>346. Have you heard of Mercy Corps or the TSARI program?</v>
      </c>
      <c r="K1856" s="172" t="str">
        <f t="shared" si="369"/>
        <v>346. Avez-vous entendu parler de Mercy Corps ou du programme TSARI ?</v>
      </c>
      <c r="L1856" s="172" t="str">
        <f t="shared" si="369"/>
        <v>346. Ko ka ji labarin Mercy Corps ko shirin TSARI?</v>
      </c>
    </row>
    <row r="1857">
      <c r="A1857" s="215" t="s">
        <v>6033</v>
      </c>
      <c r="B1857" s="216" t="s">
        <v>6034</v>
      </c>
      <c r="C1857" s="216" t="s">
        <v>3171</v>
      </c>
      <c r="D1857" s="216" t="s">
        <v>3172</v>
      </c>
      <c r="E1857" s="216" t="s">
        <v>3173</v>
      </c>
      <c r="F1857" s="182">
        <v>347.0</v>
      </c>
      <c r="G1857" s="172" t="str">
        <f>IFERROR(__xludf.DUMMYFUNCTION("TRIM(REGEXREPLACE(C1857, ""[0-9]+[a-f]?\."", """"))"),"Do you know anyone who participated in the TSARI or other Mercy Corps programs in Tahoua?")</f>
        <v>Do you know anyone who participated in the TSARI or other Mercy Corps programs in Tahoua?</v>
      </c>
      <c r="H1857" s="172" t="str">
        <f>IFERROR(__xludf.DUMMYFUNCTION("TRIM(REGEXREPLACE(D1857, ""[0-9]+[a-f]?\."", """"))"),"Connaissez-vous quelqu'un qui a participé au programme TSARI ou à d'autres programmes de Mercy Corp à Tahoua ?")</f>
        <v>Connaissez-vous quelqu'un qui a participé au programme TSARI ou à d'autres programmes de Mercy Corp à Tahoua ?</v>
      </c>
      <c r="I1857" s="172" t="str">
        <f>IFERROR(__xludf.DUMMYFUNCTION("TRIM(REGEXREPLACE(E1857, ""[0-9]+[a-f]?\."", """"))"),"Ko ka san wani wanda ya shiga cikin shirin TSARI ko wasu shirye-shiryen Mercy Corp a Tahoua?")</f>
        <v>Ko ka san wani wanda ya shiga cikin shirin TSARI ko wasu shirye-shiryen Mercy Corp a Tahoua?</v>
      </c>
      <c r="J1857" s="172" t="str">
        <f t="shared" ref="J1857:L1857" si="370">$F1857 &amp; ". " &amp;G1857</f>
        <v>347. Do you know anyone who participated in the TSARI or other Mercy Corps programs in Tahoua?</v>
      </c>
      <c r="K1857" s="172" t="str">
        <f t="shared" si="370"/>
        <v>347. Connaissez-vous quelqu'un qui a participé au programme TSARI ou à d'autres programmes de Mercy Corp à Tahoua ?</v>
      </c>
      <c r="L1857" s="172" t="str">
        <f t="shared" si="370"/>
        <v>347. Ko ka san wani wanda ya shiga cikin shirin TSARI ko wasu shirye-shiryen Mercy Corp a Tahoua?</v>
      </c>
    </row>
    <row r="1858">
      <c r="A1858" s="215" t="s">
        <v>353</v>
      </c>
      <c r="B1858" s="216" t="s">
        <v>6035</v>
      </c>
      <c r="C1858" s="216" t="s">
        <v>6036</v>
      </c>
      <c r="D1858" s="216" t="s">
        <v>6037</v>
      </c>
      <c r="E1858" s="216" t="s">
        <v>6038</v>
      </c>
      <c r="F1858" s="182">
        <v>348.0</v>
      </c>
      <c r="G1858" s="172" t="str">
        <f>IFERROR(__xludf.DUMMYFUNCTION("TRIM(REGEXREPLACE(C1858, ""[0-9]+[a-f]?\."", """"))"),"Did you speak with this person/these people about the TSARI or other Mercy Corps programs?")</f>
        <v>Did you speak with this person/these people about the TSARI or other Mercy Corps programs?</v>
      </c>
      <c r="H1858" s="172" t="str">
        <f>IFERROR(__xludf.DUMMYFUNCTION("TRIM(REGEXREPLACE(D1858, ""[0-9]+[a-f]?\."", """"))"),"Avez-vous parlé avec cette/ces personnes du programme TSARI ou d'autres programmes de Mercy Corp ?")</f>
        <v>Avez-vous parlé avec cette/ces personnes du programme TSARI ou d'autres programmes de Mercy Corp ?</v>
      </c>
      <c r="I1858" s="172" t="str">
        <f>IFERROR(__xludf.DUMMYFUNCTION("TRIM(REGEXREPLACE(E1858, ""[0-9]+[a-f]?\."", """"))"),"Ko ka yi magana da wannan mutumen / waɗannan mutane game da TSARI ko wasu shirye-shiryen Mercy Corp?")</f>
        <v>Ko ka yi magana da wannan mutumen / waɗannan mutane game da TSARI ko wasu shirye-shiryen Mercy Corp?</v>
      </c>
      <c r="J1858" s="172" t="str">
        <f t="shared" ref="J1858:L1858" si="371">$F1858 &amp; ". " &amp;G1858</f>
        <v>348. Did you speak with this person/these people about the TSARI or other Mercy Corps programs?</v>
      </c>
      <c r="K1858" s="172" t="str">
        <f t="shared" si="371"/>
        <v>348. Avez-vous parlé avec cette/ces personnes du programme TSARI ou d'autres programmes de Mercy Corp ?</v>
      </c>
      <c r="L1858" s="172" t="str">
        <f t="shared" si="371"/>
        <v>348. Ko ka yi magana da wannan mutumen / waɗannan mutane game da TSARI ko wasu shirye-shiryen Mercy Corp?</v>
      </c>
    </row>
    <row r="1859" hidden="1">
      <c r="A1859" s="211" t="s">
        <v>107</v>
      </c>
      <c r="B1859" s="212" t="s">
        <v>6039</v>
      </c>
      <c r="C1859" s="214"/>
      <c r="D1859" s="214"/>
      <c r="E1859" s="214"/>
    </row>
    <row r="1860">
      <c r="A1860" s="207" t="s">
        <v>41</v>
      </c>
      <c r="B1860" s="208" t="s">
        <v>6040</v>
      </c>
      <c r="C1860" s="208" t="s">
        <v>6041</v>
      </c>
      <c r="D1860" s="208" t="s">
        <v>6042</v>
      </c>
      <c r="E1860" s="208" t="s">
        <v>6043</v>
      </c>
      <c r="F1860" s="182">
        <v>349.0</v>
      </c>
      <c r="G1860" s="172" t="str">
        <f>IFERROR(__xludf.DUMMYFUNCTION("TRIM(REGEXREPLACE(C1860, ""[0-9]+[a-f]?\."", """"))"),"The next few questions ask about your knowledge of official rules for people from Niger to travel to neighboring countries")</f>
        <v>The next few questions ask about your knowledge of official rules for people from Niger to travel to neighboring countries</v>
      </c>
      <c r="H1860" s="172" t="str">
        <f>IFERROR(__xludf.DUMMYFUNCTION("TRIM(REGEXREPLACE(D1860, ""[0-9]+[a-f]?\."", """"))"),"Les prochaines questions portent sur votre connaissance des règles officielles permettant aux Nigériens de se rendre dans les pays voisins.")</f>
        <v>Les prochaines questions portent sur votre connaissance des règles officielles permettant aux Nigériens de se rendre dans les pays voisins.</v>
      </c>
      <c r="I1860" s="172" t="str">
        <f>IFERROR(__xludf.DUMMYFUNCTION("TRIM(REGEXREPLACE(E1860, ""[0-9]+[a-f]?\."", """"))"),"Tambayoyi masu zuwa za'a yi su game da saninku bisa dokokinda suke bawa mutanen Nijar damar zuwa biɗa kasashen makwabta")</f>
        <v>Tambayoyi masu zuwa za'a yi su game da saninku bisa dokokinda suke bawa mutanen Nijar damar zuwa biɗa kasashen makwabta</v>
      </c>
      <c r="J1860" s="172" t="str">
        <f t="shared" ref="J1860:L1860" si="372">$F1860 &amp; ". " &amp;G1860</f>
        <v>349. The next few questions ask about your knowledge of official rules for people from Niger to travel to neighboring countries</v>
      </c>
      <c r="K1860" s="172" t="str">
        <f t="shared" si="372"/>
        <v>349. Les prochaines questions portent sur votre connaissance des règles officielles permettant aux Nigériens de se rendre dans les pays voisins.</v>
      </c>
      <c r="L1860" s="172" t="str">
        <f t="shared" si="372"/>
        <v>349. Tambayoyi masu zuwa za'a yi su game da saninku bisa dokokinda suke bawa mutanen Nijar damar zuwa biɗa kasashen makwabta</v>
      </c>
    </row>
    <row r="1861">
      <c r="A1861" s="215" t="s">
        <v>4703</v>
      </c>
      <c r="B1861" s="216" t="s">
        <v>6044</v>
      </c>
      <c r="C1861" s="216" t="s">
        <v>6045</v>
      </c>
      <c r="D1861" s="216" t="s">
        <v>6046</v>
      </c>
      <c r="E1861" s="216" t="s">
        <v>6047</v>
      </c>
      <c r="F1861" s="182">
        <v>350.0</v>
      </c>
      <c r="G1861" s="172" t="str">
        <f>IFERROR(__xludf.DUMMYFUNCTION("TRIM(REGEXREPLACE(C1861, ""[0-9]+[a-f]?\."", """"))"),"Suppose you want to travel to Cote d'Ivoire, what documents would you need to bring with you to travel there legally?")</f>
        <v>Suppose you want to travel to Cote d'Ivoire, what documents would you need to bring with you to travel there legally?</v>
      </c>
      <c r="H1861" s="172" t="str">
        <f>IFERROR(__xludf.DUMMYFUNCTION("TRIM(REGEXREPLACE(D1861, ""[0-9]+[a-f]?\."", """"))"),"Supposons que vous souhaiteriez vous rendre en Côte d'Ivoire, quels documents devriez-vous apporter pour vous y rendre légalement ?")</f>
        <v>Supposons que vous souhaiteriez vous rendre en Côte d'Ivoire, quels documents devriez-vous apporter pour vous y rendre légalement ?</v>
      </c>
      <c r="I1861" s="172" t="str">
        <f>IFERROR(__xludf.DUMMYFUNCTION("TRIM(REGEXREPLACE(E1861, ""[0-9]+[a-f]?\."", """"))"),"A ce kuna son tafiya Cote d'Ivoire, waɗanne takardu za ku buƙaci ku kawo tare da ku don tafiya can bisa doka?")</f>
        <v>A ce kuna son tafiya Cote d'Ivoire, waɗanne takardu za ku buƙaci ku kawo tare da ku don tafiya can bisa doka?</v>
      </c>
      <c r="J1861" s="172" t="str">
        <f t="shared" ref="J1861:L1861" si="373">$F1861 &amp; ". " &amp;G1861</f>
        <v>350. Suppose you want to travel to Cote d'Ivoire, what documents would you need to bring with you to travel there legally?</v>
      </c>
      <c r="K1861" s="172" t="str">
        <f t="shared" si="373"/>
        <v>350. Supposons que vous souhaiteriez vous rendre en Côte d'Ivoire, quels documents devriez-vous apporter pour vous y rendre légalement ?</v>
      </c>
      <c r="L1861" s="172" t="str">
        <f t="shared" si="373"/>
        <v>350. A ce kuna son tafiya Cote d'Ivoire, waɗanne takardu za ku buƙaci ku kawo tare da ku don tafiya can bisa doka?</v>
      </c>
    </row>
    <row r="1862">
      <c r="A1862" s="215" t="s">
        <v>4703</v>
      </c>
      <c r="B1862" s="216" t="s">
        <v>6048</v>
      </c>
      <c r="C1862" s="216" t="s">
        <v>3194</v>
      </c>
      <c r="D1862" s="216" t="s">
        <v>3195</v>
      </c>
      <c r="E1862" s="216" t="s">
        <v>3196</v>
      </c>
      <c r="F1862" s="182">
        <v>351.0</v>
      </c>
      <c r="G1862" s="172" t="str">
        <f>IFERROR(__xludf.DUMMYFUNCTION("TRIM(REGEXREPLACE(C1862, ""[0-9]+[a-f]?\."", """"))"),"Suppose you instead want to travel to Libya, what documents would you need to bring with you to travel there legally?")</f>
        <v>Suppose you instead want to travel to Libya, what documents would you need to bring with you to travel there legally?</v>
      </c>
      <c r="H1862" s="172" t="str">
        <f>IFERROR(__xludf.DUMMYFUNCTION("TRIM(REGEXREPLACE(D1862, ""[0-9]+[a-f]?\."", """"))"),"Supposons que vous vouliez plutôt vous rendre en Libye, quels documents devriez-vous apporter avec vous pour vous y rendre légalement ?")</f>
        <v>Supposons que vous vouliez plutôt vous rendre en Libye, quels documents devriez-vous apporter avec vous pour vous y rendre légalement ?</v>
      </c>
      <c r="I1862" s="172" t="str">
        <f>IFERROR(__xludf.DUMMYFUNCTION("TRIM(REGEXREPLACE(E1862, ""[0-9]+[a-f]?\."", """"))"),"A ce a maimakon haka kuna son tafiya Libya, waɗanne takardu za ku buƙaci kawo tare da ku don tafiya can bisa doka?")</f>
        <v>A ce a maimakon haka kuna son tafiya Libya, waɗanne takardu za ku buƙaci kawo tare da ku don tafiya can bisa doka?</v>
      </c>
      <c r="J1862" s="172" t="str">
        <f t="shared" ref="J1862:L1862" si="374">$F1862 &amp; ". " &amp;G1862</f>
        <v>351. Suppose you instead want to travel to Libya, what documents would you need to bring with you to travel there legally?</v>
      </c>
      <c r="K1862" s="172" t="str">
        <f t="shared" si="374"/>
        <v>351. Supposons que vous vouliez plutôt vous rendre en Libye, quels documents devriez-vous apporter avec vous pour vous y rendre légalement ?</v>
      </c>
      <c r="L1862" s="172" t="str">
        <f t="shared" si="374"/>
        <v>351. A ce a maimakon haka kuna son tafiya Libya, waɗanne takardu za ku buƙaci kawo tare da ku don tafiya can bisa doka?</v>
      </c>
    </row>
    <row r="1863">
      <c r="A1863" s="253" t="s">
        <v>246</v>
      </c>
      <c r="B1863" s="254" t="s">
        <v>6049</v>
      </c>
      <c r="C1863" s="254" t="s">
        <v>3198</v>
      </c>
      <c r="D1863" s="254" t="s">
        <v>3199</v>
      </c>
      <c r="E1863" s="254" t="s">
        <v>6050</v>
      </c>
      <c r="F1863" s="182">
        <v>352.0</v>
      </c>
      <c r="G1863" s="172" t="str">
        <f>IFERROR(__xludf.DUMMYFUNCTION("TRIM(REGEXREPLACE(C1863, ""[0-9]+[a-f]?\."", """"))"),"If you want to travel to Nigeria to find work, how long can you work there without getting a formal work authorization (in months)?")</f>
        <v>If you want to travel to Nigeria to find work, how long can you work there without getting a formal work authorization (in months)?</v>
      </c>
      <c r="H1863" s="172" t="str">
        <f>IFERROR(__xludf.DUMMYFUNCTION("TRIM(REGEXREPLACE(D1863, ""[0-9]+[a-f]?\."", """"))"),"Si vous souhaitez vous rendre au Nigeria pour trouver du travail, combien de temps pouvez-vous y travailler sans obtenir une autorisation de travail formelle (en mois) ?")</f>
        <v>Si vous souhaitez vous rendre au Nigeria pour trouver du travail, combien de temps pouvez-vous y travailler sans obtenir une autorisation de travail formelle (en mois) ?</v>
      </c>
      <c r="I1863" s="172" t="str">
        <f>IFERROR(__xludf.DUMMYFUNCTION("TRIM(REGEXREPLACE(E1863, ""[0-9]+[a-f]?\."", """"))"),"Idan kuna son tafiya Najeriya don neman aiki, tsawon wane lokaci za ku iya yin aiki a can ba tare da samun izinin aiki ba (a cikin watanni)?")</f>
        <v>Idan kuna son tafiya Najeriya don neman aiki, tsawon wane lokaci za ku iya yin aiki a can ba tare da samun izinin aiki ba (a cikin watanni)?</v>
      </c>
      <c r="J1863" s="172" t="str">
        <f t="shared" ref="J1863:L1863" si="375">$F1863 &amp; ". " &amp;G1863</f>
        <v>352. If you want to travel to Nigeria to find work, how long can you work there without getting a formal work authorization (in months)?</v>
      </c>
      <c r="K1863" s="172" t="str">
        <f t="shared" si="375"/>
        <v>352. Si vous souhaitez vous rendre au Nigeria pour trouver du travail, combien de temps pouvez-vous y travailler sans obtenir une autorisation de travail formelle (en mois) ?</v>
      </c>
      <c r="L1863" s="172" t="str">
        <f t="shared" si="375"/>
        <v>352. Idan kuna son tafiya Najeriya don neman aiki, tsawon wane lokaci za ku iya yin aiki a can ba tare da samun izinin aiki ba (a cikin watanni)?</v>
      </c>
    </row>
    <row r="1864">
      <c r="A1864" s="215" t="s">
        <v>6051</v>
      </c>
      <c r="B1864" s="216" t="s">
        <v>6052</v>
      </c>
      <c r="C1864" s="216" t="s">
        <v>6053</v>
      </c>
      <c r="D1864" s="216" t="s">
        <v>6054</v>
      </c>
      <c r="E1864" s="216" t="s">
        <v>6055</v>
      </c>
      <c r="F1864" s="182">
        <v>353.0</v>
      </c>
      <c r="G1864" s="172" t="str">
        <f>IFERROR(__xludf.DUMMYFUNCTION("TRIM(REGEXREPLACE(C1864, ""[0-9]+[a-f]?\."", """"))"),"If you want to travel to Senegal, what vaccinations are required in order to travel there legally?")</f>
        <v>If you want to travel to Senegal, what vaccinations are required in order to travel there legally?</v>
      </c>
      <c r="H1864" s="172" t="str">
        <f>IFERROR(__xludf.DUMMYFUNCTION("TRIM(REGEXREPLACE(D1864, ""[0-9]+[a-f]?\."", """"))"),"Si vous souhaitez vous rendre au Sénégal, quels vaccins sont nécessaires pour y voyager légalement ?")</f>
        <v>Si vous souhaitez vous rendre au Sénégal, quels vaccins sont nécessaires pour y voyager légalement ?</v>
      </c>
      <c r="I1864" s="172" t="str">
        <f>IFERROR(__xludf.DUMMYFUNCTION("TRIM(REGEXREPLACE(E1864, ""[0-9]+[a-f]?\."", """"))"),"Idan kuna son tafiya Senegal, waɗanne alluran rigakafi ake wajibta muku don tafiya can bisa doka?")</f>
        <v>Idan kuna son tafiya Senegal, waɗanne alluran rigakafi ake wajibta muku don tafiya can bisa doka?</v>
      </c>
      <c r="J1864" s="172" t="str">
        <f t="shared" ref="J1864:L1864" si="376">$F1864 &amp; ". " &amp;G1864</f>
        <v>353. If you want to travel to Senegal, what vaccinations are required in order to travel there legally?</v>
      </c>
      <c r="K1864" s="172" t="str">
        <f t="shared" si="376"/>
        <v>353. Si vous souhaitez vous rendre au Sénégal, quels vaccins sont nécessaires pour y voyager légalement ?</v>
      </c>
      <c r="L1864" s="172" t="str">
        <f t="shared" si="376"/>
        <v>353. Idan kuna son tafiya Senegal, waɗanne alluran rigakafi ake wajibta muku don tafiya can bisa doka?</v>
      </c>
    </row>
    <row r="1865" hidden="1">
      <c r="A1865" s="211" t="s">
        <v>238</v>
      </c>
      <c r="B1865" s="224" t="s">
        <v>6039</v>
      </c>
      <c r="C1865" s="225"/>
      <c r="D1865" s="225"/>
      <c r="E1865" s="225"/>
    </row>
    <row r="1866" hidden="1">
      <c r="A1866" s="188" t="s">
        <v>118</v>
      </c>
      <c r="B1866" s="279" t="s">
        <v>6056</v>
      </c>
      <c r="C1866" s="190"/>
      <c r="D1866" s="190"/>
      <c r="E1866" s="190"/>
    </row>
    <row r="1867" hidden="1">
      <c r="A1867" s="188" t="s">
        <v>68</v>
      </c>
      <c r="B1867" s="279" t="s">
        <v>6057</v>
      </c>
      <c r="C1867" s="190"/>
      <c r="D1867" s="290"/>
      <c r="E1867" s="290"/>
    </row>
    <row r="1868" hidden="1">
      <c r="A1868" s="263"/>
      <c r="B1868" s="225"/>
      <c r="C1868" s="225"/>
      <c r="D1868" s="225"/>
      <c r="E1868" s="225"/>
    </row>
    <row r="1869" hidden="1">
      <c r="A1869" s="211" t="s">
        <v>238</v>
      </c>
      <c r="B1869" s="224" t="s">
        <v>6003</v>
      </c>
      <c r="C1869" s="225"/>
      <c r="D1869" s="225"/>
      <c r="E1869" s="225"/>
    </row>
    <row r="1870" hidden="1">
      <c r="A1870" s="188" t="s">
        <v>118</v>
      </c>
      <c r="B1870" s="279" t="s">
        <v>6058</v>
      </c>
      <c r="C1870" s="190"/>
      <c r="D1870" s="190"/>
      <c r="E1870" s="190"/>
    </row>
    <row r="1871" hidden="1">
      <c r="A1871" s="188" t="s">
        <v>68</v>
      </c>
      <c r="B1871" s="189" t="s">
        <v>6059</v>
      </c>
      <c r="C1871" s="190"/>
      <c r="D1871" s="190"/>
      <c r="E1871" s="190"/>
    </row>
    <row r="1872" hidden="1">
      <c r="A1872" s="211" t="s">
        <v>238</v>
      </c>
      <c r="B1872" s="224" t="s">
        <v>1906</v>
      </c>
      <c r="C1872" s="225" t="s">
        <v>52</v>
      </c>
      <c r="D1872" s="225" t="s">
        <v>52</v>
      </c>
      <c r="E1872" s="225" t="s">
        <v>52</v>
      </c>
    </row>
    <row r="1873" hidden="1">
      <c r="A1873" s="172"/>
      <c r="B1873" s="172"/>
      <c r="C1873" s="172"/>
      <c r="D1873" s="172"/>
      <c r="E1873" s="172"/>
    </row>
    <row r="1874" hidden="1">
      <c r="A1874" s="172"/>
      <c r="B1874" s="172"/>
      <c r="C1874" s="172"/>
      <c r="D1874" s="172"/>
      <c r="E1874" s="172"/>
    </row>
    <row r="1875" hidden="1">
      <c r="A1875" s="263"/>
      <c r="B1875" s="214"/>
      <c r="C1875" s="214"/>
      <c r="D1875" s="214"/>
      <c r="E1875" s="214"/>
    </row>
    <row r="1876" hidden="1">
      <c r="A1876" s="211" t="s">
        <v>107</v>
      </c>
      <c r="B1876" s="212" t="s">
        <v>6060</v>
      </c>
      <c r="C1876" s="212" t="s">
        <v>6061</v>
      </c>
      <c r="D1876" s="214"/>
      <c r="E1876" s="214"/>
    </row>
    <row r="1877">
      <c r="A1877" s="207" t="s">
        <v>41</v>
      </c>
      <c r="B1877" s="208" t="s">
        <v>6062</v>
      </c>
      <c r="C1877" s="208" t="s">
        <v>6063</v>
      </c>
      <c r="D1877" s="208" t="s">
        <v>6064</v>
      </c>
      <c r="E1877" s="208" t="s">
        <v>6065</v>
      </c>
      <c r="F1877" s="182">
        <v>354.0</v>
      </c>
      <c r="G1877" s="172" t="str">
        <f>IFERROR(__xludf.DUMMYFUNCTION("TRIM(REGEXREPLACE(C1877, ""[0-9]+[a-f]?\."", """"))"),"Now I am going to ask you about the areas of your life that worry you.")</f>
        <v>Now I am going to ask you about the areas of your life that worry you.</v>
      </c>
      <c r="H1877" s="172" t="str">
        <f>IFERROR(__xludf.DUMMYFUNCTION("TRIM(REGEXREPLACE(D1877, ""[0-9]+[a-f]?\."", """"))"),"Je voudrais maintenant vous poser des questions sur les choses qui vous inquiètent dans votre vie.")</f>
        <v>Je voudrais maintenant vous poser des questions sur les choses qui vous inquiètent dans votre vie.</v>
      </c>
      <c r="I1877" s="172" t="str">
        <f>IFERROR(__xludf.DUMMYFUNCTION("TRIM(REGEXREPLACE(E1877, ""[0-9]+[a-f]?\."", """"))"),"Yanzu ina son in tambaye ku bisa abubuwan da ke damun ku a cikin rayuwar ku.")</f>
        <v>Yanzu ina son in tambaye ku bisa abubuwan da ke damun ku a cikin rayuwar ku.</v>
      </c>
      <c r="J1877" s="172" t="str">
        <f t="shared" ref="J1877:L1877" si="377">$F1877 &amp; ". " &amp;G1877</f>
        <v>354. Now I am going to ask you about the areas of your life that worry you.</v>
      </c>
      <c r="K1877" s="172" t="str">
        <f t="shared" si="377"/>
        <v>354. Je voudrais maintenant vous poser des questions sur les choses qui vous inquiètent dans votre vie.</v>
      </c>
      <c r="L1877" s="172" t="str">
        <f t="shared" si="377"/>
        <v>354. Yanzu ina son in tambaye ku bisa abubuwan da ke damun ku a cikin rayuwar ku.</v>
      </c>
    </row>
    <row r="1878">
      <c r="A1878" s="215" t="s">
        <v>6066</v>
      </c>
      <c r="B1878" s="216" t="s">
        <v>6067</v>
      </c>
      <c r="C1878" s="216" t="s">
        <v>3258</v>
      </c>
      <c r="D1878" s="216" t="s">
        <v>3259</v>
      </c>
      <c r="E1878" s="216" t="s">
        <v>3260</v>
      </c>
      <c r="F1878" s="182">
        <v>355.0</v>
      </c>
      <c r="G1878" s="172" t="str">
        <f>IFERROR(__xludf.DUMMYFUNCTION("TRIM(REGEXREPLACE(C1878, ""[0-9]+[a-f]?\."", """"))"),"How stressed are you about the following areas of your life?")</f>
        <v>How stressed are you about the following areas of your life?</v>
      </c>
      <c r="H1878" s="172" t="str">
        <f>IFERROR(__xludf.DUMMYFUNCTION("TRIM(REGEXREPLACE(D1878, ""[0-9]+[a-f]?\."", """"))"),"Dans quelle mesure êtes-vous stressé par les domaines suivants de votre vie ?")</f>
        <v>Dans quelle mesure êtes-vous stressé par les domaines suivants de votre vie ?</v>
      </c>
      <c r="I1878" s="172" t="str">
        <f>IFERROR(__xludf.DUMMYFUNCTION("TRIM(REGEXREPLACE(E1878, ""[0-9]+[a-f]?\."", """"))"),"Yaya damuwarku game da abubuwa na rayuwarku da zan zana?")</f>
        <v>Yaya damuwarku game da abubuwa na rayuwarku da zan zana?</v>
      </c>
      <c r="J1878" s="172" t="str">
        <f t="shared" ref="J1878:L1878" si="378">$F1878 &amp; ". " &amp;G1878</f>
        <v>355. How stressed are you about the following areas of your life?</v>
      </c>
      <c r="K1878" s="172" t="str">
        <f t="shared" si="378"/>
        <v>355. Dans quelle mesure êtes-vous stressé par les domaines suivants de votre vie ?</v>
      </c>
      <c r="L1878" s="172" t="str">
        <f t="shared" si="378"/>
        <v>355. Yaya damuwarku game da abubuwa na rayuwarku da zan zana?</v>
      </c>
    </row>
    <row r="1879">
      <c r="A1879" s="215" t="s">
        <v>6066</v>
      </c>
      <c r="B1879" s="216" t="s">
        <v>6068</v>
      </c>
      <c r="C1879" s="216" t="s">
        <v>3265</v>
      </c>
      <c r="D1879" s="216" t="s">
        <v>3266</v>
      </c>
      <c r="E1879" s="216" t="s">
        <v>3267</v>
      </c>
      <c r="F1879" s="182">
        <v>356.0</v>
      </c>
      <c r="G1879" s="172" t="str">
        <f>IFERROR(__xludf.DUMMYFUNCTION("TRIM(REGEXREPLACE(C1879, ""[0-9]+[a-f]?\."", """"))"),"Your own health problems, illness")</f>
        <v>Your own health problems, illness</v>
      </c>
      <c r="H1879" s="172" t="str">
        <f>IFERROR(__xludf.DUMMYFUNCTION("TRIM(REGEXREPLACE(D1879, ""[0-9]+[a-f]?\."", """"))"),"Vos propres problèmes de santé")</f>
        <v>Vos propres problèmes de santé</v>
      </c>
      <c r="I1879" s="172" t="str">
        <f>IFERROR(__xludf.DUMMYFUNCTION("TRIM(REGEXREPLACE(E1879, ""[0-9]+[a-f]?\."", """"))"),"Matsalolin lafiyar jikinku")</f>
        <v>Matsalolin lafiyar jikinku</v>
      </c>
      <c r="J1879" s="172" t="str">
        <f t="shared" ref="J1879:L1879" si="379">$F1879 &amp; ". " &amp;G1879</f>
        <v>356. Your own health problems, illness</v>
      </c>
      <c r="K1879" s="172" t="str">
        <f t="shared" si="379"/>
        <v>356. Vos propres problèmes de santé</v>
      </c>
      <c r="L1879" s="172" t="str">
        <f t="shared" si="379"/>
        <v>356. Matsalolin lafiyar jikinku</v>
      </c>
    </row>
    <row r="1880">
      <c r="A1880" s="215" t="s">
        <v>6066</v>
      </c>
      <c r="B1880" s="216" t="s">
        <v>6069</v>
      </c>
      <c r="C1880" s="216" t="s">
        <v>3271</v>
      </c>
      <c r="D1880" s="216" t="s">
        <v>3272</v>
      </c>
      <c r="E1880" s="216" t="s">
        <v>3273</v>
      </c>
      <c r="F1880" s="182">
        <v>357.0</v>
      </c>
      <c r="G1880" s="172" t="str">
        <f>IFERROR(__xludf.DUMMYFUNCTION("TRIM(REGEXREPLACE(C1880, ""[0-9]+[a-f]?\."", """"))"),"Problems at home and with relatives")</f>
        <v>Problems at home and with relatives</v>
      </c>
      <c r="H1880" s="172" t="str">
        <f>IFERROR(__xludf.DUMMYFUNCTION("TRIM(REGEXREPLACE(D1880, ""[0-9]+[a-f]?\."", """"))"),"Problèmes dans le ménage et avec les proches")</f>
        <v>Problèmes dans le ménage et avec les proches</v>
      </c>
      <c r="I1880" s="172" t="str">
        <f>IFERROR(__xludf.DUMMYFUNCTION("TRIM(REGEXREPLACE(E1880, ""[0-9]+[a-f]?\."", """"))"),"Matsaloli na cikin gida da na dangi")</f>
        <v>Matsaloli na cikin gida da na dangi</v>
      </c>
      <c r="J1880" s="172" t="str">
        <f t="shared" ref="J1880:L1880" si="380">$F1880 &amp; ". " &amp;G1880</f>
        <v>357. Problems at home and with relatives</v>
      </c>
      <c r="K1880" s="172" t="str">
        <f t="shared" si="380"/>
        <v>357. Problèmes dans le ménage et avec les proches</v>
      </c>
      <c r="L1880" s="172" t="str">
        <f t="shared" si="380"/>
        <v>357. Matsaloli na cikin gida da na dangi</v>
      </c>
    </row>
    <row r="1881">
      <c r="A1881" s="215" t="s">
        <v>6066</v>
      </c>
      <c r="B1881" s="216" t="s">
        <v>6070</v>
      </c>
      <c r="C1881" s="216" t="s">
        <v>3276</v>
      </c>
      <c r="D1881" s="216" t="s">
        <v>3277</v>
      </c>
      <c r="E1881" s="216" t="s">
        <v>6071</v>
      </c>
      <c r="F1881" s="182">
        <v>358.0</v>
      </c>
      <c r="G1881" s="172" t="str">
        <f>IFERROR(__xludf.DUMMYFUNCTION("TRIM(REGEXREPLACE(C1881, ""[0-9]+[a-f]?\."", """"))"),"Accidents and disasters")</f>
        <v>Accidents and disasters</v>
      </c>
      <c r="H1881" s="172" t="str">
        <f>IFERROR(__xludf.DUMMYFUNCTION("TRIM(REGEXREPLACE(D1881, ""[0-9]+[a-f]?\."", """"))"),"Accidents et catastrophes")</f>
        <v>Accidents et catastrophes</v>
      </c>
      <c r="I1881" s="172" t="str">
        <f>IFERROR(__xludf.DUMMYFUNCTION("TRIM(REGEXREPLACE(E1881, ""[0-9]+[a-f]?\."", """"))"),"Hatsari da ibtila'i")</f>
        <v>Hatsari da ibtila'i</v>
      </c>
      <c r="J1881" s="172" t="str">
        <f t="shared" ref="J1881:L1881" si="381">$F1881 &amp; ". " &amp;G1881</f>
        <v>358. Accidents and disasters</v>
      </c>
      <c r="K1881" s="172" t="str">
        <f t="shared" si="381"/>
        <v>358. Accidents et catastrophes</v>
      </c>
      <c r="L1881" s="172" t="str">
        <f t="shared" si="381"/>
        <v>358. Hatsari da ibtila'i</v>
      </c>
    </row>
    <row r="1882">
      <c r="A1882" s="215" t="s">
        <v>6066</v>
      </c>
      <c r="B1882" s="216" t="s">
        <v>6072</v>
      </c>
      <c r="C1882" s="216" t="s">
        <v>3280</v>
      </c>
      <c r="D1882" s="216" t="s">
        <v>3281</v>
      </c>
      <c r="E1882" s="216" t="s">
        <v>3283</v>
      </c>
      <c r="F1882" s="182">
        <v>359.0</v>
      </c>
      <c r="G1882" s="172" t="str">
        <f>IFERROR(__xludf.DUMMYFUNCTION("TRIM(REGEXREPLACE(C1882, ""[0-9]+[a-f]?\."", """"))"),"Problems with people in other ethnic groups")</f>
        <v>Problems with people in other ethnic groups</v>
      </c>
      <c r="H1882" s="172" t="str">
        <f>IFERROR(__xludf.DUMMYFUNCTION("TRIM(REGEXREPLACE(D1882, ""[0-9]+[a-f]?\."", """"))"),"Problèmes avec les personnes d'autres groupes ethniques")</f>
        <v>Problèmes avec les personnes d'autres groupes ethniques</v>
      </c>
      <c r="I1882" s="172" t="str">
        <f>IFERROR(__xludf.DUMMYFUNCTION("TRIM(REGEXREPLACE(E1882, ""[0-9]+[a-f]?\."", """"))"),"Matsaloli da mutanen wasu kabilu daban")</f>
        <v>Matsaloli da mutanen wasu kabilu daban</v>
      </c>
      <c r="J1882" s="172" t="str">
        <f t="shared" ref="J1882:L1882" si="382">$F1882 &amp; ". " &amp;G1882</f>
        <v>359. Problems with people in other ethnic groups</v>
      </c>
      <c r="K1882" s="172" t="str">
        <f t="shared" si="382"/>
        <v>359. Problèmes avec les personnes d'autres groupes ethniques</v>
      </c>
      <c r="L1882" s="172" t="str">
        <f t="shared" si="382"/>
        <v>359. Matsaloli da mutanen wasu kabilu daban</v>
      </c>
    </row>
    <row r="1883">
      <c r="A1883" s="215" t="s">
        <v>6066</v>
      </c>
      <c r="B1883" s="216" t="s">
        <v>6073</v>
      </c>
      <c r="C1883" s="216" t="s">
        <v>3286</v>
      </c>
      <c r="D1883" s="216" t="s">
        <v>3287</v>
      </c>
      <c r="E1883" s="216" t="s">
        <v>3288</v>
      </c>
      <c r="F1883" s="182">
        <v>360.0</v>
      </c>
      <c r="G1883" s="172" t="str">
        <f>IFERROR(__xludf.DUMMYFUNCTION("TRIM(REGEXREPLACE(C1883, ""[0-9]+[a-f]?\."", """"))"),"Not enough money for basic needs (sucha as food and clothing)")</f>
        <v>Not enough money for basic needs (sucha as food and clothing)</v>
      </c>
      <c r="H1883" s="172" t="str">
        <f>IFERROR(__xludf.DUMMYFUNCTION("TRIM(REGEXREPLACE(D1883, ""[0-9]+[a-f]?\."", """"))"),"Pas assez d'argent pour les besoins de base (tels que la nourriture et les vêtements)")</f>
        <v>Pas assez d'argent pour les besoins de base (tels que la nourriture et les vêtements)</v>
      </c>
      <c r="I1883" s="172" t="str">
        <f>IFERROR(__xludf.DUMMYFUNCTION("TRIM(REGEXREPLACE(E1883, ""[0-9]+[a-f]?\."", """"))"),"Rashin isassun kuɗi don buƙatun asali (kamar abinci da sutura)")</f>
        <v>Rashin isassun kuɗi don buƙatun asali (kamar abinci da sutura)</v>
      </c>
      <c r="J1883" s="172" t="str">
        <f t="shared" ref="J1883:L1883" si="383">$F1883 &amp; ". " &amp;G1883</f>
        <v>360. Not enough money for basic needs (sucha as food and clothing)</v>
      </c>
      <c r="K1883" s="172" t="str">
        <f t="shared" si="383"/>
        <v>360. Pas assez d'argent pour les besoins de base (tels que la nourriture et les vêtements)</v>
      </c>
      <c r="L1883" s="172" t="str">
        <f t="shared" si="383"/>
        <v>360. Rashin isassun kuɗi don buƙatun asali (kamar abinci da sutura)</v>
      </c>
    </row>
    <row r="1884">
      <c r="A1884" s="215" t="s">
        <v>6066</v>
      </c>
      <c r="B1884" s="216" t="s">
        <v>6074</v>
      </c>
      <c r="C1884" s="216" t="s">
        <v>6075</v>
      </c>
      <c r="D1884" s="216" t="s">
        <v>6076</v>
      </c>
      <c r="E1884" s="216" t="s">
        <v>6077</v>
      </c>
      <c r="F1884" s="182">
        <v>361.0</v>
      </c>
      <c r="G1884" s="172" t="str">
        <f>IFERROR(__xludf.DUMMYFUNCTION("TRIM(REGEXREPLACE(C1884, ""[0-9]+[a-f]?\."", """"))"),"Not being able to educate all children")</f>
        <v>Not being able to educate all children</v>
      </c>
      <c r="H1884" s="172" t="str">
        <f>IFERROR(__xludf.DUMMYFUNCTION("TRIM(REGEXREPLACE(D1884, ""[0-9]+[a-f]?\."", """"))"),"Ne pas pouvoir scolariser tous les enfants")</f>
        <v>Ne pas pouvoir scolariser tous les enfants</v>
      </c>
      <c r="I1884" s="172" t="str">
        <f>IFERROR(__xludf.DUMMYFUNCTION("TRIM(REGEXREPLACE(E1884, ""[0-9]+[a-f]?\."", """"))"),"Rashin iya rubuta dukkan yara a makarantar boko")</f>
        <v>Rashin iya rubuta dukkan yara a makarantar boko</v>
      </c>
      <c r="J1884" s="172" t="str">
        <f t="shared" ref="J1884:L1884" si="384">$F1884 &amp; ". " &amp;G1884</f>
        <v>361. Not being able to educate all children</v>
      </c>
      <c r="K1884" s="172" t="str">
        <f t="shared" si="384"/>
        <v>361. Ne pas pouvoir scolariser tous les enfants</v>
      </c>
      <c r="L1884" s="172" t="str">
        <f t="shared" si="384"/>
        <v>361. Rashin iya rubuta dukkan yara a makarantar boko</v>
      </c>
    </row>
    <row r="1885">
      <c r="A1885" s="215" t="s">
        <v>6066</v>
      </c>
      <c r="B1885" s="216" t="s">
        <v>6078</v>
      </c>
      <c r="C1885" s="216" t="s">
        <v>6079</v>
      </c>
      <c r="D1885" s="216" t="s">
        <v>6080</v>
      </c>
      <c r="E1885" s="216" t="s">
        <v>6081</v>
      </c>
      <c r="F1885" s="182">
        <v>362.0</v>
      </c>
      <c r="G1885" s="172" t="str">
        <f>IFERROR(__xludf.DUMMYFUNCTION("TRIM(REGEXREPLACE(C1885, ""[0-9]+[a-f]?\."", """"))"),"Difficulty finding work")</f>
        <v>Difficulty finding work</v>
      </c>
      <c r="H1885" s="172" t="str">
        <f>IFERROR(__xludf.DUMMYFUNCTION("TRIM(REGEXREPLACE(D1885, ""[0-9]+[a-f]?\."", """"))"),"Difficulté à trouver du travail")</f>
        <v>Difficulté à trouver du travail</v>
      </c>
      <c r="I1885" s="172" t="str">
        <f>IFERROR(__xludf.DUMMYFUNCTION("TRIM(REGEXREPLACE(E1885, ""[0-9]+[a-f]?\."", """"))"),"Wahalar neman aiki")</f>
        <v>Wahalar neman aiki</v>
      </c>
      <c r="J1885" s="172" t="str">
        <f t="shared" ref="J1885:L1885" si="385">$F1885 &amp; ". " &amp;G1885</f>
        <v>362. Difficulty finding work</v>
      </c>
      <c r="K1885" s="172" t="str">
        <f t="shared" si="385"/>
        <v>362. Difficulté à trouver du travail</v>
      </c>
      <c r="L1885" s="172" t="str">
        <f t="shared" si="385"/>
        <v>362. Wahalar neman aiki</v>
      </c>
    </row>
    <row r="1886">
      <c r="A1886" s="215" t="s">
        <v>6066</v>
      </c>
      <c r="B1886" s="216" t="s">
        <v>6082</v>
      </c>
      <c r="C1886" s="216" t="s">
        <v>6083</v>
      </c>
      <c r="D1886" s="216" t="s">
        <v>6084</v>
      </c>
      <c r="E1886" s="216" t="s">
        <v>6085</v>
      </c>
      <c r="F1886" s="182">
        <v>363.0</v>
      </c>
      <c r="G1886" s="172" t="str">
        <f>IFERROR(__xludf.DUMMYFUNCTION("TRIM(REGEXREPLACE(C1886, ""[0-9]+[a-f]?\."", """"))"),"Idleness of children or spouse")</f>
        <v>Idleness of children or spouse</v>
      </c>
      <c r="H1886" s="172" t="str">
        <f>IFERROR(__xludf.DUMMYFUNCTION("TRIM(REGEXREPLACE(D1886, ""[0-9]+[a-f]?\."", """"))"),"L'oisiveté des enfants ou du conjoint")</f>
        <v>L'oisiveté des enfants ou du conjoint</v>
      </c>
      <c r="I1886" s="172" t="str">
        <f>IFERROR(__xludf.DUMMYFUNCTION("TRIM(REGEXREPLACE(E1886, ""[0-9]+[a-f]?\."", """"))"),"Zaman banza na yara ko mata")</f>
        <v>Zaman banza na yara ko mata</v>
      </c>
      <c r="J1886" s="172" t="str">
        <f t="shared" ref="J1886:L1886" si="386">$F1886 &amp; ". " &amp;G1886</f>
        <v>363. Idleness of children or spouse</v>
      </c>
      <c r="K1886" s="172" t="str">
        <f t="shared" si="386"/>
        <v>363. L'oisiveté des enfants ou du conjoint</v>
      </c>
      <c r="L1886" s="172" t="str">
        <f t="shared" si="386"/>
        <v>363. Zaman banza na yara ko mata</v>
      </c>
    </row>
    <row r="1887">
      <c r="A1887" s="215" t="s">
        <v>6066</v>
      </c>
      <c r="B1887" s="216" t="s">
        <v>6086</v>
      </c>
      <c r="C1887" s="216" t="s">
        <v>6087</v>
      </c>
      <c r="D1887" s="216" t="s">
        <v>6088</v>
      </c>
      <c r="E1887" s="216" t="s">
        <v>6089</v>
      </c>
      <c r="F1887" s="182">
        <v>364.0</v>
      </c>
      <c r="G1887" s="172" t="str">
        <f>IFERROR(__xludf.DUMMYFUNCTION("TRIM(REGEXREPLACE(C1887, ""[0-9]+[a-f]?\."", """"))"),"Alcohol comsumption of children or spouse")</f>
        <v>Alcohol comsumption of children or spouse</v>
      </c>
      <c r="H1887" s="172" t="str">
        <f>IFERROR(__xludf.DUMMYFUNCTION("TRIM(REGEXREPLACE(D1887, ""[0-9]+[a-f]?\."", """"))"),"Consommation d'alcool des enfants ou du conjoint")</f>
        <v>Consommation d'alcool des enfants ou du conjoint</v>
      </c>
      <c r="I1887" s="172" t="str">
        <f>IFERROR(__xludf.DUMMYFUNCTION("TRIM(REGEXREPLACE(E1887, ""[0-9]+[a-f]?\."", """"))"),"Shan giya na yara ko mata")</f>
        <v>Shan giya na yara ko mata</v>
      </c>
      <c r="J1887" s="172" t="str">
        <f t="shared" ref="J1887:L1887" si="387">$F1887 &amp; ". " &amp;G1887</f>
        <v>364. Alcohol comsumption of children or spouse</v>
      </c>
      <c r="K1887" s="172" t="str">
        <f t="shared" si="387"/>
        <v>364. Consommation d'alcool des enfants ou du conjoint</v>
      </c>
      <c r="L1887" s="172" t="str">
        <f t="shared" si="387"/>
        <v>364. Shan giya na yara ko mata</v>
      </c>
    </row>
    <row r="1888">
      <c r="A1888" s="215" t="s">
        <v>6066</v>
      </c>
      <c r="B1888" s="216" t="s">
        <v>6090</v>
      </c>
      <c r="C1888" s="216" t="s">
        <v>6091</v>
      </c>
      <c r="D1888" s="216" t="s">
        <v>6092</v>
      </c>
      <c r="E1888" s="216" t="s">
        <v>6093</v>
      </c>
      <c r="F1888" s="182">
        <v>365.0</v>
      </c>
      <c r="G1888" s="172" t="str">
        <f>IFERROR(__xludf.DUMMYFUNCTION("TRIM(REGEXREPLACE(C1888, ""[0-9]+[a-f]?\."", """"))"),"Death of a family member")</f>
        <v>Death of a family member</v>
      </c>
      <c r="H1888" s="172" t="str">
        <f>IFERROR(__xludf.DUMMYFUNCTION("TRIM(REGEXREPLACE(D1888, ""[0-9]+[a-f]?\."", """"))"),"Décès d'un membre de la famille")</f>
        <v>Décès d'un membre de la famille</v>
      </c>
      <c r="I1888" s="172" t="str">
        <f>IFERROR(__xludf.DUMMYFUNCTION("TRIM(REGEXREPLACE(E1888, ""[0-9]+[a-f]?\."", """"))"),"Mutuwar wani ɗan uwa")</f>
        <v>Mutuwar wani ɗan uwa</v>
      </c>
      <c r="J1888" s="172" t="str">
        <f t="shared" ref="J1888:L1888" si="388">$F1888 &amp; ". " &amp;G1888</f>
        <v>365. Death of a family member</v>
      </c>
      <c r="K1888" s="172" t="str">
        <f t="shared" si="388"/>
        <v>365. Décès d'un membre de la famille</v>
      </c>
      <c r="L1888" s="172" t="str">
        <f t="shared" si="388"/>
        <v>365. Mutuwar wani ɗan uwa</v>
      </c>
    </row>
    <row r="1889">
      <c r="A1889" s="215" t="s">
        <v>6066</v>
      </c>
      <c r="B1889" s="216" t="s">
        <v>6094</v>
      </c>
      <c r="C1889" s="216" t="s">
        <v>6095</v>
      </c>
      <c r="D1889" s="216" t="s">
        <v>6096</v>
      </c>
      <c r="E1889" s="216" t="s">
        <v>6097</v>
      </c>
      <c r="F1889" s="182">
        <v>366.0</v>
      </c>
      <c r="G1889" s="172" t="str">
        <f>IFERROR(__xludf.DUMMYFUNCTION("TRIM(REGEXREPLACE(C1889, ""[0-9]+[a-f]?\."", """"))"),"Debts owed to others")</f>
        <v>Debts owed to others</v>
      </c>
      <c r="H1889" s="172" t="str">
        <f>IFERROR(__xludf.DUMMYFUNCTION("TRIM(REGEXREPLACE(D1889, ""[0-9]+[a-f]?\."", """"))"),"Dettes envers autrui")</f>
        <v>Dettes envers autrui</v>
      </c>
      <c r="I1889" s="172" t="str">
        <f>IFERROR(__xludf.DUMMYFUNCTION("TRIM(REGEXREPLACE(E1889, ""[0-9]+[a-f]?\."", """"))"),"Bashi da wasu ke binku")</f>
        <v>Bashi da wasu ke binku</v>
      </c>
      <c r="J1889" s="172" t="str">
        <f t="shared" ref="J1889:L1889" si="389">$F1889 &amp; ". " &amp;G1889</f>
        <v>366. Debts owed to others</v>
      </c>
      <c r="K1889" s="172" t="str">
        <f t="shared" si="389"/>
        <v>366. Dettes envers autrui</v>
      </c>
      <c r="L1889" s="172" t="str">
        <f t="shared" si="389"/>
        <v>366. Bashi da wasu ke binku</v>
      </c>
    </row>
    <row r="1890" hidden="1">
      <c r="A1890" s="211" t="s">
        <v>238</v>
      </c>
      <c r="B1890" s="224" t="s">
        <v>6060</v>
      </c>
      <c r="C1890" s="224" t="s">
        <v>6061</v>
      </c>
      <c r="D1890" s="225"/>
      <c r="E1890" s="225"/>
    </row>
    <row r="1891" hidden="1">
      <c r="A1891" s="172"/>
      <c r="B1891" s="172"/>
      <c r="C1891" s="174" t="s">
        <v>52</v>
      </c>
      <c r="D1891" s="174" t="s">
        <v>52</v>
      </c>
      <c r="E1891" s="174" t="s">
        <v>52</v>
      </c>
    </row>
    <row r="1892" hidden="1">
      <c r="A1892" s="172"/>
      <c r="B1892" s="172"/>
      <c r="C1892" s="172"/>
      <c r="D1892" s="172"/>
      <c r="E1892" s="172"/>
    </row>
    <row r="1893">
      <c r="A1893" s="215" t="s">
        <v>6098</v>
      </c>
      <c r="B1893" s="216" t="s">
        <v>6099</v>
      </c>
      <c r="C1893" s="216" t="s">
        <v>6100</v>
      </c>
      <c r="D1893" s="216" t="s">
        <v>6101</v>
      </c>
      <c r="E1893" s="216" t="s">
        <v>6102</v>
      </c>
      <c r="F1893" s="182">
        <v>367.0</v>
      </c>
      <c r="G1893" s="172" t="str">
        <f>IFERROR(__xludf.DUMMYFUNCTION("TRIM(REGEXREPLACE(C1893, ""[0-9]+[a-f]?\."", """"))"),"In five years, how likely are you to live in Tahoua region, including at home, compared to somewhere else?")</f>
        <v>In five years, how likely are you to live in Tahoua region, including at home, compared to somewhere else?</v>
      </c>
      <c r="H1893" s="172" t="str">
        <f>IFERROR(__xludf.DUMMYFUNCTION("TRIM(REGEXREPLACE(D1893, ""[0-9]+[a-f]?\."", """"))"),"Dans les cinq ans à venir, quelle est la probabilité que vous viviez dans la région de Tahoua, y compris chez vous, ou ailleurs ?")</f>
        <v>Dans les cinq ans à venir, quelle est la probabilité que vous viviez dans la région de Tahoua, y compris chez vous, ou ailleurs ?</v>
      </c>
      <c r="I1893" s="172" t="str">
        <f>IFERROR(__xludf.DUMMYFUNCTION("TRIM(REGEXREPLACE(E1893, ""[0-9]+[a-f]?\."", """"))"),"A cikin shekaru biyar masu zuwa, yaya kuke ganin yiwuwar zamanku a jahar Tahoua, har da ƙauyenku, ko a wani wuri dabam?")</f>
        <v>A cikin shekaru biyar masu zuwa, yaya kuke ganin yiwuwar zamanku a jahar Tahoua, har da ƙauyenku, ko a wani wuri dabam?</v>
      </c>
      <c r="J1893" s="172" t="str">
        <f t="shared" ref="J1893:L1893" si="390">$F1893 &amp; ". " &amp;G1893</f>
        <v>367. In five years, how likely are you to live in Tahoua region, including at home, compared to somewhere else?</v>
      </c>
      <c r="K1893" s="172" t="str">
        <f t="shared" si="390"/>
        <v>367. Dans les cinq ans à venir, quelle est la probabilité que vous viviez dans la région de Tahoua, y compris chez vous, ou ailleurs ?</v>
      </c>
      <c r="L1893" s="172" t="str">
        <f t="shared" si="390"/>
        <v>367. A cikin shekaru biyar masu zuwa, yaya kuke ganin yiwuwar zamanku a jahar Tahoua, har da ƙauyenku, ko a wani wuri dabam?</v>
      </c>
    </row>
    <row r="1894">
      <c r="A1894" s="215" t="s">
        <v>6103</v>
      </c>
      <c r="B1894" s="216" t="s">
        <v>6104</v>
      </c>
      <c r="C1894" s="216" t="s">
        <v>6105</v>
      </c>
      <c r="D1894" s="216" t="s">
        <v>6106</v>
      </c>
      <c r="E1894" s="216" t="s">
        <v>6107</v>
      </c>
      <c r="F1894" s="182">
        <v>368.0</v>
      </c>
      <c r="G1894" s="172" t="str">
        <f>IFERROR(__xludf.DUMMYFUNCTION("TRIM(REGEXREPLACE(C1894, ""[0-9]+[a-f]?\."", """"))"),"Five years from now, are you more likely to live somewhere else in Niger or in another country?")</f>
        <v>Five years from now, are you more likely to live somewhere else in Niger or in another country?</v>
      </c>
      <c r="H1894" s="172" t="str">
        <f>IFERROR(__xludf.DUMMYFUNCTION("TRIM(REGEXREPLACE(D1894, ""[0-9]+[a-f]?\."", """"))"),"Dans cinq ans, pensez vous vivre ailleurs au Niger ou dans un autre pays ?")</f>
        <v>Dans cinq ans, pensez vous vivre ailleurs au Niger ou dans un autre pays ?</v>
      </c>
      <c r="I1894" s="172" t="str">
        <f>IFERROR(__xludf.DUMMYFUNCTION("TRIM(REGEXREPLACE(E1894, ""[0-9]+[a-f]?\."", """"))"),"Cikin shekaru biyar masu zuwa, ko kuna tunanin zama a wani wuri a Nijar ko a wata ƙasa daban?")</f>
        <v>Cikin shekaru biyar masu zuwa, ko kuna tunanin zama a wani wuri a Nijar ko a wata ƙasa daban?</v>
      </c>
      <c r="J1894" s="172" t="str">
        <f t="shared" ref="J1894:L1894" si="391">$F1894 &amp; ". " &amp;G1894</f>
        <v>368. Five years from now, are you more likely to live somewhere else in Niger or in another country?</v>
      </c>
      <c r="K1894" s="172" t="str">
        <f t="shared" si="391"/>
        <v>368. Dans cinq ans, pensez vous vivre ailleurs au Niger ou dans un autre pays ?</v>
      </c>
      <c r="L1894" s="172" t="str">
        <f t="shared" si="391"/>
        <v>368. Cikin shekaru biyar masu zuwa, ko kuna tunanin zama a wani wuri a Nijar ko a wata ƙasa daban?</v>
      </c>
    </row>
    <row r="1895" hidden="1">
      <c r="A1895" s="172"/>
      <c r="B1895" s="172"/>
      <c r="C1895" s="174"/>
      <c r="D1895" s="174"/>
      <c r="E1895" s="174"/>
    </row>
    <row r="1896" hidden="1">
      <c r="A1896" s="263"/>
      <c r="B1896" s="315"/>
      <c r="C1896" s="214"/>
      <c r="D1896" s="214"/>
      <c r="E1896" s="214"/>
    </row>
    <row r="1897" hidden="1">
      <c r="A1897" s="188" t="s">
        <v>118</v>
      </c>
      <c r="B1897" s="279" t="s">
        <v>6108</v>
      </c>
      <c r="C1897" s="190"/>
      <c r="D1897" s="190"/>
      <c r="E1897" s="190"/>
    </row>
    <row r="1898" hidden="1">
      <c r="A1898" s="211" t="s">
        <v>107</v>
      </c>
      <c r="B1898" s="311" t="s">
        <v>6109</v>
      </c>
      <c r="C1898" s="212" t="s">
        <v>6110</v>
      </c>
      <c r="D1898" s="214"/>
      <c r="E1898" s="214"/>
    </row>
    <row r="1899">
      <c r="A1899" s="207" t="s">
        <v>41</v>
      </c>
      <c r="B1899" s="316" t="s">
        <v>6111</v>
      </c>
      <c r="C1899" s="208" t="s">
        <v>3340</v>
      </c>
      <c r="D1899" s="208" t="s">
        <v>3341</v>
      </c>
      <c r="E1899" s="208" t="s">
        <v>3342</v>
      </c>
      <c r="F1899" s="182">
        <v>369.0</v>
      </c>
      <c r="G1899" s="172" t="str">
        <f>IFERROR(__xludf.DUMMYFUNCTION("TRIM(REGEXREPLACE(C1899, ""[0-9]+[a-f]?\."", """"))"),"The next set of questions are about your opinions regarding the roles that women and men play")</f>
        <v>The next set of questions are about your opinions regarding the roles that women and men play</v>
      </c>
      <c r="H1899" s="172" t="str">
        <f>IFERROR(__xludf.DUMMYFUNCTION("TRIM(REGEXREPLACE(D1899, ""[0-9]+[a-f]?\."", """"))"),"La prochaine série de questions porte sur vos opinions concernant les rôles que jouent les femmes et les hommes")</f>
        <v>La prochaine série de questions porte sur vos opinions concernant les rôles que jouent les femmes et les hommes</v>
      </c>
      <c r="I1899" s="172" t="str">
        <f>IFERROR(__xludf.DUMMYFUNCTION("TRIM(REGEXREPLACE(E1899, ""[0-9]+[a-f]?\."", """"))"),"Tambayoyi na gaba sun ta'allaƙa ne da ra'ayoyin ku game da rawar da mata da maza suke takawa.")</f>
        <v>Tambayoyi na gaba sun ta'allaƙa ne da ra'ayoyin ku game da rawar da mata da maza suke takawa.</v>
      </c>
      <c r="J1899" s="172" t="str">
        <f t="shared" ref="J1899:L1899" si="392">$F1899 &amp; ". " &amp;G1899</f>
        <v>369. The next set of questions are about your opinions regarding the roles that women and men play</v>
      </c>
      <c r="K1899" s="172" t="str">
        <f t="shared" si="392"/>
        <v>369. La prochaine série de questions porte sur vos opinions concernant les rôles que jouent les femmes et les hommes</v>
      </c>
      <c r="L1899" s="172" t="str">
        <f t="shared" si="392"/>
        <v>369. Tambayoyi na gaba sun ta'allaƙa ne da ra'ayoyin ku game da rawar da mata da maza suke takawa.</v>
      </c>
    </row>
    <row r="1900">
      <c r="A1900" s="215" t="s">
        <v>5579</v>
      </c>
      <c r="B1900" s="273" t="s">
        <v>6112</v>
      </c>
      <c r="C1900" s="216" t="s">
        <v>3343</v>
      </c>
      <c r="D1900" s="216" t="s">
        <v>3344</v>
      </c>
      <c r="E1900" s="216" t="s">
        <v>3345</v>
      </c>
      <c r="F1900" s="182">
        <v>370.0</v>
      </c>
      <c r="G1900" s="172" t="str">
        <f>IFERROR(__xludf.DUMMYFUNCTION("TRIM(REGEXREPLACE(C1900, ""[0-9]+[a-f]?\."", """"))"),"How often, if ever do you talk about the role of women in society with other people?")</f>
        <v>How often, if ever do you talk about the role of women in society with other people?</v>
      </c>
      <c r="H1900" s="172" t="str">
        <f>IFERROR(__xludf.DUMMYFUNCTION("TRIM(REGEXREPLACE(D1900, ""[0-9]+[a-f]?\."", """"))"),"À quelle fréquence, si jamais cela arrive, parlez-vous du rôle des femmes dans la société avec d'autres personnes ?")</f>
        <v>À quelle fréquence, si jamais cela arrive, parlez-vous du rôle des femmes dans la société avec d'autres personnes ?</v>
      </c>
      <c r="I1900" s="172" t="str">
        <f>IFERROR(__xludf.DUMMYFUNCTION("TRIM(REGEXREPLACE(E1900, ""[0-9]+[a-f]?\."", """"))"),"Sau nawa, idan ya na faruwa, kuke yin magana game da taka rawan mata a cikin al'umma tare da sauran mutane?")</f>
        <v>Sau nawa, idan ya na faruwa, kuke yin magana game da taka rawan mata a cikin al'umma tare da sauran mutane?</v>
      </c>
      <c r="J1900" s="172" t="str">
        <f t="shared" ref="J1900:L1900" si="393">$F1900 &amp; ". " &amp;G1900</f>
        <v>370. How often, if ever do you talk about the role of women in society with other people?</v>
      </c>
      <c r="K1900" s="172" t="str">
        <f t="shared" si="393"/>
        <v>370. À quelle fréquence, si jamais cela arrive, parlez-vous du rôle des femmes dans la société avec d'autres personnes ?</v>
      </c>
      <c r="L1900" s="172" t="str">
        <f t="shared" si="393"/>
        <v>370. Sau nawa, idan ya na faruwa, kuke yin magana game da taka rawan mata a cikin al'umma tare da sauran mutane?</v>
      </c>
    </row>
    <row r="1901">
      <c r="A1901" s="207" t="s">
        <v>41</v>
      </c>
      <c r="B1901" s="316" t="s">
        <v>6113</v>
      </c>
      <c r="C1901" s="208" t="s">
        <v>3349</v>
      </c>
      <c r="D1901" s="208" t="s">
        <v>3350</v>
      </c>
      <c r="E1901" s="208" t="s">
        <v>3351</v>
      </c>
      <c r="F1901" s="182">
        <v>371.0</v>
      </c>
      <c r="G1901" s="172" t="str">
        <f>IFERROR(__xludf.DUMMYFUNCTION("TRIM(REGEXREPLACE(C1901, ""[0-9]+[a-f]?\."", """"))"),"In your opinion, how much influence a wife should have over the following decisions within a couple?")</f>
        <v>In your opinion, how much influence a wife should have over the following decisions within a couple?</v>
      </c>
      <c r="H1901" s="172" t="str">
        <f>IFERROR(__xludf.DUMMYFUNCTION("TRIM(REGEXREPLACE(D1901, ""[0-9]+[a-f]?\."", """"))"),"Selon vous, quelle influence une épouse devrait-elle avoir sur les décisions suivantes au sein d'un couple ?")</f>
        <v>Selon vous, quelle influence une épouse devrait-elle avoir sur les décisions suivantes au sein d'un couple ?</v>
      </c>
      <c r="I1901" s="172" t="str">
        <f>IFERROR(__xludf.DUMMYFUNCTION("TRIM(REGEXREPLACE(E1901, ""[0-9]+[a-f]?\."", """"))"),"A ra'ayinka, wane tasiri mace ya kamata ta yi bisa yanke shawarwari da zan zana a tsakanin ta da mijinta?")</f>
        <v>A ra'ayinka, wane tasiri mace ya kamata ta yi bisa yanke shawarwari da zan zana a tsakanin ta da mijinta?</v>
      </c>
      <c r="J1901" s="172" t="str">
        <f t="shared" ref="J1901:L1901" si="394">$F1901 &amp; ". " &amp;G1901</f>
        <v>371. In your opinion, how much influence a wife should have over the following decisions within a couple?</v>
      </c>
      <c r="K1901" s="172" t="str">
        <f t="shared" si="394"/>
        <v>371. Selon vous, quelle influence une épouse devrait-elle avoir sur les décisions suivantes au sein d'un couple ?</v>
      </c>
      <c r="L1901" s="172" t="str">
        <f t="shared" si="394"/>
        <v>371. A ra'ayinka, wane tasiri mace ya kamata ta yi bisa yanke shawarwari da zan zana a tsakanin ta da mijinta?</v>
      </c>
    </row>
    <row r="1902">
      <c r="A1902" s="215" t="s">
        <v>6114</v>
      </c>
      <c r="B1902" s="273" t="s">
        <v>6115</v>
      </c>
      <c r="C1902" s="216" t="s">
        <v>3352</v>
      </c>
      <c r="D1902" s="216" t="s">
        <v>3353</v>
      </c>
      <c r="E1902" s="216" t="s">
        <v>3354</v>
      </c>
      <c r="F1902" s="182">
        <v>372.0</v>
      </c>
      <c r="G1902" s="172" t="str">
        <f>IFERROR(__xludf.DUMMYFUNCTION("TRIM(REGEXREPLACE(C1902, ""[0-9]+[a-f]?\."", """"))"),"Daily household expenses (Less than 500 CFA)")</f>
        <v>Daily household expenses (Less than 500 CFA)</v>
      </c>
      <c r="H1902" s="172" t="str">
        <f>IFERROR(__xludf.DUMMYFUNCTION("TRIM(REGEXREPLACE(D1902, ""[0-9]+[a-f]?\."", """"))"),"Dépenses quotidiennes du ménage (Moins de 500 CFA)")</f>
        <v>Dépenses quotidiennes du ménage (Moins de 500 CFA)</v>
      </c>
      <c r="I1902" s="172" t="str">
        <f>IFERROR(__xludf.DUMMYFUNCTION("TRIM(REGEXREPLACE(E1902, ""[0-9]+[a-f]?\."", """"))"),"Kashe kashen kuɗin gida na yau da kullun ( Kasa da dala ɗari)")</f>
        <v>Kashe kashen kuɗin gida na yau da kullun ( Kasa da dala ɗari)</v>
      </c>
      <c r="J1902" s="172" t="str">
        <f t="shared" ref="J1902:L1902" si="395">$F1902 &amp; ". " &amp;G1902</f>
        <v>372. Daily household expenses (Less than 500 CFA)</v>
      </c>
      <c r="K1902" s="172" t="str">
        <f t="shared" si="395"/>
        <v>372. Dépenses quotidiennes du ménage (Moins de 500 CFA)</v>
      </c>
      <c r="L1902" s="172" t="str">
        <f t="shared" si="395"/>
        <v>372. Kashe kashen kuɗin gida na yau da kullun ( Kasa da dala ɗari)</v>
      </c>
    </row>
    <row r="1903">
      <c r="A1903" s="215" t="s">
        <v>6114</v>
      </c>
      <c r="B1903" s="273" t="s">
        <v>6116</v>
      </c>
      <c r="C1903" s="216" t="s">
        <v>3355</v>
      </c>
      <c r="D1903" s="216" t="s">
        <v>3356</v>
      </c>
      <c r="E1903" s="216" t="s">
        <v>3357</v>
      </c>
      <c r="F1903" s="182">
        <v>373.0</v>
      </c>
      <c r="G1903" s="172" t="str">
        <f>IFERROR(__xludf.DUMMYFUNCTION("TRIM(REGEXREPLACE(C1903, ""[0-9]+[a-f]?\."", """"))"),"Household purchases worth more than 500 CFA")</f>
        <v>Household purchases worth more than 500 CFA</v>
      </c>
      <c r="H1903" s="172" t="str">
        <f>IFERROR(__xludf.DUMMYFUNCTION("TRIM(REGEXREPLACE(D1903, ""[0-9]+[a-f]?\."", """"))"),"Achats des ménages d'une valeur supérieure à 500 CFA")</f>
        <v>Achats des ménages d'une valeur supérieure à 500 CFA</v>
      </c>
      <c r="I1903" s="172" t="str">
        <f>IFERROR(__xludf.DUMMYFUNCTION("TRIM(REGEXREPLACE(E1903, ""[0-9]+[a-f]?\."", """"))"),"Sayayyar gida na sama da ɗari")</f>
        <v>Sayayyar gida na sama da ɗari</v>
      </c>
      <c r="J1903" s="172" t="str">
        <f t="shared" ref="J1903:L1903" si="396">$F1903 &amp; ". " &amp;G1903</f>
        <v>373. Household purchases worth more than 500 CFA</v>
      </c>
      <c r="K1903" s="172" t="str">
        <f t="shared" si="396"/>
        <v>373. Achats des ménages d'une valeur supérieure à 500 CFA</v>
      </c>
      <c r="L1903" s="172" t="str">
        <f t="shared" si="396"/>
        <v>373. Sayayyar gida na sama da ɗari</v>
      </c>
    </row>
    <row r="1904">
      <c r="A1904" s="215" t="s">
        <v>6114</v>
      </c>
      <c r="B1904" s="273" t="s">
        <v>6117</v>
      </c>
      <c r="C1904" s="216" t="s">
        <v>6118</v>
      </c>
      <c r="D1904" s="216" t="s">
        <v>6119</v>
      </c>
      <c r="E1904" s="216" t="s">
        <v>6120</v>
      </c>
      <c r="F1904" s="182">
        <v>374.0</v>
      </c>
      <c r="G1904" s="172" t="str">
        <f>IFERROR(__xludf.DUMMYFUNCTION("TRIM(REGEXREPLACE(C1904, ""[0-9]+[a-f]?\."", """"))"),"Family planning (how many children to have)")</f>
        <v>Family planning (how many children to have)</v>
      </c>
      <c r="H1904" s="172" t="str">
        <f>IFERROR(__xludf.DUMMYFUNCTION("TRIM(REGEXREPLACE(D1904, ""[0-9]+[a-f]?\."", """"))"),"Planification familiale (combien d'enfants avoir)")</f>
        <v>Planification familiale (combien d'enfants avoir)</v>
      </c>
      <c r="I1904" s="172" t="str">
        <f>IFERROR(__xludf.DUMMYFUNCTION("TRIM(REGEXREPLACE(E1904, ""[0-9]+[a-f]?\."", """"))"),"Tsarin iyali (Yara nawa za a haifa)")</f>
        <v>Tsarin iyali (Yara nawa za a haifa)</v>
      </c>
      <c r="J1904" s="172" t="str">
        <f t="shared" ref="J1904:L1904" si="397">$F1904 &amp; ". " &amp;G1904</f>
        <v>374. Family planning (how many children to have)</v>
      </c>
      <c r="K1904" s="172" t="str">
        <f t="shared" si="397"/>
        <v>374. Planification familiale (combien d'enfants avoir)</v>
      </c>
      <c r="L1904" s="172" t="str">
        <f t="shared" si="397"/>
        <v>374. Tsarin iyali (Yara nawa za a haifa)</v>
      </c>
    </row>
    <row r="1905">
      <c r="A1905" s="215" t="s">
        <v>6114</v>
      </c>
      <c r="B1905" s="273" t="s">
        <v>6121</v>
      </c>
      <c r="C1905" s="216" t="s">
        <v>6122</v>
      </c>
      <c r="D1905" s="216" t="s">
        <v>6123</v>
      </c>
      <c r="E1905" s="216" t="s">
        <v>6124</v>
      </c>
      <c r="F1905" s="182">
        <v>375.0</v>
      </c>
      <c r="G1905" s="172" t="str">
        <f>IFERROR(__xludf.DUMMYFUNCTION("TRIM(REGEXREPLACE(C1905, ""[0-9]+[a-f]?\."", """"))"),"Whether the husband will migrate to find work")</f>
        <v>Whether the husband will migrate to find work</v>
      </c>
      <c r="H1905" s="172" t="str">
        <f>IFERROR(__xludf.DUMMYFUNCTION("TRIM(REGEXREPLACE(D1905, ""[0-9]+[a-f]?\."", """"))"),"Si le mari va migrer pour trouver du travail")</f>
        <v>Si le mari va migrer pour trouver du travail</v>
      </c>
      <c r="I1905" s="172" t="str">
        <f>IFERROR(__xludf.DUMMYFUNCTION("TRIM(REGEXREPLACE(E1905, ""[0-9]+[a-f]?\."", """"))"),"Ko mijin zai yi tahiya don neman aiki")</f>
        <v>Ko mijin zai yi tahiya don neman aiki</v>
      </c>
      <c r="J1905" s="172" t="str">
        <f t="shared" ref="J1905:L1905" si="398">$F1905 &amp; ". " &amp;G1905</f>
        <v>375. Whether the husband will migrate to find work</v>
      </c>
      <c r="K1905" s="172" t="str">
        <f t="shared" si="398"/>
        <v>375. Si le mari va migrer pour trouver du travail</v>
      </c>
      <c r="L1905" s="172" t="str">
        <f t="shared" si="398"/>
        <v>375. Ko mijin zai yi tahiya don neman aiki</v>
      </c>
    </row>
    <row r="1906">
      <c r="A1906" s="215" t="s">
        <v>6114</v>
      </c>
      <c r="B1906" s="273" t="s">
        <v>6125</v>
      </c>
      <c r="C1906" s="216" t="s">
        <v>6126</v>
      </c>
      <c r="D1906" s="216" t="s">
        <v>6127</v>
      </c>
      <c r="E1906" s="216" t="s">
        <v>6128</v>
      </c>
      <c r="F1906" s="182">
        <v>376.0</v>
      </c>
      <c r="G1906" s="172" t="str">
        <f>IFERROR(__xludf.DUMMYFUNCTION("TRIM(REGEXREPLACE(C1906, ""[0-9]+[a-f]?\."", """"))"),"Who to vote for in local elections?")</f>
        <v>Who to vote for in local elections?</v>
      </c>
      <c r="H1906" s="172" t="str">
        <f>IFERROR(__xludf.DUMMYFUNCTION("TRIM(REGEXREPLACE(D1906, ""[0-9]+[a-f]?\."", """"))"),"Pour qui voter aux élections municipales ?")</f>
        <v>Pour qui voter aux élections municipales ?</v>
      </c>
      <c r="I1906" s="172" t="str">
        <f>IFERROR(__xludf.DUMMYFUNCTION("TRIM(REGEXREPLACE(E1906, ""[0-9]+[a-f]?\."", """"))"),"Wanene za'a zaɓa a zaɓen ƙananan hukumomi?")</f>
        <v>Wanene za'a zaɓa a zaɓen ƙananan hukumomi?</v>
      </c>
      <c r="J1906" s="172" t="str">
        <f t="shared" ref="J1906:L1906" si="399">$F1906 &amp; ". " &amp;G1906</f>
        <v>376. Who to vote for in local elections?</v>
      </c>
      <c r="K1906" s="172" t="str">
        <f t="shared" si="399"/>
        <v>376. Pour qui voter aux élections municipales ?</v>
      </c>
      <c r="L1906" s="172" t="str">
        <f t="shared" si="399"/>
        <v>376. Wanene za'a zaɓa a zaɓen ƙananan hukumomi?</v>
      </c>
    </row>
    <row r="1907">
      <c r="A1907" s="215" t="s">
        <v>6114</v>
      </c>
      <c r="B1907" s="273" t="s">
        <v>6129</v>
      </c>
      <c r="C1907" s="216" t="s">
        <v>6130</v>
      </c>
      <c r="D1907" s="216" t="s">
        <v>6131</v>
      </c>
      <c r="E1907" s="216" t="s">
        <v>6132</v>
      </c>
      <c r="F1907" s="182">
        <v>377.0</v>
      </c>
      <c r="G1907" s="172" t="str">
        <f>IFERROR(__xludf.DUMMYFUNCTION("TRIM(REGEXREPLACE(C1907, ""[0-9]+[a-f]?\."", """"))"),"To whom your daughter should marry?")</f>
        <v>To whom your daughter should marry?</v>
      </c>
      <c r="H1907" s="172" t="str">
        <f>IFERROR(__xludf.DUMMYFUNCTION("TRIM(REGEXREPLACE(D1907, ""[0-9]+[a-f]?\."", """"))"),"Avec qui votre fille devrait-elle se marier ?")</f>
        <v>Avec qui votre fille devrait-elle se marier ?</v>
      </c>
      <c r="I1907" s="172" t="str">
        <f>IFERROR(__xludf.DUMMYFUNCTION("TRIM(REGEXREPLACE(E1907, ""[0-9]+[a-f]?\."", """"))"),"Wa ya kamata ɗiyarku ta aura?")</f>
        <v>Wa ya kamata ɗiyarku ta aura?</v>
      </c>
      <c r="J1907" s="172" t="str">
        <f t="shared" ref="J1907:L1907" si="400">$F1907 &amp; ". " &amp;G1907</f>
        <v>377. To whom your daughter should marry?</v>
      </c>
      <c r="K1907" s="172" t="str">
        <f t="shared" si="400"/>
        <v>377. Avec qui votre fille devrait-elle se marier ?</v>
      </c>
      <c r="L1907" s="172" t="str">
        <f t="shared" si="400"/>
        <v>377. Wa ya kamata ɗiyarku ta aura?</v>
      </c>
    </row>
    <row r="1908">
      <c r="A1908" s="215" t="s">
        <v>6114</v>
      </c>
      <c r="B1908" s="273" t="s">
        <v>6133</v>
      </c>
      <c r="C1908" s="216" t="s">
        <v>6134</v>
      </c>
      <c r="D1908" s="216" t="s">
        <v>6135</v>
      </c>
      <c r="E1908" s="216" t="s">
        <v>6136</v>
      </c>
      <c r="F1908" s="182">
        <v>378.0</v>
      </c>
      <c r="G1908" s="172" t="str">
        <f>IFERROR(__xludf.DUMMYFUNCTION("TRIM(REGEXREPLACE(C1908, ""[0-9]+[a-f]?\."", """"))"),"Children's enrollment in school")</f>
        <v>Children's enrollment in school</v>
      </c>
      <c r="H1908" s="172" t="str">
        <f>IFERROR(__xludf.DUMMYFUNCTION("TRIM(REGEXREPLACE(D1908, ""[0-9]+[a-f]?\."", """"))"),"Inscription des enfants à l'école")</f>
        <v>Inscription des enfants à l'école</v>
      </c>
      <c r="I1908" s="172" t="str">
        <f>IFERROR(__xludf.DUMMYFUNCTION("TRIM(REGEXREPLACE(E1908, ""[0-9]+[a-f]?\."", """"))"),"Rubuta yara a makaranta")</f>
        <v>Rubuta yara a makaranta</v>
      </c>
      <c r="J1908" s="172" t="str">
        <f t="shared" ref="J1908:L1908" si="401">$F1908 &amp; ". " &amp;G1908</f>
        <v>378. Children's enrollment in school</v>
      </c>
      <c r="K1908" s="172" t="str">
        <f t="shared" si="401"/>
        <v>378. Inscription des enfants à l'école</v>
      </c>
      <c r="L1908" s="172" t="str">
        <f t="shared" si="401"/>
        <v>378. Rubuta yara a makaranta</v>
      </c>
    </row>
    <row r="1909" hidden="1">
      <c r="A1909" s="211" t="s">
        <v>238</v>
      </c>
      <c r="B1909" s="211" t="s">
        <v>6109</v>
      </c>
      <c r="C1909" s="224" t="s">
        <v>6110</v>
      </c>
      <c r="D1909" s="225"/>
      <c r="E1909" s="225"/>
    </row>
    <row r="1910" hidden="1">
      <c r="A1910" s="172"/>
      <c r="B1910" s="172"/>
      <c r="C1910" s="174" t="s">
        <v>52</v>
      </c>
      <c r="D1910" s="174" t="s">
        <v>52</v>
      </c>
      <c r="E1910" s="174" t="s">
        <v>52</v>
      </c>
    </row>
    <row r="1911" hidden="1">
      <c r="A1911" s="211" t="s">
        <v>107</v>
      </c>
      <c r="B1911" s="311" t="s">
        <v>6137</v>
      </c>
      <c r="C1911" s="212" t="s">
        <v>6138</v>
      </c>
      <c r="D1911" s="214"/>
      <c r="E1911" s="214"/>
    </row>
    <row r="1912">
      <c r="A1912" s="207" t="s">
        <v>41</v>
      </c>
      <c r="B1912" s="316" t="s">
        <v>6139</v>
      </c>
      <c r="C1912" s="208" t="s">
        <v>6140</v>
      </c>
      <c r="D1912" s="208" t="s">
        <v>6141</v>
      </c>
      <c r="E1912" s="208" t="s">
        <v>6142</v>
      </c>
      <c r="F1912" s="182">
        <v>379.0</v>
      </c>
      <c r="G1912" s="172" t="str">
        <f>IFERROR(__xludf.DUMMYFUNCTION("TRIM(REGEXREPLACE(C1912, ""[0-9]+[a-f]?\."", """"))"),"I am now going to mention some things that families sometimes speak about. Please tell me if you and other adults in your household talk about these things")</f>
        <v>I am now going to mention some things that families sometimes speak about. Please tell me if you and other adults in your household talk about these things</v>
      </c>
      <c r="H1912" s="172" t="str">
        <f>IFERROR(__xludf.DUMMYFUNCTION("TRIM(REGEXREPLACE(D1912, ""[0-9]+[a-f]?\."", """"))"),"Je vais maintenant évoquer certaines choses dont les familles parlent parfois. S'il vous plaît, dites-moi si vous et d'autres adultes de votre ménage parlez de ces choses.")</f>
        <v>Je vais maintenant évoquer certaines choses dont les familles parlent parfois. S'il vous plaît, dites-moi si vous et d'autres adultes de votre ménage parlez de ces choses.</v>
      </c>
      <c r="I1912" s="172" t="str">
        <f>IFERROR(__xludf.DUMMYFUNCTION("TRIM(REGEXREPLACE(E1912, ""[0-9]+[a-f]?\."", """"))"),"Yanzu zan ambaci wasu abubuwa da wani lokaci mutane suke magana akai. Don Allah ku gaya mani idan ku da sauran mutanen gidanku kuna magana akan waɗannan abubuwan")</f>
        <v>Yanzu zan ambaci wasu abubuwa da wani lokaci mutane suke magana akai. Don Allah ku gaya mani idan ku da sauran mutanen gidanku kuna magana akan waɗannan abubuwan</v>
      </c>
      <c r="J1912" s="172" t="str">
        <f t="shared" ref="J1912:L1912" si="402">$F1912 &amp; ". " &amp;G1912</f>
        <v>379. I am now going to mention some things that families sometimes speak about. Please tell me if you and other adults in your household talk about these things</v>
      </c>
      <c r="K1912" s="172" t="str">
        <f t="shared" si="402"/>
        <v>379. Je vais maintenant évoquer certaines choses dont les familles parlent parfois. S'il vous plaît, dites-moi si vous et d'autres adultes de votre ménage parlez de ces choses.</v>
      </c>
      <c r="L1912" s="172" t="str">
        <f t="shared" si="402"/>
        <v>379. Yanzu zan ambaci wasu abubuwa da wani lokaci mutane suke magana akai. Don Allah ku gaya mani idan ku da sauran mutanen gidanku kuna magana akan waɗannan abubuwan</v>
      </c>
    </row>
    <row r="1913">
      <c r="A1913" s="215" t="s">
        <v>5579</v>
      </c>
      <c r="B1913" s="273" t="s">
        <v>6143</v>
      </c>
      <c r="C1913" s="216" t="s">
        <v>6144</v>
      </c>
      <c r="D1913" s="216" t="s">
        <v>6145</v>
      </c>
      <c r="E1913" s="216" t="s">
        <v>6146</v>
      </c>
      <c r="F1913" s="182">
        <v>380.0</v>
      </c>
      <c r="G1913" s="172" t="str">
        <f>IFERROR(__xludf.DUMMYFUNCTION("TRIM(REGEXREPLACE(C1913, ""[0-9]+[a-f]?\."", """"))"),"Things that happen at work or in the fields?")</f>
        <v>Things that happen at work or in the fields?</v>
      </c>
      <c r="H1913" s="172" t="str">
        <f>IFERROR(__xludf.DUMMYFUNCTION("TRIM(REGEXREPLACE(D1913, ""[0-9]+[a-f]?\."", """"))"),"Des choses qui se passent au travail ou dans les champs ?")</f>
        <v>Des choses qui se passent au travail ou dans les champs ?</v>
      </c>
      <c r="I1913" s="172" t="str">
        <f>IFERROR(__xludf.DUMMYFUNCTION("TRIM(REGEXREPLACE(E1913, ""[0-9]+[a-f]?\."", """"))"),"Abubuwan da ke faruwa a wurin aiki ko a gona?")</f>
        <v>Abubuwan da ke faruwa a wurin aiki ko a gona?</v>
      </c>
      <c r="J1913" s="172" t="str">
        <f t="shared" ref="J1913:L1913" si="403">$F1913 &amp; ". " &amp;G1913</f>
        <v>380. Things that happen at work or in the fields?</v>
      </c>
      <c r="K1913" s="172" t="str">
        <f t="shared" si="403"/>
        <v>380. Des choses qui se passent au travail ou dans les champs ?</v>
      </c>
      <c r="L1913" s="172" t="str">
        <f t="shared" si="403"/>
        <v>380. Abubuwan da ke faruwa a wurin aiki ko a gona?</v>
      </c>
    </row>
    <row r="1914">
      <c r="A1914" s="215" t="s">
        <v>5579</v>
      </c>
      <c r="B1914" s="273" t="s">
        <v>6147</v>
      </c>
      <c r="C1914" s="216" t="s">
        <v>3385</v>
      </c>
      <c r="D1914" s="216" t="s">
        <v>3386</v>
      </c>
      <c r="E1914" s="216" t="s">
        <v>3387</v>
      </c>
      <c r="F1914" s="182">
        <v>381.0</v>
      </c>
      <c r="G1914" s="172" t="str">
        <f>IFERROR(__xludf.DUMMYFUNCTION("TRIM(REGEXREPLACE(C1914, ""[0-9]+[a-f]?\."", """"))"),"Things that happen in the community?")</f>
        <v>Things that happen in the community?</v>
      </c>
      <c r="H1914" s="172" t="str">
        <f>IFERROR(__xludf.DUMMYFUNCTION("TRIM(REGEXREPLACE(D1914, ""[0-9]+[a-f]?\."", """"))"),"Des choses qui se passent dans la communauté ?")</f>
        <v>Des choses qui se passent dans la communauté ?</v>
      </c>
      <c r="I1914" s="172" t="str">
        <f>IFERROR(__xludf.DUMMYFUNCTION("TRIM(REGEXREPLACE(E1914, ""[0-9]+[a-f]?\."", """"))"),"Abubuwan da ke faruwa a cikin al'umma?")</f>
        <v>Abubuwan da ke faruwa a cikin al'umma?</v>
      </c>
      <c r="J1914" s="172" t="str">
        <f t="shared" ref="J1914:L1914" si="404">$F1914 &amp; ". " &amp;G1914</f>
        <v>381. Things that happen in the community?</v>
      </c>
      <c r="K1914" s="172" t="str">
        <f t="shared" si="404"/>
        <v>381. Des choses qui se passent dans la communauté ?</v>
      </c>
      <c r="L1914" s="172" t="str">
        <f t="shared" si="404"/>
        <v>381. Abubuwan da ke faruwa a cikin al'umma?</v>
      </c>
    </row>
    <row r="1915">
      <c r="A1915" s="215" t="s">
        <v>5579</v>
      </c>
      <c r="B1915" s="273" t="s">
        <v>6148</v>
      </c>
      <c r="C1915" s="216" t="s">
        <v>3388</v>
      </c>
      <c r="D1915" s="216" t="s">
        <v>3389</v>
      </c>
      <c r="E1915" s="216" t="s">
        <v>3390</v>
      </c>
      <c r="F1915" s="182">
        <v>382.0</v>
      </c>
      <c r="G1915" s="172" t="str">
        <f>IFERROR(__xludf.DUMMYFUNCTION("TRIM(REGEXREPLACE(C1915, ""[0-9]+[a-f]?\."", """"))"),"Who to vote for in local elections?")</f>
        <v>Who to vote for in local elections?</v>
      </c>
      <c r="H1915" s="172" t="str">
        <f>IFERROR(__xludf.DUMMYFUNCTION("TRIM(REGEXREPLACE(D1915, ""[0-9]+[a-f]?\."", """"))"),"Pour qui voter aux élections municipales ?")</f>
        <v>Pour qui voter aux élections municipales ?</v>
      </c>
      <c r="I1915" s="172" t="str">
        <f>IFERROR(__xludf.DUMMYFUNCTION("TRIM(REGEXREPLACE(E1915, ""[0-9]+[a-f]?\."", """"))"),"Wanene za'a zaɓa a zaɓen ƙananan hukumomi?")</f>
        <v>Wanene za'a zaɓa a zaɓen ƙananan hukumomi?</v>
      </c>
      <c r="J1915" s="172" t="str">
        <f t="shared" ref="J1915:L1915" si="405">$F1915 &amp; ". " &amp;G1915</f>
        <v>382. Who to vote for in local elections?</v>
      </c>
      <c r="K1915" s="172" t="str">
        <f t="shared" si="405"/>
        <v>382. Pour qui voter aux élections municipales ?</v>
      </c>
      <c r="L1915" s="172" t="str">
        <f t="shared" si="405"/>
        <v>382. Wanene za'a zaɓa a zaɓen ƙananan hukumomi?</v>
      </c>
    </row>
    <row r="1916">
      <c r="A1916" s="215" t="s">
        <v>5579</v>
      </c>
      <c r="B1916" s="273" t="s">
        <v>6149</v>
      </c>
      <c r="C1916" s="216" t="s">
        <v>3391</v>
      </c>
      <c r="D1916" s="216" t="s">
        <v>3392</v>
      </c>
      <c r="E1916" s="216" t="s">
        <v>6150</v>
      </c>
      <c r="F1916" s="182">
        <v>383.0</v>
      </c>
      <c r="G1916" s="172" t="str">
        <f>IFERROR(__xludf.DUMMYFUNCTION("TRIM(REGEXREPLACE(C1916, ""[0-9]+[a-f]?\."", """"))"),"How to you invest your money such as whether to improve your house")</f>
        <v>How to you invest your money such as whether to improve your house</v>
      </c>
      <c r="H1916" s="172" t="str">
        <f>IFERROR(__xludf.DUMMYFUNCTION("TRIM(REGEXREPLACE(D1916, ""[0-9]+[a-f]?\."", """"))"),"Comment investir votre argent, par exemple pour améliorer votre maison")</f>
        <v>Comment investir votre argent, par exemple pour améliorer votre maison</v>
      </c>
      <c r="I1916" s="172" t="str">
        <f>IFERROR(__xludf.DUMMYFUNCTION("TRIM(REGEXREPLACE(E1916, ""[0-9]+[a-f]?\."", """"))"),"Yadda za ku kashe kuɗin ku, kamar gyaran gidanku")</f>
        <v>Yadda za ku kashe kuɗin ku, kamar gyaran gidanku</v>
      </c>
      <c r="J1916" s="172" t="str">
        <f t="shared" ref="J1916:L1916" si="406">$F1916 &amp; ". " &amp;G1916</f>
        <v>383. How to you invest your money such as whether to improve your house</v>
      </c>
      <c r="K1916" s="172" t="str">
        <f t="shared" si="406"/>
        <v>383. Comment investir votre argent, par exemple pour améliorer votre maison</v>
      </c>
      <c r="L1916" s="172" t="str">
        <f t="shared" si="406"/>
        <v>383. Yadda za ku kashe kuɗin ku, kamar gyaran gidanku</v>
      </c>
    </row>
    <row r="1917">
      <c r="A1917" s="215" t="s">
        <v>5579</v>
      </c>
      <c r="B1917" s="273" t="s">
        <v>6151</v>
      </c>
      <c r="C1917" s="216" t="s">
        <v>3394</v>
      </c>
      <c r="D1917" s="216" t="s">
        <v>3395</v>
      </c>
      <c r="E1917" s="216" t="s">
        <v>3396</v>
      </c>
      <c r="F1917" s="182">
        <v>384.0</v>
      </c>
      <c r="G1917" s="172" t="str">
        <f>IFERROR(__xludf.DUMMYFUNCTION("TRIM(REGEXREPLACE(C1917, ""[0-9]+[a-f]?\."", """"))"),"Family planning (when to have children)")</f>
        <v>Family planning (when to have children)</v>
      </c>
      <c r="H1917" s="172" t="str">
        <f>IFERROR(__xludf.DUMMYFUNCTION("TRIM(REGEXREPLACE(D1917, ""[0-9]+[a-f]?\."", """"))"),"Planification familiale (quand avoir des enfants)")</f>
        <v>Planification familiale (quand avoir des enfants)</v>
      </c>
      <c r="I1917" s="172" t="str">
        <f>IFERROR(__xludf.DUMMYFUNCTION("TRIM(REGEXREPLACE(E1917, ""[0-9]+[a-f]?\."", """"))"),"Tsarin iyali (lokacin ɗaukan ciki)")</f>
        <v>Tsarin iyali (lokacin ɗaukan ciki)</v>
      </c>
      <c r="J1917" s="172" t="str">
        <f t="shared" ref="J1917:L1917" si="407">$F1917 &amp; ". " &amp;G1917</f>
        <v>384. Family planning (when to have children)</v>
      </c>
      <c r="K1917" s="172" t="str">
        <f t="shared" si="407"/>
        <v>384. Planification familiale (quand avoir des enfants)</v>
      </c>
      <c r="L1917" s="172" t="str">
        <f t="shared" si="407"/>
        <v>384. Tsarin iyali (lokacin ɗaukan ciki)</v>
      </c>
    </row>
    <row r="1918">
      <c r="A1918" s="215" t="s">
        <v>5579</v>
      </c>
      <c r="B1918" s="273" t="s">
        <v>6152</v>
      </c>
      <c r="C1918" s="216" t="s">
        <v>3397</v>
      </c>
      <c r="D1918" s="216" t="s">
        <v>6153</v>
      </c>
      <c r="E1918" s="216" t="s">
        <v>6154</v>
      </c>
      <c r="F1918" s="182">
        <v>385.0</v>
      </c>
      <c r="G1918" s="172" t="str">
        <f>IFERROR(__xludf.DUMMYFUNCTION("TRIM(REGEXREPLACE(C1918, ""[0-9]+[a-f]?\."", """"))"),"Household members decisions to migrate")</f>
        <v>Household members decisions to migrate</v>
      </c>
      <c r="H1918" s="172" t="str">
        <f>IFERROR(__xludf.DUMMYFUNCTION("TRIM(REGEXREPLACE(D1918, ""[0-9]+[a-f]?\."", """"))"),"Décisions des membres du ménage de migrer")</f>
        <v>Décisions des membres du ménage de migrer</v>
      </c>
      <c r="I1918" s="172" t="str">
        <f>IFERROR(__xludf.DUMMYFUNCTION("TRIM(REGEXREPLACE(E1918, ""[0-9]+[a-f]?\."", """"))"),"Yan gida sun yanke shawarar ƙaura")</f>
        <v>Yan gida sun yanke shawarar ƙaura</v>
      </c>
      <c r="J1918" s="172" t="str">
        <f t="shared" ref="J1918:L1918" si="408">$F1918 &amp; ". " &amp;G1918</f>
        <v>385. Household members decisions to migrate</v>
      </c>
      <c r="K1918" s="172" t="str">
        <f t="shared" si="408"/>
        <v>385. Décisions des membres du ménage de migrer</v>
      </c>
      <c r="L1918" s="172" t="str">
        <f t="shared" si="408"/>
        <v>385. Yan gida sun yanke shawarar ƙaura</v>
      </c>
    </row>
    <row r="1919">
      <c r="A1919" s="215" t="s">
        <v>353</v>
      </c>
      <c r="B1919" s="273" t="s">
        <v>6155</v>
      </c>
      <c r="C1919" s="216" t="s">
        <v>3400</v>
      </c>
      <c r="D1919" s="216" t="s">
        <v>3401</v>
      </c>
      <c r="E1919" s="216" t="s">
        <v>3402</v>
      </c>
      <c r="F1919" s="182">
        <v>386.0</v>
      </c>
      <c r="G1919" s="172" t="str">
        <f>IFERROR(__xludf.DUMMYFUNCTION("TRIM(REGEXREPLACE(C1919, ""[0-9]+[a-f]?\."", """"))"),"Do you and members of your household ever disagree about any of these topics?")</f>
        <v>Do you and members of your household ever disagree about any of these topics?</v>
      </c>
      <c r="H1919" s="172" t="str">
        <f>IFERROR(__xludf.DUMMYFUNCTION("TRIM(REGEXREPLACE(D1919, ""[0-9]+[a-f]?\."", """"))"),"Vous et votre conjoint êtes-vous déjà en désaccord sur ces sujets ?")</f>
        <v>Vous et votre conjoint êtes-vous déjà en désaccord sur ces sujets ?</v>
      </c>
      <c r="I1919" s="172" t="str">
        <f>IFERROR(__xludf.DUMMYFUNCTION("TRIM(REGEXREPLACE(E1919, ""[0-9]+[a-f]?\."", """"))"),"Ko kai da matarka kun taɓa samun saɓani game da waɗannan batutuwa?")</f>
        <v>Ko kai da matarka kun taɓa samun saɓani game da waɗannan batutuwa?</v>
      </c>
      <c r="J1919" s="172" t="str">
        <f t="shared" ref="J1919:L1919" si="409">$F1919 &amp; ". " &amp;G1919</f>
        <v>386. Do you and members of your household ever disagree about any of these topics?</v>
      </c>
      <c r="K1919" s="172" t="str">
        <f t="shared" si="409"/>
        <v>386. Vous et votre conjoint êtes-vous déjà en désaccord sur ces sujets ?</v>
      </c>
      <c r="L1919" s="172" t="str">
        <f t="shared" si="409"/>
        <v>386. Ko kai da matarka kun taɓa samun saɓani game da waɗannan batutuwa?</v>
      </c>
    </row>
    <row r="1920">
      <c r="A1920" s="215" t="s">
        <v>353</v>
      </c>
      <c r="B1920" s="273" t="s">
        <v>6156</v>
      </c>
      <c r="C1920" s="216" t="s">
        <v>3403</v>
      </c>
      <c r="D1920" s="216" t="s">
        <v>3404</v>
      </c>
      <c r="E1920" s="216" t="s">
        <v>3405</v>
      </c>
      <c r="F1920" s="182">
        <v>387.0</v>
      </c>
      <c r="G1920" s="172" t="str">
        <f>IFERROR(__xludf.DUMMYFUNCTION("TRIM(REGEXREPLACE(C1920, ""[0-9]+[a-f]?\."", """"))"),"Do these conversations ever get contentious?")</f>
        <v>Do these conversations ever get contentious?</v>
      </c>
      <c r="H1920" s="172" t="str">
        <f>IFERROR(__xludf.DUMMYFUNCTION("TRIM(REGEXREPLACE(D1920, ""[0-9]+[a-f]?\."", """"))"),"Ces conversations deviennent-elles parfois controversées ?")</f>
        <v>Ces conversations deviennent-elles parfois controversées ?</v>
      </c>
      <c r="I1920" s="172" t="str">
        <f>IFERROR(__xludf.DUMMYFUNCTION("TRIM(REGEXREPLACE(E1920, ""[0-9]+[a-f]?\."", """"))"),"Ko waɗannan hirarrakin sun taɓa zama sabani?")</f>
        <v>Ko waɗannan hirarrakin sun taɓa zama sabani?</v>
      </c>
      <c r="J1920" s="172" t="str">
        <f t="shared" ref="J1920:L1920" si="410">$F1920 &amp; ". " &amp;G1920</f>
        <v>387. Do these conversations ever get contentious?</v>
      </c>
      <c r="K1920" s="172" t="str">
        <f t="shared" si="410"/>
        <v>387. Ces conversations deviennent-elles parfois controversées ?</v>
      </c>
      <c r="L1920" s="172" t="str">
        <f t="shared" si="410"/>
        <v>387. Ko waɗannan hirarrakin sun taɓa zama sabani?</v>
      </c>
    </row>
    <row r="1921" hidden="1">
      <c r="A1921" s="211" t="s">
        <v>238</v>
      </c>
      <c r="B1921" s="211" t="s">
        <v>6137</v>
      </c>
      <c r="C1921" s="224" t="s">
        <v>6138</v>
      </c>
      <c r="D1921" s="225"/>
      <c r="E1921" s="225"/>
    </row>
    <row r="1922" hidden="1">
      <c r="A1922" s="188" t="s">
        <v>118</v>
      </c>
      <c r="B1922" s="279" t="s">
        <v>6157</v>
      </c>
      <c r="C1922" s="190"/>
      <c r="D1922" s="190"/>
      <c r="E1922" s="190"/>
    </row>
    <row r="1923" hidden="1">
      <c r="A1923" s="188" t="s">
        <v>68</v>
      </c>
      <c r="B1923" s="189" t="s">
        <v>6158</v>
      </c>
      <c r="C1923" s="190"/>
      <c r="D1923" s="190"/>
      <c r="E1923" s="190"/>
    </row>
    <row r="1924" hidden="1">
      <c r="A1924" s="172"/>
      <c r="B1924" s="172"/>
      <c r="C1924" s="174" t="s">
        <v>52</v>
      </c>
      <c r="D1924" s="174" t="s">
        <v>52</v>
      </c>
      <c r="E1924" s="174" t="s">
        <v>52</v>
      </c>
    </row>
    <row r="1925" hidden="1">
      <c r="A1925" s="211" t="s">
        <v>107</v>
      </c>
      <c r="B1925" s="311" t="s">
        <v>6159</v>
      </c>
      <c r="C1925" s="212" t="s">
        <v>6160</v>
      </c>
      <c r="D1925" s="214"/>
      <c r="E1925" s="214"/>
    </row>
    <row r="1926">
      <c r="A1926" s="207" t="s">
        <v>41</v>
      </c>
      <c r="B1926" s="316" t="s">
        <v>6161</v>
      </c>
      <c r="C1926" s="208" t="s">
        <v>3417</v>
      </c>
      <c r="D1926" s="208" t="s">
        <v>3418</v>
      </c>
      <c r="E1926" s="208" t="s">
        <v>3419</v>
      </c>
      <c r="F1926" s="182">
        <v>388.0</v>
      </c>
      <c r="G1926" s="172" t="str">
        <f>IFERROR(__xludf.DUMMYFUNCTION("TRIM(REGEXREPLACE(C1926, ""[0-9]+[a-f]?\."", """"))"),"Now I wil ask you about your opinions about the type of society you want to live in.")</f>
        <v>Now I wil ask you about your opinions about the type of society you want to live in.</v>
      </c>
      <c r="H1926" s="172" t="str">
        <f>IFERROR(__xludf.DUMMYFUNCTION("TRIM(REGEXREPLACE(D1926, ""[0-9]+[a-f]?\."", """"))"),"Maintenant, je vais vous demander votre opinion sur le type de société dans laquelle vous souhaitez vivre.")</f>
        <v>Maintenant, je vais vous demander votre opinion sur le type de société dans laquelle vous souhaitez vivre.</v>
      </c>
      <c r="I1926" s="172" t="str">
        <f>IFERROR(__xludf.DUMMYFUNCTION("TRIM(REGEXREPLACE(E1926, ""[0-9]+[a-f]?\."", """"))"),"Yanzu zan tambaye ra'ayinku game da wasu mutane daban da ku, da kuma irin al'ummar da kuke son rayuwa a ciki.")</f>
        <v>Yanzu zan tambaye ra'ayinku game da wasu mutane daban da ku, da kuma irin al'ummar da kuke son rayuwa a ciki.</v>
      </c>
      <c r="J1926" s="172" t="str">
        <f t="shared" ref="J1926:L1926" si="411">$F1926 &amp; ". " &amp;G1926</f>
        <v>388. Now I wil ask you about your opinions about the type of society you want to live in.</v>
      </c>
      <c r="K1926" s="172" t="str">
        <f t="shared" si="411"/>
        <v>388. Maintenant, je vais vous demander votre opinion sur le type de société dans laquelle vous souhaitez vivre.</v>
      </c>
      <c r="L1926" s="172" t="str">
        <f t="shared" si="411"/>
        <v>388. Yanzu zan tambaye ra'ayinku game da wasu mutane daban da ku, da kuma irin al'ummar da kuke son rayuwa a ciki.</v>
      </c>
    </row>
    <row r="1927">
      <c r="A1927" s="207" t="s">
        <v>41</v>
      </c>
      <c r="B1927" s="208" t="s">
        <v>6162</v>
      </c>
      <c r="C1927" s="208" t="s">
        <v>3420</v>
      </c>
      <c r="D1927" s="208" t="s">
        <v>3421</v>
      </c>
      <c r="E1927" s="208" t="s">
        <v>3422</v>
      </c>
      <c r="F1927" s="182">
        <v>389.0</v>
      </c>
      <c r="G1927" s="172" t="str">
        <f>IFERROR(__xludf.DUMMYFUNCTION("TRIM(REGEXREPLACE(C1927, ""[0-9]+[a-f]?\."", """"))"),"Could you tell me your general feeling about each group of people is positive or negative on a scale of 0 to 10 where 0 is very negative and 10 is very positive")</f>
        <v>Could you tell me your general feeling about each group of people is positive or negative on a scale of 0 to 10 where 0 is very negative and 10 is very positive</v>
      </c>
      <c r="H1927" s="172" t="str">
        <f>IFERROR(__xludf.DUMMYFUNCTION("TRIM(REGEXREPLACE(D1927, ""[0-9]+[a-f]?\."", """"))"),"Pourriez-vous me dire votre sentiment général sur chaque groupe de personnes s'il est positif ou négatif sur une échelle de 0 à 10 où 0 est très négatif et 10 est très positif")</f>
        <v>Pourriez-vous me dire votre sentiment général sur chaque groupe de personnes s'il est positif ou négatif sur une échelle de 0 à 10 où 0 est très négatif et 10 est très positif</v>
      </c>
      <c r="I1927" s="172" t="str">
        <f>IFERROR(__xludf.DUMMYFUNCTION("TRIM(REGEXREPLACE(E1927, ""[0-9]+[a-f]?\."", """"))"),"Ko za ku iya gaya mini yanda kuke gani game da kowane gungun mutane, yana da kyau ko baya da kyau akan kuranga 0 zuwa 10 inda 0 ba shi da kyau sosai kuma 10 yana da inganci sosai.")</f>
        <v>Ko za ku iya gaya mini yanda kuke gani game da kowane gungun mutane, yana da kyau ko baya da kyau akan kuranga 0 zuwa 10 inda 0 ba shi da kyau sosai kuma 10 yana da inganci sosai.</v>
      </c>
      <c r="J1927" s="172" t="str">
        <f t="shared" ref="J1927:L1927" si="412">$F1927 &amp; ". " &amp;G1927</f>
        <v>389. Could you tell me your general feeling about each group of people is positive or negative on a scale of 0 to 10 where 0 is very negative and 10 is very positive</v>
      </c>
      <c r="K1927" s="172" t="str">
        <f t="shared" si="412"/>
        <v>389. Pourriez-vous me dire votre sentiment général sur chaque groupe de personnes s'il est positif ou négatif sur une échelle de 0 à 10 où 0 est très négatif et 10 est très positif</v>
      </c>
      <c r="L1927" s="172" t="str">
        <f t="shared" si="412"/>
        <v>389. Ko za ku iya gaya mini yanda kuke gani game da kowane gungun mutane, yana da kyau ko baya da kyau akan kuranga 0 zuwa 10 inda 0 ba shi da kyau sosai kuma 10 yana da inganci sosai.</v>
      </c>
    </row>
    <row r="1928">
      <c r="A1928" s="253" t="s">
        <v>246</v>
      </c>
      <c r="B1928" s="254" t="s">
        <v>6163</v>
      </c>
      <c r="C1928" s="254" t="s">
        <v>6164</v>
      </c>
      <c r="D1928" s="254" t="s">
        <v>6165</v>
      </c>
      <c r="E1928" s="254" t="s">
        <v>6166</v>
      </c>
      <c r="F1928" s="182">
        <v>390.0</v>
      </c>
      <c r="G1928" s="172" t="str">
        <f>IFERROR(__xludf.DUMMYFUNCTION("TRIM(REGEXREPLACE(C1928, ""[0-9]+[a-f]?\."", """"))"),"Followers of other religions")</f>
        <v>Followers of other religions</v>
      </c>
      <c r="H1928" s="172" t="str">
        <f>IFERROR(__xludf.DUMMYFUNCTION("TRIM(REGEXREPLACE(D1928, ""[0-9]+[a-f]?\."", """"))"),"Adeptes d'autres religions")</f>
        <v>Adeptes d'autres religions</v>
      </c>
      <c r="I1928" s="172" t="str">
        <f>IFERROR(__xludf.DUMMYFUNCTION("TRIM(REGEXREPLACE(E1928, ""[0-9]+[a-f]?\."", """"))"),"Mabiya wasu addinai")</f>
        <v>Mabiya wasu addinai</v>
      </c>
      <c r="J1928" s="172" t="str">
        <f t="shared" ref="J1928:L1928" si="413">$F1928 &amp; ". " &amp;G1928</f>
        <v>390. Followers of other religions</v>
      </c>
      <c r="K1928" s="172" t="str">
        <f t="shared" si="413"/>
        <v>390. Adeptes d'autres religions</v>
      </c>
      <c r="L1928" s="172" t="str">
        <f t="shared" si="413"/>
        <v>390. Mabiya wasu addinai</v>
      </c>
    </row>
    <row r="1929">
      <c r="A1929" s="253" t="s">
        <v>246</v>
      </c>
      <c r="B1929" s="254" t="s">
        <v>6167</v>
      </c>
      <c r="C1929" s="254" t="s">
        <v>6168</v>
      </c>
      <c r="D1929" s="254" t="s">
        <v>6169</v>
      </c>
      <c r="E1929" s="254" t="s">
        <v>6170</v>
      </c>
      <c r="F1929" s="182">
        <v>391.0</v>
      </c>
      <c r="G1929" s="172" t="str">
        <f>IFERROR(__xludf.DUMMYFUNCTION("TRIM(REGEXREPLACE(C1929, ""[0-9]+[a-f]?\."", """"))"),"People of different ethnic groups")</f>
        <v>People of different ethnic groups</v>
      </c>
      <c r="H1929" s="172" t="str">
        <f>IFERROR(__xludf.DUMMYFUNCTION("TRIM(REGEXREPLACE(D1929, ""[0-9]+[a-f]?\."", """"))"),"Personnes de différents groupes ethniques")</f>
        <v>Personnes de différents groupes ethniques</v>
      </c>
      <c r="I1929" s="172" t="str">
        <f>IFERROR(__xludf.DUMMYFUNCTION("TRIM(REGEXREPLACE(E1929, ""[0-9]+[a-f]?\."", """"))"),"Mutanen wasu kabilu daban")</f>
        <v>Mutanen wasu kabilu daban</v>
      </c>
      <c r="J1929" s="172" t="str">
        <f t="shared" ref="J1929:L1929" si="414">$F1929 &amp; ". " &amp;G1929</f>
        <v>391. People of different ethnic groups</v>
      </c>
      <c r="K1929" s="172" t="str">
        <f t="shared" si="414"/>
        <v>391. Personnes de différents groupes ethniques</v>
      </c>
      <c r="L1929" s="172" t="str">
        <f t="shared" si="414"/>
        <v>391. Mutanen wasu kabilu daban</v>
      </c>
    </row>
    <row r="1930">
      <c r="A1930" s="253" t="s">
        <v>246</v>
      </c>
      <c r="B1930" s="254" t="s">
        <v>6171</v>
      </c>
      <c r="C1930" s="254" t="s">
        <v>6172</v>
      </c>
      <c r="D1930" s="254" t="s">
        <v>6173</v>
      </c>
      <c r="E1930" s="254" t="s">
        <v>6174</v>
      </c>
      <c r="F1930" s="182">
        <v>392.0</v>
      </c>
      <c r="G1930" s="172" t="str">
        <f>IFERROR(__xludf.DUMMYFUNCTION("TRIM(REGEXREPLACE(C1930, ""[0-9]+[a-f]?\."", """"))"),"Immigrants who come to Niger as foreign workers")</f>
        <v>Immigrants who come to Niger as foreign workers</v>
      </c>
      <c r="H1930" s="172" t="str">
        <f>IFERROR(__xludf.DUMMYFUNCTION("TRIM(REGEXREPLACE(D1930, ""[0-9]+[a-f]?\."", """"))"),"Les immigrés qui viennent au Niger en tant que travailleurs étrangers")</f>
        <v>Les immigrés qui viennent au Niger en tant que travailleurs étrangers</v>
      </c>
      <c r="I1930" s="172" t="str">
        <f>IFERROR(__xludf.DUMMYFUNCTION("TRIM(REGEXREPLACE(E1930, ""[0-9]+[a-f]?\."", """"))"),"Baƙin haure masu zuwa Nijar a matsayin ma'aikata ƴan ƙasashen waje")</f>
        <v>Baƙin haure masu zuwa Nijar a matsayin ma'aikata ƴan ƙasashen waje</v>
      </c>
      <c r="J1930" s="172" t="str">
        <f t="shared" ref="J1930:L1930" si="415">$F1930 &amp; ". " &amp;G1930</f>
        <v>392. Immigrants who come to Niger as foreign workers</v>
      </c>
      <c r="K1930" s="172" t="str">
        <f t="shared" si="415"/>
        <v>392. Les immigrés qui viennent au Niger en tant que travailleurs étrangers</v>
      </c>
      <c r="L1930" s="172" t="str">
        <f t="shared" si="415"/>
        <v>392. Baƙin haure masu zuwa Nijar a matsayin ma'aikata ƴan ƙasashen waje</v>
      </c>
    </row>
    <row r="1931">
      <c r="A1931" s="253" t="s">
        <v>246</v>
      </c>
      <c r="B1931" s="254" t="s">
        <v>6175</v>
      </c>
      <c r="C1931" s="254" t="s">
        <v>6176</v>
      </c>
      <c r="D1931" s="254" t="s">
        <v>6177</v>
      </c>
      <c r="E1931" s="254" t="s">
        <v>6178</v>
      </c>
      <c r="F1931" s="182">
        <v>393.0</v>
      </c>
      <c r="G1931" s="172" t="str">
        <f>IFERROR(__xludf.DUMMYFUNCTION("TRIM(REGEXREPLACE(C1931, ""[0-9]+[a-f]?\."", """"))"),"People of a different sect of Islam")</f>
        <v>People of a different sect of Islam</v>
      </c>
      <c r="H1931" s="172" t="str">
        <f>IFERROR(__xludf.DUMMYFUNCTION("TRIM(REGEXREPLACE(D1931, ""[0-9]+[a-f]?\."", """"))"),"Les gens d'une autre secte de l'Islam")</f>
        <v>Les gens d'une autre secte de l'Islam</v>
      </c>
      <c r="I1931" s="172" t="str">
        <f>IFERROR(__xludf.DUMMYFUNCTION("TRIM(REGEXREPLACE(E1931, ""[0-9]+[a-f]?\."", """"))"),"Mabiya wasu ɗarikun musulunci")</f>
        <v>Mabiya wasu ɗarikun musulunci</v>
      </c>
      <c r="J1931" s="172" t="str">
        <f t="shared" ref="J1931:L1931" si="416">$F1931 &amp; ". " &amp;G1931</f>
        <v>393. People of a different sect of Islam</v>
      </c>
      <c r="K1931" s="172" t="str">
        <f t="shared" si="416"/>
        <v>393. Les gens d'une autre secte de l'Islam</v>
      </c>
      <c r="L1931" s="172" t="str">
        <f t="shared" si="416"/>
        <v>393. Mabiya wasu ɗarikun musulunci</v>
      </c>
    </row>
    <row r="1932">
      <c r="A1932" s="215" t="s">
        <v>353</v>
      </c>
      <c r="B1932" s="216" t="s">
        <v>6179</v>
      </c>
      <c r="C1932" s="216" t="s">
        <v>6180</v>
      </c>
      <c r="D1932" s="216" t="s">
        <v>6181</v>
      </c>
      <c r="E1932" s="216" t="s">
        <v>6182</v>
      </c>
      <c r="F1932" s="182">
        <v>394.0</v>
      </c>
      <c r="G1932" s="172" t="str">
        <f>IFERROR(__xludf.DUMMYFUNCTION("TRIM(REGEXREPLACE(C1932, ""[0-9]+[a-f]?\."", """"))"),"Imagine one of your daughters wanted to marry someone of a different religious faith, would you give them your permission?")</f>
        <v>Imagine one of your daughters wanted to marry someone of a different religious faith, would you give them your permission?</v>
      </c>
      <c r="H1932" s="172" t="str">
        <f>IFERROR(__xludf.DUMMYFUNCTION("TRIM(REGEXREPLACE(D1932, ""[0-9]+[a-f]?\."", """"))"),"Imaginez qu'une de vos filles veuille épouser quelqu'un d'une confession religieuse différente, leur donneriez-vous votre permission ?")</f>
        <v>Imaginez qu'une de vos filles veuille épouser quelqu'un d'une confession religieuse différente, leur donneriez-vous votre permission ?</v>
      </c>
      <c r="I1932" s="172" t="str">
        <f>IFERROR(__xludf.DUMMYFUNCTION("TRIM(REGEXREPLACE(E1932, ""[0-9]+[a-f]?\."", """"))"),"Ku ƙaddara da wata ɗiyarku ta na son ta auri wani mai bin wani addini daban, za ku bada izininku?")</f>
        <v>Ku ƙaddara da wata ɗiyarku ta na son ta auri wani mai bin wani addini daban, za ku bada izininku?</v>
      </c>
      <c r="J1932" s="172" t="str">
        <f t="shared" ref="J1932:L1932" si="417">$F1932 &amp; ". " &amp;G1932</f>
        <v>394. Imagine one of your daughters wanted to marry someone of a different religious faith, would you give them your permission?</v>
      </c>
      <c r="K1932" s="172" t="str">
        <f t="shared" si="417"/>
        <v>394. Imaginez qu'une de vos filles veuille épouser quelqu'un d'une confession religieuse différente, leur donneriez-vous votre permission ?</v>
      </c>
      <c r="L1932" s="172" t="str">
        <f t="shared" si="417"/>
        <v>394. Ku ƙaddara da wata ɗiyarku ta na son ta auri wani mai bin wani addini daban, za ku bada izininku?</v>
      </c>
    </row>
    <row r="1933">
      <c r="A1933" s="215" t="s">
        <v>353</v>
      </c>
      <c r="B1933" s="216" t="s">
        <v>6183</v>
      </c>
      <c r="C1933" s="216" t="s">
        <v>6184</v>
      </c>
      <c r="D1933" s="216" t="s">
        <v>6185</v>
      </c>
      <c r="E1933" s="216" t="s">
        <v>6186</v>
      </c>
      <c r="F1933" s="182">
        <v>395.0</v>
      </c>
      <c r="G1933" s="172" t="str">
        <f>IFERROR(__xludf.DUMMYFUNCTION("TRIM(REGEXREPLACE(C1933, ""[0-9]+[a-f]?\."", """"))"),"Imagine one of your sons wanted to marry someone of a different religious faith, would you give them your permission?")</f>
        <v>Imagine one of your sons wanted to marry someone of a different religious faith, would you give them your permission?</v>
      </c>
      <c r="H1933" s="172" t="str">
        <f>IFERROR(__xludf.DUMMYFUNCTION("TRIM(REGEXREPLACE(D1933, ""[0-9]+[a-f]?\."", """"))"),"Imaginez que l'un de vos fils veuille épouser quelqu'un d'une confession religieuse différente, leur donneriez-vous votre permission ?")</f>
        <v>Imaginez que l'un de vos fils veuille épouser quelqu'un d'une confession religieuse différente, leur donneriez-vous votre permission ?</v>
      </c>
      <c r="I1933" s="172" t="str">
        <f>IFERROR(__xludf.DUMMYFUNCTION("TRIM(REGEXREPLACE(E1933, ""[0-9]+[a-f]?\."", """"))"),"Ku ƙaddara da wani ɗanku ya na son ya auri wata ƴar addini daban, za ku bada izininku?")</f>
        <v>Ku ƙaddara da wani ɗanku ya na son ya auri wata ƴar addini daban, za ku bada izininku?</v>
      </c>
      <c r="J1933" s="172" t="str">
        <f t="shared" ref="J1933:L1933" si="418">$F1933 &amp; ". " &amp;G1933</f>
        <v>395. Imagine one of your sons wanted to marry someone of a different religious faith, would you give them your permission?</v>
      </c>
      <c r="K1933" s="172" t="str">
        <f t="shared" si="418"/>
        <v>395. Imaginez que l'un de vos fils veuille épouser quelqu'un d'une confession religieuse différente, leur donneriez-vous votre permission ?</v>
      </c>
      <c r="L1933" s="172" t="str">
        <f t="shared" si="418"/>
        <v>395. Ku ƙaddara da wani ɗanku ya na son ya auri wata ƴar addini daban, za ku bada izininku?</v>
      </c>
    </row>
    <row r="1934">
      <c r="A1934" s="215" t="s">
        <v>353</v>
      </c>
      <c r="B1934" s="216" t="s">
        <v>6187</v>
      </c>
      <c r="C1934" s="216" t="s">
        <v>6188</v>
      </c>
      <c r="D1934" s="216" t="s">
        <v>6189</v>
      </c>
      <c r="E1934" s="216" t="s">
        <v>6190</v>
      </c>
      <c r="F1934" s="182">
        <v>396.0</v>
      </c>
      <c r="G1934" s="172" t="str">
        <f>IFERROR(__xludf.DUMMYFUNCTION("TRIM(REGEXREPLACE(C1934, ""[0-9]+[a-f]?\."", """"))"),"Imagine one of your daughters wanted to marry someone of a different ethnic group, would you give them your permission?")</f>
        <v>Imagine one of your daughters wanted to marry someone of a different ethnic group, would you give them your permission?</v>
      </c>
      <c r="H1934" s="172" t="str">
        <f>IFERROR(__xludf.DUMMYFUNCTION("TRIM(REGEXREPLACE(D1934, ""[0-9]+[a-f]?\."", """"))"),"Imaginez qu'une de vos filles veuille épouser quelqu'un d'un groupe ethnique différent, leur donneriez-vous votre permission ?")</f>
        <v>Imaginez qu'une de vos filles veuille épouser quelqu'un d'un groupe ethnique différent, leur donneriez-vous votre permission ?</v>
      </c>
      <c r="I1934" s="172" t="str">
        <f>IFERROR(__xludf.DUMMYFUNCTION("TRIM(REGEXREPLACE(E1934, ""[0-9]+[a-f]?\."", """"))"),"Ku ƙaddara da wata ɗiyarka ta son ta auri ɗan wata kabila daban, za ku bada izininku?")</f>
        <v>Ku ƙaddara da wata ɗiyarka ta son ta auri ɗan wata kabila daban, za ku bada izininku?</v>
      </c>
      <c r="J1934" s="172" t="str">
        <f t="shared" ref="J1934:L1934" si="419">$F1934 &amp; ". " &amp;G1934</f>
        <v>396. Imagine one of your daughters wanted to marry someone of a different ethnic group, would you give them your permission?</v>
      </c>
      <c r="K1934" s="172" t="str">
        <f t="shared" si="419"/>
        <v>396. Imaginez qu'une de vos filles veuille épouser quelqu'un d'un groupe ethnique différent, leur donneriez-vous votre permission ?</v>
      </c>
      <c r="L1934" s="172" t="str">
        <f t="shared" si="419"/>
        <v>396. Ku ƙaddara da wata ɗiyarka ta son ta auri ɗan wata kabila daban, za ku bada izininku?</v>
      </c>
    </row>
    <row r="1935">
      <c r="A1935" s="215" t="s">
        <v>353</v>
      </c>
      <c r="B1935" s="216" t="s">
        <v>6191</v>
      </c>
      <c r="C1935" s="216" t="s">
        <v>6192</v>
      </c>
      <c r="D1935" s="216" t="s">
        <v>6193</v>
      </c>
      <c r="E1935" s="216" t="s">
        <v>6194</v>
      </c>
      <c r="F1935" s="182">
        <v>397.0</v>
      </c>
      <c r="G1935" s="172" t="str">
        <f>IFERROR(__xludf.DUMMYFUNCTION("TRIM(REGEXREPLACE(C1935, ""[0-9]+[a-f]?\."", """"))"),"Imagine one of your sons wanted to marry someone of a different ethnic group, would you give them your permission?")</f>
        <v>Imagine one of your sons wanted to marry someone of a different ethnic group, would you give them your permission?</v>
      </c>
      <c r="H1935" s="172" t="str">
        <f>IFERROR(__xludf.DUMMYFUNCTION("TRIM(REGEXREPLACE(D1935, ""[0-9]+[a-f]?\."", """"))"),"Imaginez que l'un de vos fils veuille épouser quelqu'un d'un groupe ethnique différent, leur donneriez-vous votre permission ?")</f>
        <v>Imaginez que l'un de vos fils veuille épouser quelqu'un d'un groupe ethnique différent, leur donneriez-vous votre permission ?</v>
      </c>
      <c r="I1935" s="172" t="str">
        <f>IFERROR(__xludf.DUMMYFUNCTION("TRIM(REGEXREPLACE(E1935, ""[0-9]+[a-f]?\."", """"))"),"Ku ƙaddara da wani ɗanku ya na son ya auri wani ɗan wata ƙabila daban, za ku bada izininku?")</f>
        <v>Ku ƙaddara da wani ɗanku ya na son ya auri wani ɗan wata ƙabila daban, za ku bada izininku?</v>
      </c>
      <c r="J1935" s="172" t="str">
        <f t="shared" ref="J1935:L1935" si="420">$F1935 &amp; ". " &amp;G1935</f>
        <v>397. Imagine one of your sons wanted to marry someone of a different ethnic group, would you give them your permission?</v>
      </c>
      <c r="K1935" s="172" t="str">
        <f t="shared" si="420"/>
        <v>397. Imaginez que l'un de vos fils veuille épouser quelqu'un d'un groupe ethnique différent, leur donneriez-vous votre permission ?</v>
      </c>
      <c r="L1935" s="172" t="str">
        <f t="shared" si="420"/>
        <v>397. Ku ƙaddara da wani ɗanku ya na son ya auri wani ɗan wata ƙabila daban, za ku bada izininku?</v>
      </c>
    </row>
    <row r="1936">
      <c r="A1936" s="215" t="s">
        <v>6195</v>
      </c>
      <c r="B1936" s="273" t="s">
        <v>6196</v>
      </c>
      <c r="C1936" s="216" t="s">
        <v>6197</v>
      </c>
      <c r="D1936" s="216" t="s">
        <v>6198</v>
      </c>
      <c r="E1936" s="216" t="s">
        <v>6199</v>
      </c>
      <c r="F1936" s="182">
        <v>398.0</v>
      </c>
      <c r="G1936" s="172" t="str">
        <f>IFERROR(__xludf.DUMMYFUNCTION("TRIM(REGEXREPLACE(C1936, ""[0-9]+[a-f]?\."", """"))"),"I will read you three statements. Please tell me which of these statements is closest to your opinion: 
 1) Democracy is preferable to any other kind of government 
 2) In some circumstances a non-democratic government can be preferable 
 3) For someone"&amp;" like me, it doesn't matter what kind of government we have")</f>
        <v>I will read you three statements. Please tell me which of these statements is closest to your opinion: 
 1) Democracy is preferable to any other kind of government 
 2) In some circumstances a non-democratic government can be preferable 
 3) For someone like me, it doesn't matter what kind of government we have</v>
      </c>
      <c r="H1936" s="172" t="str">
        <f>IFERROR(__xludf.DUMMYFUNCTION("TRIM(REGEXREPLACE(D1936, ""[0-9]+[a-f]?\."", """"))"),"Je vais vous lire trois déclarations. Veuillez me dire laquelle de ces déclarations est la plus proche de votre opinion :
 1) La démocratie est préférable à tout autre type de gouvernement
 2) Dans certaines circonstances, un gouvernement non démocrat"&amp;"ique peut être préférable
 3) Pour quelqu'un comme moi, peu importe le type de gouvernement que nous avons")</f>
        <v>Je vais vous lire trois déclarations. Veuillez me dire laquelle de ces déclarations est la plus proche de votre opinion :
 1) La démocratie est préférable à tout autre type de gouvernement
 2) Dans certaines circonstances, un gouvernement non démocratique peut être préférable
 3) Pour quelqu'un comme moi, peu importe le type de gouvernement que nous avons</v>
      </c>
      <c r="I1936" s="172" t="str">
        <f>IFERROR(__xludf.DUMMYFUNCTION("TRIM(REGEXREPLACE(E1936, ""[0-9]+[a-f]?\."", """"))"),"1) Tsarin dimoraɗiyya ya fi kowane irin tsari mulki
 2) A wani yanayi ana iya fifita gwamnatin da ba ta demokradiyya ba
 3) Ga mutum irina, ba ruwanmu da wane irin gwamnati muke da ita”.")</f>
        <v>1) Tsarin dimoraɗiyya ya fi kowane irin tsari mulki
 2) A wani yanayi ana iya fifita gwamnatin da ba ta demokradiyya ba
 3) Ga mutum irina, ba ruwanmu da wane irin gwamnati muke da ita”.</v>
      </c>
      <c r="J1936" s="172" t="str">
        <f t="shared" ref="J1936:L1936" si="421">$F1936 &amp; ". " &amp;G1936</f>
        <v>398. I will read you three statements. Please tell me which of these statements is closest to your opinion: 
 1) Democracy is preferable to any other kind of government 
 2) In some circumstances a non-democratic government can be preferable 
 3) For someone like me, it doesn't matter what kind of government we have</v>
      </c>
      <c r="K1936" s="172" t="str">
        <f t="shared" si="421"/>
        <v>398. Je vais vous lire trois déclarations. Veuillez me dire laquelle de ces déclarations est la plus proche de votre opinion :
 1) La démocratie est préférable à tout autre type de gouvernement
 2) Dans certaines circonstances, un gouvernement non démocratique peut être préférable
 3) Pour quelqu'un comme moi, peu importe le type de gouvernement que nous avons</v>
      </c>
      <c r="L1936" s="172" t="str">
        <f t="shared" si="421"/>
        <v>398. 1) Tsarin dimoraɗiyya ya fi kowane irin tsari mulki
 2) A wani yanayi ana iya fifita gwamnatin da ba ta demokradiyya ba
 3) Ga mutum irina, ba ruwanmu da wane irin gwamnati muke da ita”.</v>
      </c>
    </row>
    <row r="1937">
      <c r="A1937" s="215" t="s">
        <v>6200</v>
      </c>
      <c r="B1937" s="273" t="s">
        <v>6201</v>
      </c>
      <c r="C1937" s="216" t="s">
        <v>6202</v>
      </c>
      <c r="D1937" s="216" t="s">
        <v>6203</v>
      </c>
      <c r="E1937" s="216" t="s">
        <v>6204</v>
      </c>
      <c r="F1937" s="182">
        <v>399.0</v>
      </c>
      <c r="G1937" s="172" t="str">
        <f>IFERROR(__xludf.DUMMYFUNCTION("TRIM(REGEXREPLACE(C1937, ""[0-9]+[a-f]?\."", """"))"),"I will read you two statements. Which of the following statements is closest to your view? Choose Statement 1 or Statement 
 A government that enjoys the support of the people should be free to do whatever the people want, even if it is outside the law."&amp;"
 The actions of any government, no matter how popular it is, must always follow the law.")</f>
        <v>I will read you two statements. Which of the following statements is closest to your view? Choose Statement 1 or Statement 
 A government that enjoys the support of the people should be free to do whatever the people want, even if it is outside the law.
 The actions of any government, no matter how popular it is, must always follow the law.</v>
      </c>
      <c r="H1937" s="172" t="str">
        <f>IFERROR(__xludf.DUMMYFUNCTION("TRIM(REGEXREPLACE(D1937, ""[0-9]+[a-f]?\."", """"))"),"Je vais vous lire deux déclarations. Laquelle des déclarations suivantes est la plus proche de votre point de vue ? Choisissez la déclaration 1 ou la déclaration 
 Un gouvernement qui bénéficie du soutien du peuple devrait être libre de faire ce que le "&amp;"peuple veut, même si cela n'est pas prévu par la loi.
 Les actions de tout gouvernement, aussi populaire soit-il, doivent toujours respecter la loi.")</f>
        <v>Je vais vous lire deux déclarations. Laquelle des déclarations suivantes est la plus proche de votre point de vue ? Choisissez la déclaration 1 ou la déclaration 
 Un gouvernement qui bénéficie du soutien du peuple devrait être libre de faire ce que le peuple veut, même si cela n'est pas prévu par la loi.
 Les actions de tout gouvernement, aussi populaire soit-il, doivent toujours respecter la loi.</v>
      </c>
      <c r="I1937" s="172" t="str">
        <f>IFERROR(__xludf.DUMMYFUNCTION("TRIM(REGEXREPLACE(E1937, ""[0-9]+[a-f]?\."", """"))"),"Zan karanta muku wasu maganganu guda biyu, a cikin waɗannan maganganu wanne ne ya fi kusa da ra'ayinku? Zabi Bayani na 1 ko Bayani na2 
 Gwamnatin da ke samun goyon bayan al’umma yana da ƴancin yin duk abin da jama’a ke so, ko da ba bisa doka ba ne.
 Ay"&amp;"yukan kowane gwamnati komai farin jininta, dole ne ta bi doka.")</f>
        <v>Zan karanta muku wasu maganganu guda biyu, a cikin waɗannan maganganu wanne ne ya fi kusa da ra'ayinku? Zabi Bayani na 1 ko Bayani na2 
 Gwamnatin da ke samun goyon bayan al’umma yana da ƴancin yin duk abin da jama’a ke so, ko da ba bisa doka ba ne.
 Ayyukan kowane gwamnati komai farin jininta, dole ne ta bi doka.</v>
      </c>
      <c r="J1937" s="172" t="str">
        <f t="shared" ref="J1937:L1937" si="422">$F1937 &amp; ". " &amp;G1937</f>
        <v>399. I will read you two statements. Which of the following statements is closest to your view? Choose Statement 1 or Statement 
 A government that enjoys the support of the people should be free to do whatever the people want, even if it is outside the law.
 The actions of any government, no matter how popular it is, must always follow the law.</v>
      </c>
      <c r="K1937" s="172" t="str">
        <f t="shared" si="422"/>
        <v>399. Je vais vous lire deux déclarations. Laquelle des déclarations suivantes est la plus proche de votre point de vue ? Choisissez la déclaration 1 ou la déclaration 
 Un gouvernement qui bénéficie du soutien du peuple devrait être libre de faire ce que le peuple veut, même si cela n'est pas prévu par la loi.
 Les actions de tout gouvernement, aussi populaire soit-il, doivent toujours respecter la loi.</v>
      </c>
      <c r="L1937" s="172" t="str">
        <f t="shared" si="422"/>
        <v>399. Zan karanta muku wasu maganganu guda biyu, a cikin waɗannan maganganu wanne ne ya fi kusa da ra'ayinku? Zabi Bayani na 1 ko Bayani na2 
 Gwamnatin da ke samun goyon bayan al’umma yana da ƴancin yin duk abin da jama’a ke so, ko da ba bisa doka ba ne.
 Ayyukan kowane gwamnati komai farin jininta, dole ne ta bi doka.</v>
      </c>
    </row>
    <row r="1938">
      <c r="A1938" s="215" t="s">
        <v>6200</v>
      </c>
      <c r="B1938" s="273" t="s">
        <v>6205</v>
      </c>
      <c r="C1938" s="216" t="s">
        <v>6206</v>
      </c>
      <c r="D1938" s="216" t="s">
        <v>6207</v>
      </c>
      <c r="E1938" s="216" t="s">
        <v>6208</v>
      </c>
      <c r="F1938" s="182">
        <v>400.0</v>
      </c>
      <c r="G1938" s="172" t="str">
        <f>IFERROR(__xludf.DUMMYFUNCTION("TRIM(REGEXREPLACE(C1938, ""[0-9]+[a-f]?\."", """"))"),"I will read you two statements. Which of the following statements is closest to your view? Choose Statement 1 or Statement 
 Using violence to accomplish your goals is never justified, no matter how worthy your cause
 It is sometime necessary to use viole"&amp;"nce in pursuit of a good cause.")</f>
        <v>I will read you two statements. Which of the following statements is closest to your view? Choose Statement 1 or Statement 
 Using violence to accomplish your goals is never justified, no matter how worthy your cause
 It is sometime necessary to use violence in pursuit of a good cause.</v>
      </c>
      <c r="H1938" s="172" t="str">
        <f>IFERROR(__xludf.DUMMYFUNCTION("TRIM(REGEXREPLACE(D1938, ""[0-9]+[a-f]?\."", """"))"),"Je vais vous lire deux déclarations. Laquelle des déclarations suivantes est la plus proche de votre point de vue ? Choisissez la déclaration 1 ou la déclaration 
 Utiliser la violence pour atteindre vos objectifs n'est jamais justifié, quelle que soit "&amp;"la valeur de votre cause
 Il est parfois nécessaire de recourir à la violence dans la poursuite d'une bonne cause.")</f>
        <v>Je vais vous lire deux déclarations. Laquelle des déclarations suivantes est la plus proche de votre point de vue ? Choisissez la déclaration 1 ou la déclaration 
 Utiliser la violence pour atteindre vos objectifs n'est jamais justifié, quelle que soit la valeur de votre cause
 Il est parfois nécessaire de recourir à la violence dans la poursuite d'une bonne cause.</v>
      </c>
      <c r="I1938" s="172" t="str">
        <f>IFERROR(__xludf.DUMMYFUNCTION("TRIM(REGEXREPLACE(E1938, ""[0-9]+[a-f]?\."", """"))"),"Zan karanta muku maganganu guda biyu. A cikin wadannan maganganun wanne ne ya fi kusa da ra'ayin ku? Zabi Bayani na 1 ko Bayani na 
 Yin amfani da ƙarfi don cimma burinku ba zai taɓa zama daidai ba, komai cancantar dalilanku
 Wani lokaci ya zama dole a yi"&amp;" amfani da ƙarfi wajen neman manufa mai kyau.")</f>
        <v>Zan karanta muku maganganu guda biyu. A cikin wadannan maganganun wanne ne ya fi kusa da ra'ayin ku? Zabi Bayani na 1 ko Bayani na 
 Yin amfani da ƙarfi don cimma burinku ba zai taɓa zama daidai ba, komai cancantar dalilanku
 Wani lokaci ya zama dole a yi amfani da ƙarfi wajen neman manufa mai kyau.</v>
      </c>
      <c r="J1938" s="172" t="str">
        <f t="shared" ref="J1938:L1938" si="423">$F1938 &amp; ". " &amp;G1938</f>
        <v>400. I will read you two statements. Which of the following statements is closest to your view? Choose Statement 1 or Statement 
 Using violence to accomplish your goals is never justified, no matter how worthy your cause
 It is sometime necessary to use violence in pursuit of a good cause.</v>
      </c>
      <c r="K1938" s="172" t="str">
        <f t="shared" si="423"/>
        <v>400. Je vais vous lire deux déclarations. Laquelle des déclarations suivantes est la plus proche de votre point de vue ? Choisissez la déclaration 1 ou la déclaration 
 Utiliser la violence pour atteindre vos objectifs n'est jamais justifié, quelle que soit la valeur de votre cause
 Il est parfois nécessaire de recourir à la violence dans la poursuite d'une bonne cause.</v>
      </c>
      <c r="L1938" s="172" t="str">
        <f t="shared" si="423"/>
        <v>400. Zan karanta muku maganganu guda biyu. A cikin wadannan maganganun wanne ne ya fi kusa da ra'ayin ku? Zabi Bayani na 1 ko Bayani na 
 Yin amfani da ƙarfi don cimma burinku ba zai taɓa zama daidai ba, komai cancantar dalilanku
 Wani lokaci ya zama dole a yi amfani da ƙarfi wajen neman manufa mai kyau.</v>
      </c>
    </row>
    <row r="1939" hidden="1">
      <c r="A1939" s="211" t="s">
        <v>238</v>
      </c>
      <c r="B1939" s="211" t="s">
        <v>6159</v>
      </c>
      <c r="C1939" s="224" t="s">
        <v>6160</v>
      </c>
      <c r="D1939" s="225"/>
      <c r="E1939" s="225"/>
    </row>
    <row r="1940" hidden="1">
      <c r="A1940" s="172"/>
      <c r="B1940" s="172"/>
      <c r="C1940" s="174"/>
      <c r="D1940" s="172"/>
      <c r="E1940" s="172"/>
    </row>
    <row r="1941" hidden="1">
      <c r="A1941" s="172"/>
      <c r="B1941" s="172"/>
      <c r="C1941" s="174" t="s">
        <v>52</v>
      </c>
      <c r="D1941" s="174" t="s">
        <v>52</v>
      </c>
      <c r="E1941" s="174" t="s">
        <v>52</v>
      </c>
    </row>
    <row r="1942" hidden="1">
      <c r="A1942" s="211" t="s">
        <v>107</v>
      </c>
      <c r="B1942" s="212" t="s">
        <v>6209</v>
      </c>
      <c r="C1942" s="212" t="s">
        <v>6210</v>
      </c>
      <c r="D1942" s="214"/>
      <c r="E1942" s="214"/>
    </row>
    <row r="1943" hidden="1">
      <c r="A1943" s="188" t="s">
        <v>118</v>
      </c>
      <c r="B1943" s="279" t="s">
        <v>6211</v>
      </c>
      <c r="C1943" s="190"/>
      <c r="D1943" s="190"/>
      <c r="E1943" s="190"/>
    </row>
    <row r="1944">
      <c r="A1944" s="207" t="s">
        <v>41</v>
      </c>
      <c r="B1944" s="208" t="s">
        <v>6212</v>
      </c>
      <c r="C1944" s="208" t="s">
        <v>3464</v>
      </c>
      <c r="D1944" s="208" t="s">
        <v>3465</v>
      </c>
      <c r="E1944" s="208" t="s">
        <v>3466</v>
      </c>
      <c r="F1944" s="182">
        <v>401.0</v>
      </c>
      <c r="G1944" s="172" t="str">
        <f>IFERROR(__xludf.DUMMYFUNCTION("TRIM(REGEXREPLACE(C1944, ""[0-9]+[a-f]?\."", """"))"),"We would now like to ask you a few questions about a cash transfer you may have recently received from Mercy Corps")</f>
        <v>We would now like to ask you a few questions about a cash transfer you may have recently received from Mercy Corps</v>
      </c>
      <c r="H1944" s="172" t="str">
        <f>IFERROR(__xludf.DUMMYFUNCTION("TRIM(REGEXREPLACE(D1944, ""[0-9]+[a-f]?\."", """"))"),"Nous aimerions maintenant vous poser quelques questions sur un transfert en espèces que vous avez peut-être récemment reçu de Mercy Corps.")</f>
        <v>Nous aimerions maintenant vous poser quelques questions sur un transfert en espèces que vous avez peut-être récemment reçu de Mercy Corps.</v>
      </c>
      <c r="I1944" s="172" t="str">
        <f>IFERROR(__xludf.DUMMYFUNCTION("TRIM(REGEXREPLACE(E1944, ""[0-9]+[a-f]?\."", """"))"),"Yanzu muna son mu muku wasu ƴan tambayoyi game da wani aiken kuɗi da wataƙila kuka samu a cikin kwanan nan daga Mercy Corps")</f>
        <v>Yanzu muna son mu muku wasu ƴan tambayoyi game da wani aiken kuɗi da wataƙila kuka samu a cikin kwanan nan daga Mercy Corps</v>
      </c>
      <c r="J1944" s="172" t="str">
        <f t="shared" ref="J1944:L1944" si="424">$F1944 &amp; ". " &amp;G1944</f>
        <v>401. We would now like to ask you a few questions about a cash transfer you may have recently received from Mercy Corps</v>
      </c>
      <c r="K1944" s="172" t="str">
        <f t="shared" si="424"/>
        <v>401. Nous aimerions maintenant vous poser quelques questions sur un transfert en espèces que vous avez peut-être récemment reçu de Mercy Corps.</v>
      </c>
      <c r="L1944" s="172" t="str">
        <f t="shared" si="424"/>
        <v>401. Yanzu muna son mu muku wasu ƴan tambayoyi game da wani aiken kuɗi da wataƙila kuka samu a cikin kwanan nan daga Mercy Corps</v>
      </c>
    </row>
    <row r="1945">
      <c r="A1945" s="253" t="s">
        <v>246</v>
      </c>
      <c r="B1945" s="254" t="s">
        <v>6213</v>
      </c>
      <c r="C1945" s="254" t="s">
        <v>3467</v>
      </c>
      <c r="D1945" s="254" t="s">
        <v>3468</v>
      </c>
      <c r="E1945" s="254" t="s">
        <v>3469</v>
      </c>
      <c r="F1945" s="182">
        <v>402.0</v>
      </c>
      <c r="G1945" s="172" t="str">
        <f>IFERROR(__xludf.DUMMYFUNCTION("TRIM(REGEXREPLACE(C1945, ""[0-9]+[a-f]?\."", """"))"),"How much cash in CFA did you receive from Mercy Corps in the last distribution?")</f>
        <v>How much cash in CFA did you receive from Mercy Corps in the last distribution?</v>
      </c>
      <c r="H1945" s="172" t="str">
        <f>IFERROR(__xludf.DUMMYFUNCTION("TRIM(REGEXREPLACE(D1945, ""[0-9]+[a-f]?\."", """"))"),"Combien avez-vous reçu en CFA de Mercy Corps au dernier transfert?")</f>
        <v>Combien avez-vous reçu en CFA de Mercy Corps au dernier transfert?</v>
      </c>
      <c r="I1945" s="172" t="str">
        <f>IFERROR(__xludf.DUMMYFUNCTION("TRIM(REGEXREPLACE(E1945, ""[0-9]+[a-f]?\."", """"))"),"Nawa kuka samu daga Mercy corps a zubin ƙarshe?")</f>
        <v>Nawa kuka samu daga Mercy corps a zubin ƙarshe?</v>
      </c>
      <c r="J1945" s="172" t="str">
        <f t="shared" ref="J1945:L1945" si="425">$F1945 &amp; ". " &amp;G1945</f>
        <v>402. How much cash in CFA did you receive from Mercy Corps in the last distribution?</v>
      </c>
      <c r="K1945" s="172" t="str">
        <f t="shared" si="425"/>
        <v>402. Combien avez-vous reçu en CFA de Mercy Corps au dernier transfert?</v>
      </c>
      <c r="L1945" s="172" t="str">
        <f t="shared" si="425"/>
        <v>402. Nawa kuka samu daga Mercy corps a zubin ƙarshe?</v>
      </c>
    </row>
    <row r="1946" hidden="1">
      <c r="A1946" s="211" t="s">
        <v>107</v>
      </c>
      <c r="B1946" s="212" t="s">
        <v>6214</v>
      </c>
      <c r="C1946" s="214"/>
      <c r="D1946" s="214"/>
      <c r="E1946" s="214"/>
    </row>
    <row r="1947">
      <c r="A1947" s="215" t="s">
        <v>6215</v>
      </c>
      <c r="B1947" s="216" t="s">
        <v>6216</v>
      </c>
      <c r="C1947" s="216" t="s">
        <v>3473</v>
      </c>
      <c r="D1947" s="216" t="s">
        <v>3474</v>
      </c>
      <c r="E1947" s="216" t="s">
        <v>6217</v>
      </c>
      <c r="F1947" s="182">
        <v>403.0</v>
      </c>
      <c r="G1947" s="172" t="str">
        <f>IFERROR(__xludf.DUMMYFUNCTION("TRIM(REGEXREPLACE(C1947, ""[0-9]+[a-f]?\."", """"))"),"Was the amount you received equal to, less than, or more than the amount you were told you would receive?")</f>
        <v>Was the amount you received equal to, less than, or more than the amount you were told you would receive?</v>
      </c>
      <c r="H1947" s="172" t="str">
        <f>IFERROR(__xludf.DUMMYFUNCTION("TRIM(REGEXREPLACE(D1947, ""[0-9]+[a-f]?\."", """"))"),"Le montant que vous avez reçu était égal, inférieur ou supérieur au montant promis?")</f>
        <v>Le montant que vous avez reçu était égal, inférieur ou supérieur au montant promis?</v>
      </c>
      <c r="I1947" s="172" t="str">
        <f>IFERROR(__xludf.DUMMYFUNCTION("TRIM(REGEXREPLACE(E1947, ""[0-9]+[a-f]?\."", """"))"),"Ko kuɗin da kuka samu daidai ne ko ƙasa ko yahi wanda aka muku alƙawali?")</f>
        <v>Ko kuɗin da kuka samu daidai ne ko ƙasa ko yahi wanda aka muku alƙawali?</v>
      </c>
      <c r="J1947" s="172" t="str">
        <f t="shared" ref="J1947:L1947" si="426">$F1947 &amp; ". " &amp;G1947</f>
        <v>403. Was the amount you received equal to, less than, or more than the amount you were told you would receive?</v>
      </c>
      <c r="K1947" s="172" t="str">
        <f t="shared" si="426"/>
        <v>403. Le montant que vous avez reçu était égal, inférieur ou supérieur au montant promis?</v>
      </c>
      <c r="L1947" s="172" t="str">
        <f t="shared" si="426"/>
        <v>403. Ko kuɗin da kuka samu daidai ne ko ƙasa ko yahi wanda aka muku alƙawali?</v>
      </c>
    </row>
    <row r="1948">
      <c r="A1948" s="207" t="s">
        <v>41</v>
      </c>
      <c r="B1948" s="208" t="s">
        <v>6218</v>
      </c>
      <c r="C1948" s="208" t="s">
        <v>3477</v>
      </c>
      <c r="D1948" s="208" t="s">
        <v>3478</v>
      </c>
      <c r="E1948" s="208" t="s">
        <v>3479</v>
      </c>
      <c r="F1948" s="182">
        <v>404.0</v>
      </c>
      <c r="G1948" s="172" t="str">
        <f>IFERROR(__xludf.DUMMYFUNCTION("TRIM(REGEXREPLACE(C1948, ""[0-9]+[a-f]?\."", """"))"),"You mentioned that this Mercy Corps program gave you ${pm_cash_amt} CFA for the last cash transfer.")</f>
        <v>You mentioned that this Mercy Corps program gave you ${pm_cash_amt} CFA for the last cash transfer.</v>
      </c>
      <c r="H1948" s="172" t="str">
        <f>IFERROR(__xludf.DUMMYFUNCTION("TRIM(REGEXREPLACE(D1948, ""[0-9]+[a-f]?\."", """"))"),"Vous avez mentionné que ce programme Mercy Corps vous a donné ${pm_cash_amt} CFA pour le dernier transfert d'argent.")</f>
        <v>Vous avez mentionné que ce programme Mercy Corps vous a donné ${pm_cash_amt} CFA pour le dernier transfert d'argent.</v>
      </c>
      <c r="I1948" s="172" t="str">
        <f>IFERROR(__xludf.DUMMYFUNCTION("TRIM(REGEXREPLACE(E1948, ""[0-9]+[a-f]?\."", """"))"),"Kun ce wannan shirin na Mercy corps ya muku zubin ${pm_cash_amt} CFA a zubin ƙarshe.")</f>
        <v>Kun ce wannan shirin na Mercy corps ya muku zubin ${pm_cash_amt} CFA a zubin ƙarshe.</v>
      </c>
      <c r="J1948" s="172" t="str">
        <f t="shared" ref="J1948:L1948" si="427">$F1948 &amp; ". " &amp;G1948</f>
        <v>404. You mentioned that this Mercy Corps program gave you ${pm_cash_amt} CFA for the last cash transfer.</v>
      </c>
      <c r="K1948" s="172" t="str">
        <f t="shared" si="427"/>
        <v>404. Vous avez mentionné que ce programme Mercy Corps vous a donné ${pm_cash_amt} CFA pour le dernier transfert d'argent.</v>
      </c>
      <c r="L1948" s="172" t="str">
        <f t="shared" si="427"/>
        <v>404. Kun ce wannan shirin na Mercy corps ya muku zubin ${pm_cash_amt} CFA a zubin ƙarshe.</v>
      </c>
    </row>
    <row r="1949">
      <c r="A1949" s="215" t="s">
        <v>6219</v>
      </c>
      <c r="B1949" s="216" t="s">
        <v>6220</v>
      </c>
      <c r="C1949" s="216" t="s">
        <v>6221</v>
      </c>
      <c r="D1949" s="216" t="s">
        <v>6222</v>
      </c>
      <c r="E1949" s="216" t="s">
        <v>6223</v>
      </c>
      <c r="F1949" s="182">
        <v>405.0</v>
      </c>
      <c r="G1949" s="172" t="str">
        <f>IFERROR(__xludf.DUMMYFUNCTION("TRIM(REGEXREPLACE(C1949, ""[0-9]+[a-f]?\."", """"))"),"Can you please tell me what were the categories you spent the most of the assistance on?")</f>
        <v>Can you please tell me what were the categories you spent the most of the assistance on?</v>
      </c>
      <c r="H1949" s="172" t="str">
        <f>IFERROR(__xludf.DUMMYFUNCTION("TRIM(REGEXREPLACE(D1949, ""[0-9]+[a-f]?\."", """"))"),"Pouvez-vous me dire quelles étaient les trois catégories sur lesquelles vous avez dépensé le plus l'argent?")</f>
        <v>Pouvez-vous me dire quelles étaient les trois catégories sur lesquelles vous avez dépensé le plus l'argent?</v>
      </c>
      <c r="I1949" s="172" t="str">
        <f>IFERROR(__xludf.DUMMYFUNCTION("TRIM(REGEXREPLACE(E1949, ""[0-9]+[a-f]?\."", """"))"),"Ko zaku iya gaya mani bisa wane nau'ika uku ne kuka kashe yawancin kudin taimakon?")</f>
        <v>Ko zaku iya gaya mani bisa wane nau'ika uku ne kuka kashe yawancin kudin taimakon?</v>
      </c>
      <c r="J1949" s="172" t="str">
        <f t="shared" ref="J1949:L1949" si="428">$F1949 &amp; ". " &amp;G1949</f>
        <v>405. Can you please tell me what were the categories you spent the most of the assistance on?</v>
      </c>
      <c r="K1949" s="172" t="str">
        <f t="shared" si="428"/>
        <v>405. Pouvez-vous me dire quelles étaient les trois catégories sur lesquelles vous avez dépensé le plus l'argent?</v>
      </c>
      <c r="L1949" s="172" t="str">
        <f t="shared" si="428"/>
        <v>405. Ko zaku iya gaya mani bisa wane nau'ika uku ne kuka kashe yawancin kudin taimakon?</v>
      </c>
    </row>
    <row r="1950">
      <c r="A1950" s="246" t="s">
        <v>231</v>
      </c>
      <c r="B1950" s="247" t="s">
        <v>6224</v>
      </c>
      <c r="C1950" s="247" t="s">
        <v>6225</v>
      </c>
      <c r="D1950" s="247" t="s">
        <v>6226</v>
      </c>
      <c r="E1950" s="247" t="s">
        <v>6227</v>
      </c>
      <c r="F1950" s="182">
        <v>406.0</v>
      </c>
      <c r="G1950" s="172" t="str">
        <f>IFERROR(__xludf.DUMMYFUNCTION("TRIM(REGEXREPLACE(C1950, ""[0-9]+[a-f]?\."", """"))"),"Other, specify:")</f>
        <v>Other, specify:</v>
      </c>
      <c r="H1950" s="172" t="str">
        <f>IFERROR(__xludf.DUMMYFUNCTION("TRIM(REGEXREPLACE(D1950, ""[0-9]+[a-f]?\."", """"))"),"Autre précisez:")</f>
        <v>Autre précisez:</v>
      </c>
      <c r="I1950" s="172" t="str">
        <f>IFERROR(__xludf.DUMMYFUNCTION("TRIM(REGEXREPLACE(E1950, ""[0-9]+[a-f]?\."", """"))"),"Wani daban, baiyana:")</f>
        <v>Wani daban, baiyana:</v>
      </c>
      <c r="J1950" s="172" t="str">
        <f t="shared" ref="J1950:L1950" si="429">$F1950 &amp; ". " &amp;G1950</f>
        <v>406. Other, specify:</v>
      </c>
      <c r="K1950" s="172" t="str">
        <f t="shared" si="429"/>
        <v>406. Autre précisez:</v>
      </c>
      <c r="L1950" s="172" t="str">
        <f t="shared" si="429"/>
        <v>406. Wani daban, baiyana:</v>
      </c>
    </row>
    <row r="1951">
      <c r="A1951" s="215" t="s">
        <v>353</v>
      </c>
      <c r="B1951" s="216" t="s">
        <v>6228</v>
      </c>
      <c r="C1951" s="216" t="s">
        <v>6229</v>
      </c>
      <c r="D1951" s="216" t="s">
        <v>6230</v>
      </c>
      <c r="E1951" s="216" t="s">
        <v>6231</v>
      </c>
      <c r="F1951" s="182">
        <v>407.0</v>
      </c>
      <c r="G1951" s="172" t="str">
        <f>IFERROR(__xludf.DUMMYFUNCTION("TRIM(REGEXREPLACE(C1951, ""[0-9]+[a-f]?\."", """"))"),"Did you share the cash with anyone outside the Household?")</f>
        <v>Did you share the cash with anyone outside the Household?</v>
      </c>
      <c r="H1951" s="172" t="str">
        <f>IFERROR(__xludf.DUMMYFUNCTION("TRIM(REGEXREPLACE(D1951, ""[0-9]+[a-f]?\."", """"))"),"Avez-vous partagé l'argent avec quelqu'un en dehors du ménage ?")</f>
        <v>Avez-vous partagé l'argent avec quelqu'un en dehors du ménage ?</v>
      </c>
      <c r="I1951" s="172" t="str">
        <f>IFERROR(__xludf.DUMMYFUNCTION("TRIM(REGEXREPLACE(E1951, ""[0-9]+[a-f]?\."", """"))"),"Ko ka yi kyauta da kuɗin ga wani da ba ɗan gidan ku ba?")</f>
        <v>Ko ka yi kyauta da kuɗin ga wani da ba ɗan gidan ku ba?</v>
      </c>
      <c r="J1951" s="172" t="str">
        <f t="shared" ref="J1951:L1951" si="430">$F1951 &amp; ". " &amp;G1951</f>
        <v>407. Did you share the cash with anyone outside the Household?</v>
      </c>
      <c r="K1951" s="172" t="str">
        <f t="shared" si="430"/>
        <v>407. Avez-vous partagé l'argent avec quelqu'un en dehors du ménage ?</v>
      </c>
      <c r="L1951" s="172" t="str">
        <f t="shared" si="430"/>
        <v>407. Ko ka yi kyauta da kuɗin ga wani da ba ɗan gidan ku ba?</v>
      </c>
    </row>
    <row r="1952">
      <c r="A1952" s="215" t="s">
        <v>6232</v>
      </c>
      <c r="B1952" s="216" t="s">
        <v>6233</v>
      </c>
      <c r="C1952" s="216" t="s">
        <v>6234</v>
      </c>
      <c r="D1952" s="216" t="s">
        <v>6235</v>
      </c>
      <c r="E1952" s="216" t="s">
        <v>6236</v>
      </c>
      <c r="F1952" s="182">
        <v>408.0</v>
      </c>
      <c r="G1952" s="172" t="str">
        <f>IFERROR(__xludf.DUMMYFUNCTION("TRIM(REGEXREPLACE(C1952, ""[0-9]+[a-f]?\."", """"))"),"Who did you share with?")</f>
        <v>Who did you share with?</v>
      </c>
      <c r="H1952" s="172" t="str">
        <f>IFERROR(__xludf.DUMMYFUNCTION("TRIM(REGEXREPLACE(D1952, ""[0-9]+[a-f]?\."", """"))"),"Avec qui avez-vous partagé l'argent?")</f>
        <v>Avec qui avez-vous partagé l'argent?</v>
      </c>
      <c r="I1952" s="172" t="str">
        <f>IFERROR(__xludf.DUMMYFUNCTION("TRIM(REGEXREPLACE(E1952, ""[0-9]+[a-f]?\."", """"))"),"Wanene kuka ba wannan kudin?")</f>
        <v>Wanene kuka ba wannan kudin?</v>
      </c>
      <c r="J1952" s="172" t="str">
        <f t="shared" ref="J1952:L1952" si="431">$F1952 &amp; ". " &amp;G1952</f>
        <v>408. Who did you share with?</v>
      </c>
      <c r="K1952" s="172" t="str">
        <f t="shared" si="431"/>
        <v>408. Avec qui avez-vous partagé l'argent?</v>
      </c>
      <c r="L1952" s="172" t="str">
        <f t="shared" si="431"/>
        <v>408. Wanene kuka ba wannan kudin?</v>
      </c>
    </row>
    <row r="1953" hidden="1">
      <c r="A1953" s="188" t="s">
        <v>118</v>
      </c>
      <c r="B1953" s="279" t="s">
        <v>6237</v>
      </c>
      <c r="C1953" s="190"/>
      <c r="D1953" s="190"/>
      <c r="E1953" s="190"/>
    </row>
    <row r="1954" hidden="1">
      <c r="A1954" s="255" t="s">
        <v>1042</v>
      </c>
      <c r="B1954" s="256" t="s">
        <v>6238</v>
      </c>
      <c r="C1954" s="256" t="s">
        <v>6239</v>
      </c>
      <c r="D1954" s="257"/>
      <c r="E1954" s="257"/>
    </row>
    <row r="1955" hidden="1">
      <c r="A1955" s="188" t="s">
        <v>68</v>
      </c>
      <c r="B1955" s="189" t="s">
        <v>6240</v>
      </c>
      <c r="C1955" s="190"/>
      <c r="D1955" s="190"/>
      <c r="E1955" s="190"/>
    </row>
    <row r="1956">
      <c r="A1956" s="253" t="s">
        <v>246</v>
      </c>
      <c r="B1956" s="254" t="s">
        <v>6241</v>
      </c>
      <c r="C1956" s="254" t="s">
        <v>6242</v>
      </c>
      <c r="D1956" s="254" t="s">
        <v>6243</v>
      </c>
      <c r="E1956" s="254" t="s">
        <v>6244</v>
      </c>
      <c r="F1956" s="182">
        <v>409.0</v>
      </c>
      <c r="G1956" s="172" t="str">
        <f>IFERROR(__xludf.DUMMYFUNCTION("TRIM(REGEXREPLACE(C1956, ""[0-9]+[a-f]?\."", """"))"),"How much did you share with ${pm_mem_rel_out} (in CFA)?")</f>
        <v>How much did you share with ${pm_mem_rel_out} (in CFA)?</v>
      </c>
      <c r="H1956" s="172" t="str">
        <f>IFERROR(__xludf.DUMMYFUNCTION("TRIM(REGEXREPLACE(D1956, ""[0-9]+[a-f]?\."", """"))"),"Combien avez-vous donné à ${pm_mem_rel_out} (en CFA)?")</f>
        <v>Combien avez-vous donné à ${pm_mem_rel_out} (en CFA)?</v>
      </c>
      <c r="I1956" s="172" t="str">
        <f>IFERROR(__xludf.DUMMYFUNCTION("TRIM(REGEXREPLACE(E1956, ""[0-9]+[a-f]?\."", """"))"),"Nawa kuka ba ${pm_mem_rel_out} (a cikin CFA)?")</f>
        <v>Nawa kuka ba ${pm_mem_rel_out} (a cikin CFA)?</v>
      </c>
      <c r="J1956" s="172" t="str">
        <f t="shared" ref="J1956:L1956" si="432">$F1956 &amp; ". " &amp;G1956</f>
        <v>409. How much did you share with ${pm_mem_rel_out} (in CFA)?</v>
      </c>
      <c r="K1956" s="172" t="str">
        <f t="shared" si="432"/>
        <v>409. Combien avez-vous donné à ${pm_mem_rel_out} (en CFA)?</v>
      </c>
      <c r="L1956" s="172" t="str">
        <f t="shared" si="432"/>
        <v>409. Nawa kuka ba ${pm_mem_rel_out} (a cikin CFA)?</v>
      </c>
    </row>
    <row r="1957">
      <c r="A1957" s="215" t="s">
        <v>6245</v>
      </c>
      <c r="B1957" s="216" t="s">
        <v>6246</v>
      </c>
      <c r="C1957" s="216" t="s">
        <v>6247</v>
      </c>
      <c r="D1957" s="216" t="s">
        <v>6248</v>
      </c>
      <c r="E1957" s="216" t="s">
        <v>6249</v>
      </c>
      <c r="F1957" s="182">
        <v>410.0</v>
      </c>
      <c r="G1957" s="172" t="str">
        <f>IFERROR(__xludf.DUMMYFUNCTION("TRIM(REGEXREPLACE(C1957, ""[0-9]+[a-f]?\."", """"))"),"With the money you shared with ${pm_mem_rel_out} (${pm_cash_share_out_amt}), what do you think they spent it on?")</f>
        <v>With the money you shared with ${pm_mem_rel_out} (${pm_cash_share_out_amt}), what do you think they spent it on?</v>
      </c>
      <c r="H1957" s="172" t="str">
        <f>IFERROR(__xludf.DUMMYFUNCTION("TRIM(REGEXREPLACE(D1957, ""[0-9]+[a-f]?\."", """"))"),"Avec l'argent que vous avez partagé avec ${pm_mem_rel_out} (${pm_cash_share_out_amt}), à quoi pensez-vous qu'ils l'ont dépensé ?")</f>
        <v>Avec l'argent que vous avez partagé avec ${pm_mem_rel_out} (${pm_cash_share_out_amt}), à quoi pensez-vous qu'ils l'ont dépensé ?</v>
      </c>
      <c r="I1957" s="172" t="str">
        <f>IFERROR(__xludf.DUMMYFUNCTION("TRIM(REGEXREPLACE(E1957, ""[0-9]+[a-f]?\."", """"))"),"Da kudin da ka raba da ${pm_mem_rel_out} (${pm_cash_share_out_amt}), a kan me kake ganin suka kashe kuɗin?")</f>
        <v>Da kudin da ka raba da ${pm_mem_rel_out} (${pm_cash_share_out_amt}), a kan me kake ganin suka kashe kuɗin?</v>
      </c>
      <c r="J1957" s="172" t="str">
        <f t="shared" ref="J1957:L1957" si="433">$F1957 &amp; ". " &amp;G1957</f>
        <v>410. With the money you shared with ${pm_mem_rel_out} (${pm_cash_share_out_amt}), what do you think they spent it on?</v>
      </c>
      <c r="K1957" s="172" t="str">
        <f t="shared" si="433"/>
        <v>410. Avec l'argent que vous avez partagé avec ${pm_mem_rel_out} (${pm_cash_share_out_amt}), à quoi pensez-vous qu'ils l'ont dépensé ?</v>
      </c>
      <c r="L1957" s="172" t="str">
        <f t="shared" si="433"/>
        <v>410. Da kudin da ka raba da ${pm_mem_rel_out} (${pm_cash_share_out_amt}), a kan me kake ganin suka kashe kuɗin?</v>
      </c>
    </row>
    <row r="1958">
      <c r="A1958" s="246" t="s">
        <v>231</v>
      </c>
      <c r="B1958" s="247" t="s">
        <v>6250</v>
      </c>
      <c r="C1958" s="247" t="s">
        <v>6251</v>
      </c>
      <c r="D1958" s="247" t="s">
        <v>6252</v>
      </c>
      <c r="E1958" s="247" t="s">
        <v>6253</v>
      </c>
      <c r="F1958" s="182">
        <v>411.0</v>
      </c>
      <c r="G1958" s="172" t="str">
        <f>IFERROR(__xludf.DUMMYFUNCTION("TRIM(REGEXREPLACE(C1958, ""[0-9]+[a-f]?\."", """"))"),"Other, specify:")</f>
        <v>Other, specify:</v>
      </c>
      <c r="H1958" s="172" t="str">
        <f>IFERROR(__xludf.DUMMYFUNCTION("TRIM(REGEXREPLACE(D1958, ""[0-9]+[a-f]?\."", """"))"),"Autre précisez:")</f>
        <v>Autre précisez:</v>
      </c>
      <c r="I1958" s="172" t="str">
        <f>IFERROR(__xludf.DUMMYFUNCTION("TRIM(REGEXREPLACE(E1958, ""[0-9]+[a-f]?\."", """"))"),"Wani daban, baiyana:")</f>
        <v>Wani daban, baiyana:</v>
      </c>
      <c r="J1958" s="172" t="str">
        <f t="shared" ref="J1958:L1958" si="434">$F1958 &amp; ". " &amp;G1958</f>
        <v>411. Other, specify:</v>
      </c>
      <c r="K1958" s="172" t="str">
        <f t="shared" si="434"/>
        <v>411. Autre précisez:</v>
      </c>
      <c r="L1958" s="172" t="str">
        <f t="shared" si="434"/>
        <v>411. Wani daban, baiyana:</v>
      </c>
    </row>
    <row r="1959" hidden="1">
      <c r="A1959" s="211" t="s">
        <v>107</v>
      </c>
      <c r="B1959" s="212" t="s">
        <v>6254</v>
      </c>
      <c r="C1959" s="214"/>
      <c r="D1959" s="214"/>
      <c r="E1959" s="214"/>
    </row>
    <row r="1960">
      <c r="A1960" s="207" t="s">
        <v>41</v>
      </c>
      <c r="B1960" s="208" t="s">
        <v>6255</v>
      </c>
      <c r="C1960" s="208" t="s">
        <v>6256</v>
      </c>
      <c r="D1960" s="208" t="s">
        <v>6257</v>
      </c>
      <c r="E1960" s="208" t="s">
        <v>6258</v>
      </c>
      <c r="F1960" s="182">
        <v>412.0</v>
      </c>
      <c r="G1960" s="172" t="str">
        <f>IFERROR(__xludf.DUMMYFUNCTION("TRIM(REGEXREPLACE(C1960, ""[0-9]+[a-f]?\."", """"))"),"How much do you think they spent on [...]?")</f>
        <v>How much do you think they spent on [...]?</v>
      </c>
      <c r="H1960" s="172" t="str">
        <f>IFERROR(__xludf.DUMMYFUNCTION("TRIM(REGEXREPLACE(D1960, ""[0-9]+[a-f]?\."", """"))"),"Combien pensez-vous qu'ils ont dépensé pour [...] ?")</f>
        <v>Combien pensez-vous qu'ils ont dépensé pour [...] ?</v>
      </c>
      <c r="I1960" s="172" t="str">
        <f>IFERROR(__xludf.DUMMYFUNCTION("TRIM(REGEXREPLACE(E1960, ""[0-9]+[a-f]?\."", """"))"),"Nawa kake tsammani suka kashe akan [...]?")</f>
        <v>Nawa kake tsammani suka kashe akan [...]?</v>
      </c>
      <c r="J1960" s="172" t="str">
        <f t="shared" ref="J1960:L1960" si="435">$F1960 &amp; ". " &amp;G1960</f>
        <v>412. How much do you think they spent on [...]?</v>
      </c>
      <c r="K1960" s="172" t="str">
        <f t="shared" si="435"/>
        <v>412. Combien pensez-vous qu'ils ont dépensé pour [...] ?</v>
      </c>
      <c r="L1960" s="172" t="str">
        <f t="shared" si="435"/>
        <v>412. Nawa kake tsammani suka kashe akan [...]?</v>
      </c>
    </row>
    <row r="1961">
      <c r="A1961" s="253" t="s">
        <v>246</v>
      </c>
      <c r="B1961" s="254" t="s">
        <v>6259</v>
      </c>
      <c r="C1961" s="254" t="s">
        <v>6260</v>
      </c>
      <c r="D1961" s="254" t="s">
        <v>6261</v>
      </c>
      <c r="E1961" s="254" t="s">
        <v>6262</v>
      </c>
      <c r="F1961" s="182">
        <v>413.0</v>
      </c>
      <c r="G1961" s="172" t="str">
        <f>IFERROR(__xludf.DUMMYFUNCTION("TRIM(REGEXREPLACE(C1961, ""[0-9]+[a-f]?\."", """"))"),"Food")</f>
        <v>Food</v>
      </c>
      <c r="H1961" s="172" t="str">
        <f>IFERROR(__xludf.DUMMYFUNCTION("TRIM(REGEXREPLACE(D1961, ""[0-9]+[a-f]?\."", """"))"),"Nourriture")</f>
        <v>Nourriture</v>
      </c>
      <c r="I1961" s="172" t="str">
        <f>IFERROR(__xludf.DUMMYFUNCTION("TRIM(REGEXREPLACE(E1961, ""[0-9]+[a-f]?\."", """"))"),"Abinci")</f>
        <v>Abinci</v>
      </c>
      <c r="J1961" s="172" t="str">
        <f t="shared" ref="J1961:L1961" si="436">$F1961 &amp; ". " &amp;G1961</f>
        <v>413. Food</v>
      </c>
      <c r="K1961" s="172" t="str">
        <f t="shared" si="436"/>
        <v>413. Nourriture</v>
      </c>
      <c r="L1961" s="172" t="str">
        <f t="shared" si="436"/>
        <v>413. Abinci</v>
      </c>
    </row>
    <row r="1962">
      <c r="A1962" s="253" t="s">
        <v>246</v>
      </c>
      <c r="B1962" s="254" t="s">
        <v>6263</v>
      </c>
      <c r="C1962" s="254" t="s">
        <v>6264</v>
      </c>
      <c r="D1962" s="254" t="s">
        <v>6265</v>
      </c>
      <c r="E1962" s="254" t="s">
        <v>6266</v>
      </c>
      <c r="F1962" s="182">
        <v>414.0</v>
      </c>
      <c r="G1962" s="172" t="str">
        <f>IFERROR(__xludf.DUMMYFUNCTION("TRIM(REGEXREPLACE(C1962, ""[0-9]+[a-f]?\."", """"))"),"Other household expenditure")</f>
        <v>Other household expenditure</v>
      </c>
      <c r="H1962" s="172" t="str">
        <f>IFERROR(__xludf.DUMMYFUNCTION("TRIM(REGEXREPLACE(D1962, ""[0-9]+[a-f]?\."", """"))"),"Autres dépenses du ménage")</f>
        <v>Autres dépenses du ménage</v>
      </c>
      <c r="I1962" s="172" t="str">
        <f>IFERROR(__xludf.DUMMYFUNCTION("TRIM(REGEXREPLACE(E1962, ""[0-9]+[a-f]?\."", """"))"),"Sauran kashe-kashen kuɗin gida")</f>
        <v>Sauran kashe-kashen kuɗin gida</v>
      </c>
      <c r="J1962" s="172" t="str">
        <f t="shared" ref="J1962:L1962" si="437">$F1962 &amp; ". " &amp;G1962</f>
        <v>414. Other household expenditure</v>
      </c>
      <c r="K1962" s="172" t="str">
        <f t="shared" si="437"/>
        <v>414. Autres dépenses du ménage</v>
      </c>
      <c r="L1962" s="172" t="str">
        <f t="shared" si="437"/>
        <v>414. Sauran kashe-kashen kuɗin gida</v>
      </c>
    </row>
    <row r="1963">
      <c r="A1963" s="253" t="s">
        <v>246</v>
      </c>
      <c r="B1963" s="254" t="s">
        <v>6267</v>
      </c>
      <c r="C1963" s="254" t="s">
        <v>6268</v>
      </c>
      <c r="D1963" s="254" t="s">
        <v>6269</v>
      </c>
      <c r="E1963" s="254" t="s">
        <v>6270</v>
      </c>
      <c r="F1963" s="182">
        <v>415.0</v>
      </c>
      <c r="G1963" s="172" t="str">
        <f>IFERROR(__xludf.DUMMYFUNCTION("TRIM(REGEXREPLACE(C1963, ""[0-9]+[a-f]?\."", """"))"),"Investments in agriculture and/or business")</f>
        <v>Investments in agriculture and/or business</v>
      </c>
      <c r="H1963" s="172" t="str">
        <f>IFERROR(__xludf.DUMMYFUNCTION("TRIM(REGEXREPLACE(D1963, ""[0-9]+[a-f]?\."", """"))"),"Investissements dans l'agriculture et/ou le commerce")</f>
        <v>Investissements dans l'agriculture et/ou le commerce</v>
      </c>
      <c r="I1963" s="172" t="str">
        <f>IFERROR(__xludf.DUMMYFUNCTION("TRIM(REGEXREPLACE(E1963, ""[0-9]+[a-f]?\."", """"))"),"Zuba jari a harkar noma da/ko kasuwanci")</f>
        <v>Zuba jari a harkar noma da/ko kasuwanci</v>
      </c>
      <c r="J1963" s="172" t="str">
        <f t="shared" ref="J1963:L1963" si="438">$F1963 &amp; ". " &amp;G1963</f>
        <v>415. Investments in agriculture and/or business</v>
      </c>
      <c r="K1963" s="172" t="str">
        <f t="shared" si="438"/>
        <v>415. Investissements dans l'agriculture et/ou le commerce</v>
      </c>
      <c r="L1963" s="172" t="str">
        <f t="shared" si="438"/>
        <v>415. Zuba jari a harkar noma da/ko kasuwanci</v>
      </c>
    </row>
    <row r="1964">
      <c r="A1964" s="253" t="s">
        <v>246</v>
      </c>
      <c r="B1964" s="254" t="s">
        <v>6271</v>
      </c>
      <c r="C1964" s="254" t="s">
        <v>3534</v>
      </c>
      <c r="D1964" s="254" t="s">
        <v>3535</v>
      </c>
      <c r="E1964" s="254" t="s">
        <v>3536</v>
      </c>
      <c r="F1964" s="182">
        <v>416.0</v>
      </c>
      <c r="G1964" s="172" t="str">
        <f>IFERROR(__xludf.DUMMYFUNCTION("TRIM(REGEXREPLACE(C1964, ""[0-9]+[a-f]?\."", """"))"),"Savings")</f>
        <v>Savings</v>
      </c>
      <c r="H1964" s="172" t="str">
        <f>IFERROR(__xludf.DUMMYFUNCTION("TRIM(REGEXREPLACE(D1964, ""[0-9]+[a-f]?\."", """"))"),"Épargne")</f>
        <v>Épargne</v>
      </c>
      <c r="I1964" s="172" t="str">
        <f>IFERROR(__xludf.DUMMYFUNCTION("TRIM(REGEXREPLACE(E1964, ""[0-9]+[a-f]?\."", """"))"),"Ajiya")</f>
        <v>Ajiya</v>
      </c>
      <c r="J1964" s="172" t="str">
        <f t="shared" ref="J1964:L1964" si="439">$F1964 &amp; ". " &amp;G1964</f>
        <v>416. Savings</v>
      </c>
      <c r="K1964" s="172" t="str">
        <f t="shared" si="439"/>
        <v>416. Épargne</v>
      </c>
      <c r="L1964" s="172" t="str">
        <f t="shared" si="439"/>
        <v>416. Ajiya</v>
      </c>
    </row>
    <row r="1965">
      <c r="A1965" s="253" t="s">
        <v>246</v>
      </c>
      <c r="B1965" s="254" t="s">
        <v>6272</v>
      </c>
      <c r="C1965" s="254" t="s">
        <v>6273</v>
      </c>
      <c r="D1965" s="254" t="s">
        <v>6274</v>
      </c>
      <c r="E1965" s="254" t="s">
        <v>6275</v>
      </c>
      <c r="F1965" s="182">
        <v>417.0</v>
      </c>
      <c r="G1965" s="172" t="str">
        <f>IFERROR(__xludf.DUMMYFUNCTION("TRIM(REGEXREPLACE(C1965, ""[0-9]+[a-f]?\."", """"))"),"Debt repayment")</f>
        <v>Debt repayment</v>
      </c>
      <c r="H1965" s="172" t="str">
        <f>IFERROR(__xludf.DUMMYFUNCTION("TRIM(REGEXREPLACE(D1965, ""[0-9]+[a-f]?\."", """"))"),"Remboursement des dettes")</f>
        <v>Remboursement des dettes</v>
      </c>
      <c r="I1965" s="172" t="str">
        <f>IFERROR(__xludf.DUMMYFUNCTION("TRIM(REGEXREPLACE(E1965, ""[0-9]+[a-f]?\."", """"))"),"Biyan bashi")</f>
        <v>Biyan bashi</v>
      </c>
      <c r="J1965" s="172" t="str">
        <f t="shared" ref="J1965:L1965" si="440">$F1965 &amp; ". " &amp;G1965</f>
        <v>417. Debt repayment</v>
      </c>
      <c r="K1965" s="172" t="str">
        <f t="shared" si="440"/>
        <v>417. Remboursement des dettes</v>
      </c>
      <c r="L1965" s="172" t="str">
        <f t="shared" si="440"/>
        <v>417. Biyan bashi</v>
      </c>
    </row>
    <row r="1966">
      <c r="A1966" s="253" t="s">
        <v>246</v>
      </c>
      <c r="B1966" s="254" t="s">
        <v>6276</v>
      </c>
      <c r="C1966" s="254" t="s">
        <v>6277</v>
      </c>
      <c r="D1966" s="254" t="s">
        <v>6278</v>
      </c>
      <c r="E1966" s="254" t="s">
        <v>6279</v>
      </c>
      <c r="F1966" s="182">
        <v>418.0</v>
      </c>
      <c r="G1966" s="172" t="str">
        <f>IFERROR(__xludf.DUMMYFUNCTION("TRIM(REGEXREPLACE(C1966, ""[0-9]+[a-f]?\."", """"))"),"Housing cost payments")</f>
        <v>Housing cost payments</v>
      </c>
      <c r="H1966" s="172" t="str">
        <f>IFERROR(__xludf.DUMMYFUNCTION("TRIM(REGEXREPLACE(D1966, ""[0-9]+[a-f]?\."", """"))"),"Paiement des frais de logement")</f>
        <v>Paiement des frais de logement</v>
      </c>
      <c r="I1966" s="172" t="str">
        <f>IFERROR(__xludf.DUMMYFUNCTION("TRIM(REGEXREPLACE(E1966, ""[0-9]+[a-f]?\."", """"))"),"Biyan kudin haya")</f>
        <v>Biyan kudin haya</v>
      </c>
      <c r="J1966" s="172" t="str">
        <f t="shared" ref="J1966:L1966" si="441">$F1966 &amp; ". " &amp;G1966</f>
        <v>418. Housing cost payments</v>
      </c>
      <c r="K1966" s="172" t="str">
        <f t="shared" si="441"/>
        <v>418. Paiement des frais de logement</v>
      </c>
      <c r="L1966" s="172" t="str">
        <f t="shared" si="441"/>
        <v>418. Biyan kudin haya</v>
      </c>
    </row>
    <row r="1967">
      <c r="A1967" s="253" t="s">
        <v>246</v>
      </c>
      <c r="B1967" s="254" t="s">
        <v>6280</v>
      </c>
      <c r="C1967" s="254" t="s">
        <v>6281</v>
      </c>
      <c r="D1967" s="254" t="s">
        <v>6282</v>
      </c>
      <c r="E1967" s="254" t="s">
        <v>6283</v>
      </c>
      <c r="F1967" s="182">
        <v>419.0</v>
      </c>
      <c r="G1967" s="172" t="str">
        <f>IFERROR(__xludf.DUMMYFUNCTION("TRIM(REGEXREPLACE(C1967, ""[0-9]+[a-f]?\."", """"))"),"Education/Training payments")</f>
        <v>Education/Training payments</v>
      </c>
      <c r="H1967" s="172" t="str">
        <f>IFERROR(__xludf.DUMMYFUNCTION("TRIM(REGEXREPLACE(D1967, ""[0-9]+[a-f]?\."", """"))"),"Paiements pour études/formation")</f>
        <v>Paiements pour études/formation</v>
      </c>
      <c r="I1967" s="172" t="str">
        <f>IFERROR(__xludf.DUMMYFUNCTION("TRIM(REGEXREPLACE(E1967, ""[0-9]+[a-f]?\."", """"))"),"Biyan kuɗi na ilimi / horo")</f>
        <v>Biyan kuɗi na ilimi / horo</v>
      </c>
      <c r="J1967" s="172" t="str">
        <f t="shared" ref="J1967:L1967" si="442">$F1967 &amp; ". " &amp;G1967</f>
        <v>419. Education/Training payments</v>
      </c>
      <c r="K1967" s="172" t="str">
        <f t="shared" si="442"/>
        <v>419. Paiements pour études/formation</v>
      </c>
      <c r="L1967" s="172" t="str">
        <f t="shared" si="442"/>
        <v>419. Biyan kuɗi na ilimi / horo</v>
      </c>
    </row>
    <row r="1968">
      <c r="A1968" s="253" t="s">
        <v>246</v>
      </c>
      <c r="B1968" s="254" t="s">
        <v>6284</v>
      </c>
      <c r="C1968" s="254" t="s">
        <v>6285</v>
      </c>
      <c r="D1968" s="254" t="s">
        <v>6286</v>
      </c>
      <c r="E1968" s="254" t="s">
        <v>6287</v>
      </c>
      <c r="F1968" s="182">
        <v>420.0</v>
      </c>
      <c r="G1968" s="172" t="str">
        <f>IFERROR(__xludf.DUMMYFUNCTION("TRIM(REGEXREPLACE(C1968, ""[0-9]+[a-f]?\."", """"))"),"Health expenditures")</f>
        <v>Health expenditures</v>
      </c>
      <c r="H1968" s="172" t="str">
        <f>IFERROR(__xludf.DUMMYFUNCTION("TRIM(REGEXREPLACE(D1968, ""[0-9]+[a-f]?\."", """"))"),"Dépenses de santé")</f>
        <v>Dépenses de santé</v>
      </c>
      <c r="I1968" s="172" t="str">
        <f>IFERROR(__xludf.DUMMYFUNCTION("TRIM(REGEXREPLACE(E1968, ""[0-9]+[a-f]?\."", """"))"),"Kuɗin kiwon lafiya")</f>
        <v>Kuɗin kiwon lafiya</v>
      </c>
      <c r="J1968" s="172" t="str">
        <f t="shared" ref="J1968:L1968" si="443">$F1968 &amp; ". " &amp;G1968</f>
        <v>420. Health expenditures</v>
      </c>
      <c r="K1968" s="172" t="str">
        <f t="shared" si="443"/>
        <v>420. Dépenses de santé</v>
      </c>
      <c r="L1968" s="172" t="str">
        <f t="shared" si="443"/>
        <v>420. Kuɗin kiwon lafiya</v>
      </c>
    </row>
    <row r="1969">
      <c r="A1969" s="253" t="s">
        <v>246</v>
      </c>
      <c r="B1969" s="254" t="s">
        <v>6288</v>
      </c>
      <c r="C1969" s="254" t="s">
        <v>6289</v>
      </c>
      <c r="D1969" s="254" t="s">
        <v>6290</v>
      </c>
      <c r="E1969" s="254" t="s">
        <v>6291</v>
      </c>
      <c r="F1969" s="182">
        <v>421.0</v>
      </c>
      <c r="G1969" s="172" t="str">
        <f>IFERROR(__xludf.DUMMYFUNCTION("TRIM(REGEXREPLACE(C1969, ""[0-9]+[a-f]?\."", """"))"),"Migration cost payments")</f>
        <v>Migration cost payments</v>
      </c>
      <c r="H1969" s="172" t="str">
        <f>IFERROR(__xludf.DUMMYFUNCTION("TRIM(REGEXREPLACE(D1969, ""[0-9]+[a-f]?\."", """"))"),"Paiement des frais de migration")</f>
        <v>Paiement des frais de migration</v>
      </c>
      <c r="I1969" s="172" t="str">
        <f>IFERROR(__xludf.DUMMYFUNCTION("TRIM(REGEXREPLACE(E1969, ""[0-9]+[a-f]?\."", """"))"),"Kashe kuɗin zuwa biɗa")</f>
        <v>Kashe kuɗin zuwa biɗa</v>
      </c>
      <c r="J1969" s="172" t="str">
        <f t="shared" ref="J1969:L1969" si="444">$F1969 &amp; ". " &amp;G1969</f>
        <v>421. Migration cost payments</v>
      </c>
      <c r="K1969" s="172" t="str">
        <f t="shared" si="444"/>
        <v>421. Paiement des frais de migration</v>
      </c>
      <c r="L1969" s="172" t="str">
        <f t="shared" si="444"/>
        <v>421. Kashe kuɗin zuwa biɗa</v>
      </c>
    </row>
    <row r="1970">
      <c r="A1970" s="253" t="s">
        <v>246</v>
      </c>
      <c r="B1970" s="254" t="s">
        <v>6292</v>
      </c>
      <c r="C1970" s="254" t="s">
        <v>6293</v>
      </c>
      <c r="D1970" s="254" t="s">
        <v>6294</v>
      </c>
      <c r="E1970" s="254" t="s">
        <v>6295</v>
      </c>
      <c r="F1970" s="182">
        <v>422.0</v>
      </c>
      <c r="G1970" s="172" t="str">
        <f>IFERROR(__xludf.DUMMYFUNCTION("TRIM(REGEXREPLACE(C1970, ""[0-9]+[a-f]?\."", """"))"),"Ceremonies")</f>
        <v>Ceremonies</v>
      </c>
      <c r="H1970" s="172" t="str">
        <f>IFERROR(__xludf.DUMMYFUNCTION("TRIM(REGEXREPLACE(D1970, ""[0-9]+[a-f]?\."", """"))"),"Cérémonies")</f>
        <v>Cérémonies</v>
      </c>
      <c r="I1970" s="172" t="str">
        <f>IFERROR(__xludf.DUMMYFUNCTION("TRIM(REGEXREPLACE(E1970, ""[0-9]+[a-f]?\."", """"))"),"Bukukuwa")</f>
        <v>Bukukuwa</v>
      </c>
      <c r="J1970" s="172" t="str">
        <f t="shared" ref="J1970:L1970" si="445">$F1970 &amp; ". " &amp;G1970</f>
        <v>422. Ceremonies</v>
      </c>
      <c r="K1970" s="172" t="str">
        <f t="shared" si="445"/>
        <v>422. Cérémonies</v>
      </c>
      <c r="L1970" s="172" t="str">
        <f t="shared" si="445"/>
        <v>422. Bukukuwa</v>
      </c>
    </row>
    <row r="1971">
      <c r="A1971" s="253" t="s">
        <v>246</v>
      </c>
      <c r="B1971" s="254" t="s">
        <v>6296</v>
      </c>
      <c r="C1971" s="254" t="s">
        <v>3566</v>
      </c>
      <c r="D1971" s="254" t="s">
        <v>3567</v>
      </c>
      <c r="E1971" s="254" t="s">
        <v>3568</v>
      </c>
      <c r="F1971" s="182">
        <v>423.0</v>
      </c>
      <c r="G1971" s="172" t="str">
        <f>IFERROR(__xludf.DUMMYFUNCTION("TRIM(REGEXREPLACE(C1971, ""[0-9]+[a-f]?\."", """"))"),"Other")</f>
        <v>Other</v>
      </c>
      <c r="H1971" s="172" t="str">
        <f>IFERROR(__xludf.DUMMYFUNCTION("TRIM(REGEXREPLACE(D1971, ""[0-9]+[a-f]?\."", """"))"),"Autres")</f>
        <v>Autres</v>
      </c>
      <c r="I1971" s="172" t="str">
        <f>IFERROR(__xludf.DUMMYFUNCTION("TRIM(REGEXREPLACE(E1971, ""[0-9]+[a-f]?\."", """"))"),"Wasu")</f>
        <v>Wasu</v>
      </c>
      <c r="J1971" s="172" t="str">
        <f t="shared" ref="J1971:L1971" si="446">$F1971 &amp; ". " &amp;G1971</f>
        <v>423. Other</v>
      </c>
      <c r="K1971" s="172" t="str">
        <f t="shared" si="446"/>
        <v>423. Autres</v>
      </c>
      <c r="L1971" s="172" t="str">
        <f t="shared" si="446"/>
        <v>423. Wasu</v>
      </c>
    </row>
    <row r="1972" hidden="1">
      <c r="A1972" s="211" t="s">
        <v>238</v>
      </c>
      <c r="B1972" s="224" t="s">
        <v>6254</v>
      </c>
      <c r="C1972" s="225"/>
      <c r="D1972" s="225"/>
      <c r="E1972" s="225"/>
    </row>
    <row r="1973" hidden="1">
      <c r="A1973" s="188" t="s">
        <v>68</v>
      </c>
      <c r="B1973" s="189" t="s">
        <v>6297</v>
      </c>
      <c r="C1973" s="190"/>
      <c r="D1973" s="190"/>
      <c r="E1973" s="190"/>
    </row>
    <row r="1974">
      <c r="A1974" s="207" t="s">
        <v>41</v>
      </c>
      <c r="B1974" s="208" t="s">
        <v>6298</v>
      </c>
      <c r="C1974" s="208" t="s">
        <v>3579</v>
      </c>
      <c r="D1974" s="208" t="s">
        <v>6299</v>
      </c>
      <c r="E1974" s="208" t="s">
        <v>6300</v>
      </c>
      <c r="F1974" s="182">
        <v>424.0</v>
      </c>
      <c r="G1974" s="172" t="str">
        <f>IFERROR(__xludf.DUMMYFUNCTION("TRIM(REGEXREPLACE(C1974, ""[0-9]+[a-f]?\."", """"))"),"ENUMERATOR: The total amount spent on the above categories (${pm_cash_shared_out_tot}) is not equal to the amount the respondent shared (${pm_cash_share_out_amt}). Please return and correct responses.")</f>
        <v>ENUMERATOR: The total amount spent on the above categories (${pm_cash_shared_out_tot}) is not equal to the amount the respondent shared (${pm_cash_share_out_amt}). Please return and correct responses.</v>
      </c>
      <c r="H1974" s="172" t="str">
        <f>IFERROR(__xludf.DUMMYFUNCTION("TRIM(REGEXREPLACE(D1974, ""[0-9]+[a-f]?\."", """"))"),"ENUMÉRATEUR : Le montant total dépensé pour les catégories ci-dessus (${pm_cash_shared_out_tot}) n'est pas égal au montant partagé par le répondant (${pm_cash_share_out_amt}). Veuillez revenir pour corriger les réponses.")</f>
        <v>ENUMÉRATEUR : Le montant total dépensé pour les catégories ci-dessus (${pm_cash_shared_out_tot}) n'est pas égal au montant partagé par le répondant (${pm_cash_share_out_amt}). Veuillez revenir pour corriger les réponses.</v>
      </c>
      <c r="I1974" s="172" t="str">
        <f>IFERROR(__xludf.DUMMYFUNCTION("TRIM(REGEXREPLACE(E1974, ""[0-9]+[a-f]?\."", """"))"),"Mai bincike: Jimillar adadin kuɗin da aka kashe akan nau'ikan da ke sama (${pm_cash_shared_out_tot}) bai yi daidai da adadin da (${pm_cash_share_out_amt}) ya raba ba. Da fatan za a dawo a gyara amsoshin.")</f>
        <v>Mai bincike: Jimillar adadin kuɗin da aka kashe akan nau'ikan da ke sama (${pm_cash_shared_out_tot}) bai yi daidai da adadin da (${pm_cash_share_out_amt}) ya raba ba. Da fatan za a dawo a gyara amsoshin.</v>
      </c>
      <c r="J1974" s="172" t="str">
        <f t="shared" ref="J1974:L1974" si="447">$F1974 &amp; ". " &amp;G1974</f>
        <v>424. ENUMERATOR: The total amount spent on the above categories (${pm_cash_shared_out_tot}) is not equal to the amount the respondent shared (${pm_cash_share_out_amt}). Please return and correct responses.</v>
      </c>
      <c r="K1974" s="172" t="str">
        <f t="shared" si="447"/>
        <v>424. ENUMÉRATEUR : Le montant total dépensé pour les catégories ci-dessus (${pm_cash_shared_out_tot}) n'est pas égal au montant partagé par le répondant (${pm_cash_share_out_amt}). Veuillez revenir pour corriger les réponses.</v>
      </c>
      <c r="L1974" s="172" t="str">
        <f t="shared" si="447"/>
        <v>424. Mai bincike: Jimillar adadin kuɗin da aka kashe akan nau'ikan da ke sama (${pm_cash_shared_out_tot}) bai yi daidai da adadin da (${pm_cash_share_out_amt}) ya raba ba. Da fatan za a dawo a gyara amsoshin.</v>
      </c>
    </row>
    <row r="1975" hidden="1">
      <c r="A1975" s="255" t="s">
        <v>1064</v>
      </c>
      <c r="B1975" s="261" t="s">
        <v>6238</v>
      </c>
      <c r="C1975" s="261" t="s">
        <v>6239</v>
      </c>
      <c r="D1975" s="262"/>
      <c r="E1975" s="262"/>
    </row>
    <row r="1976">
      <c r="A1976" s="215" t="s">
        <v>353</v>
      </c>
      <c r="B1976" s="216" t="s">
        <v>6301</v>
      </c>
      <c r="C1976" s="216" t="s">
        <v>3581</v>
      </c>
      <c r="D1976" s="216" t="s">
        <v>3582</v>
      </c>
      <c r="E1976" s="216" t="s">
        <v>3583</v>
      </c>
      <c r="F1976" s="182">
        <v>425.0</v>
      </c>
      <c r="G1976" s="172" t="str">
        <f>IFERROR(__xludf.DUMMYFUNCTION("TRIM(REGEXREPLACE(C1976, ""[0-9]+[a-f]?\."", """"))"),"Did you share information you learned in the PPM program with people outside your household?")</f>
        <v>Did you share information you learned in the PPM program with people outside your household?</v>
      </c>
      <c r="H1976" s="172" t="str">
        <f>IFERROR(__xludf.DUMMYFUNCTION("TRIM(REGEXREPLACE(D1976, ""[0-9]+[a-f]?\."", """"))"),"Avez-vous partagé les informations que vous avez apprises dans le cadre du programme PPM avec des personnes extérieures à votre ménage ?")</f>
        <v>Avez-vous partagé les informations que vous avez apprises dans le cadre du programme PPM avec des personnes extérieures à votre ménage ?</v>
      </c>
      <c r="I1976" s="172" t="str">
        <f>IFERROR(__xludf.DUMMYFUNCTION("TRIM(REGEXREPLACE(E1976, ""[0-9]+[a-f]?\."", """"))"),"Ko ka bada bayanin da ka koya a cikin shirin PPM tare da mutanen da ke wajen gidanku?")</f>
        <v>Ko ka bada bayanin da ka koya a cikin shirin PPM tare da mutanen da ke wajen gidanku?</v>
      </c>
      <c r="J1976" s="172" t="str">
        <f t="shared" ref="J1976:L1976" si="448">$F1976 &amp; ". " &amp;G1976</f>
        <v>425. Did you share information you learned in the PPM program with people outside your household?</v>
      </c>
      <c r="K1976" s="172" t="str">
        <f t="shared" si="448"/>
        <v>425. Avez-vous partagé les informations que vous avez apprises dans le cadre du programme PPM avec des personnes extérieures à votre ménage ?</v>
      </c>
      <c r="L1976" s="172" t="str">
        <f t="shared" si="448"/>
        <v>425. Ko ka bada bayanin da ka koya a cikin shirin PPM tare da mutanen da ke wajen gidanku?</v>
      </c>
    </row>
    <row r="1977">
      <c r="A1977" s="215" t="s">
        <v>6302</v>
      </c>
      <c r="B1977" s="216" t="s">
        <v>6303</v>
      </c>
      <c r="C1977" s="216" t="s">
        <v>3585</v>
      </c>
      <c r="D1977" s="216" t="s">
        <v>3586</v>
      </c>
      <c r="E1977" s="216" t="s">
        <v>3587</v>
      </c>
      <c r="F1977" s="182">
        <v>426.0</v>
      </c>
      <c r="G1977" s="172" t="str">
        <f>IFERROR(__xludf.DUMMYFUNCTION("TRIM(REGEXREPLACE(C1977, ""[0-9]+[a-f]?\."", """"))"),"What information did you share with them?")</f>
        <v>What information did you share with them?</v>
      </c>
      <c r="H1977" s="172" t="str">
        <f>IFERROR(__xludf.DUMMYFUNCTION("TRIM(REGEXREPLACE(D1977, ""[0-9]+[a-f]?\."", """"))"),"Quelles informations avez-vous partagées avec eux ?")</f>
        <v>Quelles informations avez-vous partagées avec eux ?</v>
      </c>
      <c r="I1977" s="172" t="str">
        <f>IFERROR(__xludf.DUMMYFUNCTION("TRIM(REGEXREPLACE(E1977, ""[0-9]+[a-f]?\."", """"))"),"Wane bayani ka ba su?")</f>
        <v>Wane bayani ka ba su?</v>
      </c>
      <c r="J1977" s="172" t="str">
        <f t="shared" ref="J1977:L1977" si="449">$F1977 &amp; ". " &amp;G1977</f>
        <v>426. What information did you share with them?</v>
      </c>
      <c r="K1977" s="172" t="str">
        <f t="shared" si="449"/>
        <v>426. Quelles informations avez-vous partagées avec eux ?</v>
      </c>
      <c r="L1977" s="172" t="str">
        <f t="shared" si="449"/>
        <v>426. Wane bayani ka ba su?</v>
      </c>
    </row>
    <row r="1978" hidden="1">
      <c r="A1978" s="188" t="s">
        <v>118</v>
      </c>
      <c r="B1978" s="279" t="s">
        <v>6304</v>
      </c>
      <c r="C1978" s="190"/>
      <c r="D1978" s="190"/>
      <c r="E1978" s="190"/>
    </row>
    <row r="1979" hidden="1">
      <c r="A1979" s="188" t="s">
        <v>68</v>
      </c>
      <c r="B1979" s="189" t="s">
        <v>6305</v>
      </c>
      <c r="C1979" s="190"/>
      <c r="D1979" s="190"/>
      <c r="E1979" s="190"/>
    </row>
    <row r="1980" hidden="1">
      <c r="A1980" s="188" t="s">
        <v>118</v>
      </c>
      <c r="B1980" s="279" t="s">
        <v>6306</v>
      </c>
      <c r="C1980" s="190"/>
      <c r="D1980" s="190"/>
      <c r="E1980" s="190"/>
    </row>
    <row r="1981">
      <c r="A1981" s="215" t="s">
        <v>353</v>
      </c>
      <c r="B1981" s="216" t="s">
        <v>6307</v>
      </c>
      <c r="C1981" s="216" t="s">
        <v>3598</v>
      </c>
      <c r="D1981" s="216" t="s">
        <v>3599</v>
      </c>
      <c r="E1981" s="216" t="s">
        <v>3600</v>
      </c>
      <c r="F1981" s="182">
        <v>427.0</v>
      </c>
      <c r="G1981" s="172" t="str">
        <f>IFERROR(__xludf.DUMMYFUNCTION("TRIM(REGEXREPLACE(C1981, ""[0-9]+[a-f]?\."", """"))"),"Did you share the cash with anyone within the Household?")</f>
        <v>Did you share the cash with anyone within the Household?</v>
      </c>
      <c r="H1981" s="172" t="str">
        <f>IFERROR(__xludf.DUMMYFUNCTION("TRIM(REGEXREPLACE(D1981, ""[0-9]+[a-f]?\."", """"))"),"Avez-vous partagé l'argent avec quelqu'un au sein du ménage ?")</f>
        <v>Avez-vous partagé l'argent avec quelqu'un au sein du ménage ?</v>
      </c>
      <c r="I1981" s="172" t="str">
        <f>IFERROR(__xludf.DUMMYFUNCTION("TRIM(REGEXREPLACE(E1981, ""[0-9]+[a-f]?\."", """"))"),"Ko kun raba kuɗin tare da kowa a cikin Gidan?")</f>
        <v>Ko kun raba kuɗin tare da kowa a cikin Gidan?</v>
      </c>
      <c r="J1981" s="172" t="str">
        <f t="shared" ref="J1981:L1981" si="450">$F1981 &amp; ". " &amp;G1981</f>
        <v>427. Did you share the cash with anyone within the Household?</v>
      </c>
      <c r="K1981" s="172" t="str">
        <f t="shared" si="450"/>
        <v>427. Avez-vous partagé l'argent avec quelqu'un au sein du ménage ?</v>
      </c>
      <c r="L1981" s="172" t="str">
        <f t="shared" si="450"/>
        <v>427. Ko kun raba kuɗin tare da kowa a cikin Gidan?</v>
      </c>
    </row>
    <row r="1982">
      <c r="A1982" s="215" t="s">
        <v>6232</v>
      </c>
      <c r="B1982" s="216" t="s">
        <v>6308</v>
      </c>
      <c r="C1982" s="216" t="s">
        <v>3602</v>
      </c>
      <c r="D1982" s="216" t="s">
        <v>3603</v>
      </c>
      <c r="E1982" s="216" t="s">
        <v>3604</v>
      </c>
      <c r="F1982" s="182">
        <v>428.0</v>
      </c>
      <c r="G1982" s="172" t="str">
        <f>IFERROR(__xludf.DUMMYFUNCTION("TRIM(REGEXREPLACE(C1982, ""[0-9]+[a-f]?\."", """"))"),"Who did you share with?")</f>
        <v>Who did you share with?</v>
      </c>
      <c r="H1982" s="172" t="str">
        <f>IFERROR(__xludf.DUMMYFUNCTION("TRIM(REGEXREPLACE(D1982, ""[0-9]+[a-f]?\."", """"))"),"Avec qui avez-vous partagé l'argent?")</f>
        <v>Avec qui avez-vous partagé l'argent?</v>
      </c>
      <c r="I1982" s="172" t="str">
        <f>IFERROR(__xludf.DUMMYFUNCTION("TRIM(REGEXREPLACE(E1982, ""[0-9]+[a-f]?\."", """"))"),"Wanene kuka ba wannan kudin?")</f>
        <v>Wanene kuka ba wannan kudin?</v>
      </c>
      <c r="J1982" s="172" t="str">
        <f t="shared" ref="J1982:L1982" si="451">$F1982 &amp; ". " &amp;G1982</f>
        <v>428. Who did you share with?</v>
      </c>
      <c r="K1982" s="172" t="str">
        <f t="shared" si="451"/>
        <v>428. Avec qui avez-vous partagé l'argent?</v>
      </c>
      <c r="L1982" s="172" t="str">
        <f t="shared" si="451"/>
        <v>428. Wanene kuka ba wannan kudin?</v>
      </c>
    </row>
    <row r="1983" hidden="1">
      <c r="A1983" s="255" t="s">
        <v>1042</v>
      </c>
      <c r="B1983" s="256" t="s">
        <v>6309</v>
      </c>
      <c r="C1983" s="256" t="s">
        <v>6310</v>
      </c>
      <c r="D1983" s="257"/>
      <c r="E1983" s="257"/>
    </row>
    <row r="1984" hidden="1">
      <c r="A1984" s="188" t="s">
        <v>68</v>
      </c>
      <c r="B1984" s="189" t="s">
        <v>6311</v>
      </c>
      <c r="C1984" s="190"/>
      <c r="D1984" s="190"/>
      <c r="E1984" s="190"/>
    </row>
    <row r="1985">
      <c r="A1985" s="253" t="s">
        <v>246</v>
      </c>
      <c r="B1985" s="254" t="s">
        <v>6312</v>
      </c>
      <c r="C1985" s="254" t="s">
        <v>3612</v>
      </c>
      <c r="D1985" s="254" t="s">
        <v>3613</v>
      </c>
      <c r="E1985" s="254" t="s">
        <v>3614</v>
      </c>
      <c r="F1985" s="182">
        <v>429.0</v>
      </c>
      <c r="G1985" s="172" t="str">
        <f>IFERROR(__xludf.DUMMYFUNCTION("TRIM(REGEXREPLACE(C1985, ""[0-9]+[a-f]?\."", """"))"),"How much did you share with ${pm_mem_rel_in} (in CFA)?")</f>
        <v>How much did you share with ${pm_mem_rel_in} (in CFA)?</v>
      </c>
      <c r="H1985" s="172" t="str">
        <f>IFERROR(__xludf.DUMMYFUNCTION("TRIM(REGEXREPLACE(D1985, ""[0-9]+[a-f]?\."", """"))"),"Combien avez-vous donné à ${pm_mem_rel_in} (en CFA)?")</f>
        <v>Combien avez-vous donné à ${pm_mem_rel_in} (en CFA)?</v>
      </c>
      <c r="I1985" s="172" t="str">
        <f>IFERROR(__xludf.DUMMYFUNCTION("TRIM(REGEXREPLACE(E1985, ""[0-9]+[a-f]?\."", """"))"),"Nawa kuka ba ${pm_mem_rel_in} (a cikin CFA)?")</f>
        <v>Nawa kuka ba ${pm_mem_rel_in} (a cikin CFA)?</v>
      </c>
      <c r="J1985" s="172" t="str">
        <f t="shared" ref="J1985:L1985" si="452">$F1985 &amp; ". " &amp;G1985</f>
        <v>429. How much did you share with ${pm_mem_rel_in} (in CFA)?</v>
      </c>
      <c r="K1985" s="172" t="str">
        <f t="shared" si="452"/>
        <v>429. Combien avez-vous donné à ${pm_mem_rel_in} (en CFA)?</v>
      </c>
      <c r="L1985" s="172" t="str">
        <f t="shared" si="452"/>
        <v>429. Nawa kuka ba ${pm_mem_rel_in} (a cikin CFA)?</v>
      </c>
    </row>
    <row r="1986">
      <c r="A1986" s="215" t="s">
        <v>6245</v>
      </c>
      <c r="B1986" s="216" t="s">
        <v>6313</v>
      </c>
      <c r="C1986" s="216" t="s">
        <v>3616</v>
      </c>
      <c r="D1986" s="216" t="s">
        <v>3617</v>
      </c>
      <c r="E1986" s="216" t="s">
        <v>3618</v>
      </c>
      <c r="F1986" s="182">
        <v>430.0</v>
      </c>
      <c r="G1986" s="172" t="str">
        <f>IFERROR(__xludf.DUMMYFUNCTION("TRIM(REGEXREPLACE(C1986, ""[0-9]+[a-f]?\."", """"))"),"With the money you shared with ${pm_mem_rel_in} (${pm_cash_share_in_amt}), what do you think they spent it on?")</f>
        <v>With the money you shared with ${pm_mem_rel_in} (${pm_cash_share_in_amt}), what do you think they spent it on?</v>
      </c>
      <c r="H1986" s="172" t="str">
        <f>IFERROR(__xludf.DUMMYFUNCTION("TRIM(REGEXREPLACE(D1986, ""[0-9]+[a-f]?\."", """"))"),"Avec l'argent que vous avez partagé avec ${pm_mem_rel_in} (${pm_cash_share_in_amt}), en quoi pensez-vous qu'ils l'ont dépensé ?")</f>
        <v>Avec l'argent que vous avez partagé avec ${pm_mem_rel_in} (${pm_cash_share_in_amt}), en quoi pensez-vous qu'ils l'ont dépensé ?</v>
      </c>
      <c r="I1986" s="172" t="str">
        <f>IFERROR(__xludf.DUMMYFUNCTION("TRIM(REGEXREPLACE(E1986, ""[0-9]+[a-f]?\."", """"))"),"Da kuɗin da ka raba da ${pm_mem_rel_in} (${pm_cash_share_in_amt}), a kan me kake ganin suka kashe kuɗin?")</f>
        <v>Da kuɗin da ka raba da ${pm_mem_rel_in} (${pm_cash_share_in_amt}), a kan me kake ganin suka kashe kuɗin?</v>
      </c>
      <c r="J1986" s="172" t="str">
        <f t="shared" ref="J1986:L1986" si="453">$F1986 &amp; ". " &amp;G1986</f>
        <v>430. With the money you shared with ${pm_mem_rel_in} (${pm_cash_share_in_amt}), what do you think they spent it on?</v>
      </c>
      <c r="K1986" s="172" t="str">
        <f t="shared" si="453"/>
        <v>430. Avec l'argent que vous avez partagé avec ${pm_mem_rel_in} (${pm_cash_share_in_amt}), en quoi pensez-vous qu'ils l'ont dépensé ?</v>
      </c>
      <c r="L1986" s="172" t="str">
        <f t="shared" si="453"/>
        <v>430. Da kuɗin da ka raba da ${pm_mem_rel_in} (${pm_cash_share_in_amt}), a kan me kake ganin suka kashe kuɗin?</v>
      </c>
    </row>
    <row r="1987">
      <c r="A1987" s="246" t="s">
        <v>231</v>
      </c>
      <c r="B1987" s="247" t="s">
        <v>6314</v>
      </c>
      <c r="C1987" s="247" t="s">
        <v>3620</v>
      </c>
      <c r="D1987" s="247" t="s">
        <v>3621</v>
      </c>
      <c r="E1987" s="247" t="s">
        <v>6315</v>
      </c>
      <c r="F1987" s="182">
        <v>431.0</v>
      </c>
      <c r="G1987" s="172" t="str">
        <f>IFERROR(__xludf.DUMMYFUNCTION("TRIM(REGEXREPLACE(C1987, ""[0-9]+[a-f]?\."", """"))"),"Other, specify:")</f>
        <v>Other, specify:</v>
      </c>
      <c r="H1987" s="172" t="str">
        <f>IFERROR(__xludf.DUMMYFUNCTION("TRIM(REGEXREPLACE(D1987, ""[0-9]+[a-f]?\."", """"))"),"Autre précisez:")</f>
        <v>Autre précisez:</v>
      </c>
      <c r="I1987" s="172" t="str">
        <f>IFERROR(__xludf.DUMMYFUNCTION("TRIM(REGEXREPLACE(E1987, ""[0-9]+[a-f]?\."", """"))"),"Wani daban, baiyana:")</f>
        <v>Wani daban, baiyana:</v>
      </c>
      <c r="J1987" s="172" t="str">
        <f t="shared" ref="J1987:L1987" si="454">$F1987 &amp; ". " &amp;G1987</f>
        <v>431. Other, specify:</v>
      </c>
      <c r="K1987" s="172" t="str">
        <f t="shared" si="454"/>
        <v>431. Autre précisez:</v>
      </c>
      <c r="L1987" s="172" t="str">
        <f t="shared" si="454"/>
        <v>431. Wani daban, baiyana:</v>
      </c>
    </row>
    <row r="1988" hidden="1">
      <c r="A1988" s="211" t="s">
        <v>107</v>
      </c>
      <c r="B1988" s="212" t="s">
        <v>6316</v>
      </c>
      <c r="C1988" s="214"/>
      <c r="D1988" s="214"/>
      <c r="E1988" s="214"/>
    </row>
    <row r="1989">
      <c r="A1989" s="253" t="s">
        <v>246</v>
      </c>
      <c r="B1989" s="254" t="s">
        <v>6317</v>
      </c>
      <c r="C1989" s="254" t="s">
        <v>3627</v>
      </c>
      <c r="D1989" s="254" t="s">
        <v>3628</v>
      </c>
      <c r="E1989" s="254" t="s">
        <v>3629</v>
      </c>
      <c r="F1989" s="182">
        <v>432.0</v>
      </c>
      <c r="G1989" s="172" t="str">
        <f>IFERROR(__xludf.DUMMYFUNCTION("TRIM(REGEXREPLACE(C1989, ""[0-9]+[a-f]?\."", """"))"),"Food")</f>
        <v>Food</v>
      </c>
      <c r="H1989" s="172" t="str">
        <f>IFERROR(__xludf.DUMMYFUNCTION("TRIM(REGEXREPLACE(D1989, ""[0-9]+[a-f]?\."", """"))"),"Nourriture")</f>
        <v>Nourriture</v>
      </c>
      <c r="I1989" s="172" t="str">
        <f>IFERROR(__xludf.DUMMYFUNCTION("TRIM(REGEXREPLACE(E1989, ""[0-9]+[a-f]?\."", """"))"),"Abinci")</f>
        <v>Abinci</v>
      </c>
      <c r="J1989" s="172" t="str">
        <f t="shared" ref="J1989:L1989" si="455">$F1989 &amp; ". " &amp;G1989</f>
        <v>432. Food</v>
      </c>
      <c r="K1989" s="172" t="str">
        <f t="shared" si="455"/>
        <v>432. Nourriture</v>
      </c>
      <c r="L1989" s="172" t="str">
        <f t="shared" si="455"/>
        <v>432. Abinci</v>
      </c>
    </row>
    <row r="1990">
      <c r="A1990" s="253" t="s">
        <v>246</v>
      </c>
      <c r="B1990" s="254" t="s">
        <v>6318</v>
      </c>
      <c r="C1990" s="254" t="s">
        <v>3631</v>
      </c>
      <c r="D1990" s="254" t="s">
        <v>3632</v>
      </c>
      <c r="E1990" s="254" t="s">
        <v>3633</v>
      </c>
      <c r="F1990" s="182">
        <v>433.0</v>
      </c>
      <c r="G1990" s="172" t="str">
        <f>IFERROR(__xludf.DUMMYFUNCTION("TRIM(REGEXREPLACE(C1990, ""[0-9]+[a-f]?\."", """"))"),"Other household expenditure")</f>
        <v>Other household expenditure</v>
      </c>
      <c r="H1990" s="172" t="str">
        <f>IFERROR(__xludf.DUMMYFUNCTION("TRIM(REGEXREPLACE(D1990, ""[0-9]+[a-f]?\."", """"))"),"Autres dépenses des ménages")</f>
        <v>Autres dépenses des ménages</v>
      </c>
      <c r="I1990" s="172" t="str">
        <f>IFERROR(__xludf.DUMMYFUNCTION("TRIM(REGEXREPLACE(E1990, ""[0-9]+[a-f]?\."", """"))"),"Sauran kuɗaɗen gida")</f>
        <v>Sauran kuɗaɗen gida</v>
      </c>
      <c r="J1990" s="172" t="str">
        <f t="shared" ref="J1990:L1990" si="456">$F1990 &amp; ". " &amp;G1990</f>
        <v>433. Other household expenditure</v>
      </c>
      <c r="K1990" s="172" t="str">
        <f t="shared" si="456"/>
        <v>433. Autres dépenses des ménages</v>
      </c>
      <c r="L1990" s="172" t="str">
        <f t="shared" si="456"/>
        <v>433. Sauran kuɗaɗen gida</v>
      </c>
    </row>
    <row r="1991">
      <c r="A1991" s="253" t="s">
        <v>246</v>
      </c>
      <c r="B1991" s="254" t="s">
        <v>6319</v>
      </c>
      <c r="C1991" s="254" t="s">
        <v>3635</v>
      </c>
      <c r="D1991" s="254" t="s">
        <v>3636</v>
      </c>
      <c r="E1991" s="254" t="s">
        <v>3637</v>
      </c>
      <c r="F1991" s="182">
        <v>434.0</v>
      </c>
      <c r="G1991" s="172" t="str">
        <f>IFERROR(__xludf.DUMMYFUNCTION("TRIM(REGEXREPLACE(C1991, ""[0-9]+[a-f]?\."", """"))"),"Investments in agriculture and/or business")</f>
        <v>Investments in agriculture and/or business</v>
      </c>
      <c r="H1991" s="172" t="str">
        <f>IFERROR(__xludf.DUMMYFUNCTION("TRIM(REGEXREPLACE(D1991, ""[0-9]+[a-f]?\."", """"))"),"Investissements dans l'agriculture et/ou les affaires")</f>
        <v>Investissements dans l'agriculture et/ou les affaires</v>
      </c>
      <c r="I1991" s="172" t="str">
        <f>IFERROR(__xludf.DUMMYFUNCTION("TRIM(REGEXREPLACE(E1991, ""[0-9]+[a-f]?\."", """"))"),"Zuba jari a harkar noma da/ko kasuwanci")</f>
        <v>Zuba jari a harkar noma da/ko kasuwanci</v>
      </c>
      <c r="J1991" s="172" t="str">
        <f t="shared" ref="J1991:L1991" si="457">$F1991 &amp; ". " &amp;G1991</f>
        <v>434. Investments in agriculture and/or business</v>
      </c>
      <c r="K1991" s="172" t="str">
        <f t="shared" si="457"/>
        <v>434. Investissements dans l'agriculture et/ou les affaires</v>
      </c>
      <c r="L1991" s="172" t="str">
        <f t="shared" si="457"/>
        <v>434. Zuba jari a harkar noma da/ko kasuwanci</v>
      </c>
    </row>
    <row r="1992">
      <c r="A1992" s="253" t="s">
        <v>246</v>
      </c>
      <c r="B1992" s="254" t="s">
        <v>6320</v>
      </c>
      <c r="C1992" s="254" t="s">
        <v>6321</v>
      </c>
      <c r="D1992" s="254" t="s">
        <v>6322</v>
      </c>
      <c r="E1992" s="254" t="s">
        <v>6323</v>
      </c>
      <c r="F1992" s="182">
        <v>435.0</v>
      </c>
      <c r="G1992" s="172" t="str">
        <f>IFERROR(__xludf.DUMMYFUNCTION("TRIM(REGEXREPLACE(C1992, ""[0-9]+[a-f]?\."", """"))"),"Savings")</f>
        <v>Savings</v>
      </c>
      <c r="H1992" s="172" t="str">
        <f>IFERROR(__xludf.DUMMYFUNCTION("TRIM(REGEXREPLACE(D1992, ""[0-9]+[a-f]?\."", """"))"),"Épargne")</f>
        <v>Épargne</v>
      </c>
      <c r="I1992" s="172" t="str">
        <f>IFERROR(__xludf.DUMMYFUNCTION("TRIM(REGEXREPLACE(E1992, ""[0-9]+[a-f]?\."", """"))"),"Ajiya")</f>
        <v>Ajiya</v>
      </c>
      <c r="J1992" s="172" t="str">
        <f t="shared" ref="J1992:L1992" si="458">$F1992 &amp; ". " &amp;G1992</f>
        <v>435. Savings</v>
      </c>
      <c r="K1992" s="172" t="str">
        <f t="shared" si="458"/>
        <v>435. Épargne</v>
      </c>
      <c r="L1992" s="172" t="str">
        <f t="shared" si="458"/>
        <v>435. Ajiya</v>
      </c>
    </row>
    <row r="1993">
      <c r="A1993" s="253" t="s">
        <v>246</v>
      </c>
      <c r="B1993" s="254" t="s">
        <v>6324</v>
      </c>
      <c r="C1993" s="254" t="s">
        <v>3646</v>
      </c>
      <c r="D1993" s="254" t="s">
        <v>3647</v>
      </c>
      <c r="E1993" s="254" t="s">
        <v>3648</v>
      </c>
      <c r="F1993" s="182">
        <v>436.0</v>
      </c>
      <c r="G1993" s="172" t="str">
        <f>IFERROR(__xludf.DUMMYFUNCTION("TRIM(REGEXREPLACE(C1993, ""[0-9]+[a-f]?\."", """"))"),"Debt repayment")</f>
        <v>Debt repayment</v>
      </c>
      <c r="H1993" s="172" t="str">
        <f>IFERROR(__xludf.DUMMYFUNCTION("TRIM(REGEXREPLACE(D1993, ""[0-9]+[a-f]?\."", """"))"),"Remboursement des dettes")</f>
        <v>Remboursement des dettes</v>
      </c>
      <c r="I1993" s="172" t="str">
        <f>IFERROR(__xludf.DUMMYFUNCTION("TRIM(REGEXREPLACE(E1993, ""[0-9]+[a-f]?\."", """"))"),"Biyan bashi")</f>
        <v>Biyan bashi</v>
      </c>
      <c r="J1993" s="172" t="str">
        <f t="shared" ref="J1993:L1993" si="459">$F1993 &amp; ". " &amp;G1993</f>
        <v>436. Debt repayment</v>
      </c>
      <c r="K1993" s="172" t="str">
        <f t="shared" si="459"/>
        <v>436. Remboursement des dettes</v>
      </c>
      <c r="L1993" s="172" t="str">
        <f t="shared" si="459"/>
        <v>436. Biyan bashi</v>
      </c>
    </row>
    <row r="1994">
      <c r="A1994" s="253" t="s">
        <v>246</v>
      </c>
      <c r="B1994" s="254" t="s">
        <v>6325</v>
      </c>
      <c r="C1994" s="254" t="s">
        <v>6326</v>
      </c>
      <c r="D1994" s="254" t="s">
        <v>6327</v>
      </c>
      <c r="E1994" s="254" t="s">
        <v>6328</v>
      </c>
      <c r="F1994" s="182">
        <v>437.0</v>
      </c>
      <c r="G1994" s="172" t="str">
        <f>IFERROR(__xludf.DUMMYFUNCTION("TRIM(REGEXREPLACE(C1994, ""[0-9]+[a-f]?\."", """"))"),"Housing cost payments")</f>
        <v>Housing cost payments</v>
      </c>
      <c r="H1994" s="172" t="str">
        <f>IFERROR(__xludf.DUMMYFUNCTION("TRIM(REGEXREPLACE(D1994, ""[0-9]+[a-f]?\."", """"))"),"Paiement des frais de logement")</f>
        <v>Paiement des frais de logement</v>
      </c>
      <c r="I1994" s="172" t="str">
        <f>IFERROR(__xludf.DUMMYFUNCTION("TRIM(REGEXREPLACE(E1994, ""[0-9]+[a-f]?\."", """"))"),"Biyan kuɗin haya")</f>
        <v>Biyan kuɗin haya</v>
      </c>
      <c r="J1994" s="172" t="str">
        <f t="shared" ref="J1994:L1994" si="460">$F1994 &amp; ". " &amp;G1994</f>
        <v>437. Housing cost payments</v>
      </c>
      <c r="K1994" s="172" t="str">
        <f t="shared" si="460"/>
        <v>437. Paiement des frais de logement</v>
      </c>
      <c r="L1994" s="172" t="str">
        <f t="shared" si="460"/>
        <v>437. Biyan kuɗin haya</v>
      </c>
    </row>
    <row r="1995">
      <c r="A1995" s="253" t="s">
        <v>246</v>
      </c>
      <c r="B1995" s="254" t="s">
        <v>6329</v>
      </c>
      <c r="C1995" s="254" t="s">
        <v>3657</v>
      </c>
      <c r="D1995" s="254" t="s">
        <v>3658</v>
      </c>
      <c r="E1995" s="254" t="s">
        <v>3659</v>
      </c>
      <c r="F1995" s="182">
        <v>438.0</v>
      </c>
      <c r="G1995" s="172" t="str">
        <f>IFERROR(__xludf.DUMMYFUNCTION("TRIM(REGEXREPLACE(C1995, ""[0-9]+[a-f]?\."", """"))"),"Education/Training payments")</f>
        <v>Education/Training payments</v>
      </c>
      <c r="H1995" s="172" t="str">
        <f>IFERROR(__xludf.DUMMYFUNCTION("TRIM(REGEXREPLACE(D1995, ""[0-9]+[a-f]?\."", """"))"),"Paiements pour études/formation")</f>
        <v>Paiements pour études/formation</v>
      </c>
      <c r="I1995" s="172" t="str">
        <f>IFERROR(__xludf.DUMMYFUNCTION("TRIM(REGEXREPLACE(E1995, ""[0-9]+[a-f]?\."", """"))"),"Biyan kuɗi na ilimi / horo")</f>
        <v>Biyan kuɗi na ilimi / horo</v>
      </c>
      <c r="J1995" s="172" t="str">
        <f t="shared" ref="J1995:L1995" si="461">$F1995 &amp; ". " &amp;G1995</f>
        <v>438. Education/Training payments</v>
      </c>
      <c r="K1995" s="172" t="str">
        <f t="shared" si="461"/>
        <v>438. Paiements pour études/formation</v>
      </c>
      <c r="L1995" s="172" t="str">
        <f t="shared" si="461"/>
        <v>438. Biyan kuɗi na ilimi / horo</v>
      </c>
    </row>
    <row r="1996">
      <c r="A1996" s="253" t="s">
        <v>246</v>
      </c>
      <c r="B1996" s="254" t="s">
        <v>6330</v>
      </c>
      <c r="C1996" s="254" t="s">
        <v>3661</v>
      </c>
      <c r="D1996" s="254" t="s">
        <v>3662</v>
      </c>
      <c r="E1996" s="254" t="s">
        <v>3663</v>
      </c>
      <c r="F1996" s="182">
        <v>439.0</v>
      </c>
      <c r="G1996" s="172" t="str">
        <f>IFERROR(__xludf.DUMMYFUNCTION("TRIM(REGEXREPLACE(C1996, ""[0-9]+[a-f]?\."", """"))"),"Health expenditures")</f>
        <v>Health expenditures</v>
      </c>
      <c r="H1996" s="172" t="str">
        <f>IFERROR(__xludf.DUMMYFUNCTION("TRIM(REGEXREPLACE(D1996, ""[0-9]+[a-f]?\."", """"))"),"Dépenses de santé")</f>
        <v>Dépenses de santé</v>
      </c>
      <c r="I1996" s="172" t="str">
        <f>IFERROR(__xludf.DUMMYFUNCTION("TRIM(REGEXREPLACE(E1996, ""[0-9]+[a-f]?\."", """"))"),"Kuɗin kiwon lafiya")</f>
        <v>Kuɗin kiwon lafiya</v>
      </c>
      <c r="J1996" s="172" t="str">
        <f t="shared" ref="J1996:L1996" si="462">$F1996 &amp; ". " &amp;G1996</f>
        <v>439. Health expenditures</v>
      </c>
      <c r="K1996" s="172" t="str">
        <f t="shared" si="462"/>
        <v>439. Dépenses de santé</v>
      </c>
      <c r="L1996" s="172" t="str">
        <f t="shared" si="462"/>
        <v>439. Kuɗin kiwon lafiya</v>
      </c>
    </row>
    <row r="1997">
      <c r="A1997" s="253" t="s">
        <v>246</v>
      </c>
      <c r="B1997" s="254" t="s">
        <v>6331</v>
      </c>
      <c r="C1997" s="254" t="s">
        <v>3665</v>
      </c>
      <c r="D1997" s="254" t="s">
        <v>3666</v>
      </c>
      <c r="E1997" s="254" t="s">
        <v>3667</v>
      </c>
      <c r="F1997" s="182">
        <v>440.0</v>
      </c>
      <c r="G1997" s="172" t="str">
        <f>IFERROR(__xludf.DUMMYFUNCTION("TRIM(REGEXREPLACE(C1997, ""[0-9]+[a-f]?\."", """"))"),"Migration cost payments")</f>
        <v>Migration cost payments</v>
      </c>
      <c r="H1997" s="172" t="str">
        <f>IFERROR(__xludf.DUMMYFUNCTION("TRIM(REGEXREPLACE(D1997, ""[0-9]+[a-f]?\."", """"))"),"Paiement des frais de migration")</f>
        <v>Paiement des frais de migration</v>
      </c>
      <c r="I1997" s="172" t="str">
        <f>IFERROR(__xludf.DUMMYFUNCTION("TRIM(REGEXREPLACE(E1997, ""[0-9]+[a-f]?\."", """"))"),"Kashe kuɗin zuwa biɗa")</f>
        <v>Kashe kuɗin zuwa biɗa</v>
      </c>
      <c r="J1997" s="172" t="str">
        <f t="shared" ref="J1997:L1997" si="463">$F1997 &amp; ". " &amp;G1997</f>
        <v>440. Migration cost payments</v>
      </c>
      <c r="K1997" s="172" t="str">
        <f t="shared" si="463"/>
        <v>440. Paiement des frais de migration</v>
      </c>
      <c r="L1997" s="172" t="str">
        <f t="shared" si="463"/>
        <v>440. Kashe kuɗin zuwa biɗa</v>
      </c>
    </row>
    <row r="1998">
      <c r="A1998" s="253" t="s">
        <v>246</v>
      </c>
      <c r="B1998" s="254" t="s">
        <v>6332</v>
      </c>
      <c r="C1998" s="254" t="s">
        <v>3672</v>
      </c>
      <c r="D1998" s="254" t="s">
        <v>3673</v>
      </c>
      <c r="E1998" s="254" t="s">
        <v>3674</v>
      </c>
      <c r="F1998" s="182">
        <v>441.0</v>
      </c>
      <c r="G1998" s="172" t="str">
        <f>IFERROR(__xludf.DUMMYFUNCTION("TRIM(REGEXREPLACE(C1998, ""[0-9]+[a-f]?\."", """"))"),"Ceremonies")</f>
        <v>Ceremonies</v>
      </c>
      <c r="H1998" s="172" t="str">
        <f>IFERROR(__xludf.DUMMYFUNCTION("TRIM(REGEXREPLACE(D1998, ""[0-9]+[a-f]?\."", """"))"),"Cérémonies")</f>
        <v>Cérémonies</v>
      </c>
      <c r="I1998" s="172" t="str">
        <f>IFERROR(__xludf.DUMMYFUNCTION("TRIM(REGEXREPLACE(E1998, ""[0-9]+[a-f]?\."", """"))"),"Bukukuwa")</f>
        <v>Bukukuwa</v>
      </c>
      <c r="J1998" s="172" t="str">
        <f t="shared" ref="J1998:L1998" si="464">$F1998 &amp; ". " &amp;G1998</f>
        <v>441. Ceremonies</v>
      </c>
      <c r="K1998" s="172" t="str">
        <f t="shared" si="464"/>
        <v>441. Cérémonies</v>
      </c>
      <c r="L1998" s="172" t="str">
        <f t="shared" si="464"/>
        <v>441. Bukukuwa</v>
      </c>
    </row>
    <row r="1999">
      <c r="A1999" s="253" t="s">
        <v>246</v>
      </c>
      <c r="B1999" s="254" t="s">
        <v>6333</v>
      </c>
      <c r="C1999" s="254" t="s">
        <v>6334</v>
      </c>
      <c r="D1999" s="254" t="s">
        <v>6335</v>
      </c>
      <c r="E1999" s="254" t="s">
        <v>6336</v>
      </c>
      <c r="F1999" s="182">
        <v>442.0</v>
      </c>
      <c r="G1999" s="172" t="str">
        <f>IFERROR(__xludf.DUMMYFUNCTION("TRIM(REGEXREPLACE(C1999, ""[0-9]+[a-f]?\."", """"))"),"Other")</f>
        <v>Other</v>
      </c>
      <c r="H1999" s="172" t="str">
        <f>IFERROR(__xludf.DUMMYFUNCTION("TRIM(REGEXREPLACE(D1999, ""[0-9]+[a-f]?\."", """"))"),"Autres")</f>
        <v>Autres</v>
      </c>
      <c r="I1999" s="172" t="str">
        <f>IFERROR(__xludf.DUMMYFUNCTION("TRIM(REGEXREPLACE(E1999, ""[0-9]+[a-f]?\."", """"))"),"Wasu")</f>
        <v>Wasu</v>
      </c>
      <c r="J1999" s="172" t="str">
        <f t="shared" ref="J1999:L1999" si="465">$F1999 &amp; ". " &amp;G1999</f>
        <v>442. Other</v>
      </c>
      <c r="K1999" s="172" t="str">
        <f t="shared" si="465"/>
        <v>442. Autres</v>
      </c>
      <c r="L1999" s="172" t="str">
        <f t="shared" si="465"/>
        <v>442. Wasu</v>
      </c>
    </row>
    <row r="2000" hidden="1">
      <c r="A2000" s="211" t="s">
        <v>238</v>
      </c>
      <c r="B2000" s="224" t="s">
        <v>6316</v>
      </c>
      <c r="C2000" s="225"/>
      <c r="D2000" s="225"/>
      <c r="E2000" s="225"/>
    </row>
    <row r="2001" hidden="1">
      <c r="A2001" s="188" t="s">
        <v>68</v>
      </c>
      <c r="B2001" s="189" t="s">
        <v>6337</v>
      </c>
      <c r="C2001" s="190"/>
      <c r="D2001" s="190"/>
      <c r="E2001" s="190"/>
    </row>
    <row r="2002">
      <c r="A2002" s="207" t="s">
        <v>41</v>
      </c>
      <c r="B2002" s="208" t="s">
        <v>6338</v>
      </c>
      <c r="C2002" s="208" t="s">
        <v>6339</v>
      </c>
      <c r="D2002" s="208" t="s">
        <v>6340</v>
      </c>
      <c r="E2002" s="208" t="s">
        <v>6341</v>
      </c>
      <c r="F2002" s="182">
        <v>443.0</v>
      </c>
      <c r="G2002" s="172" t="str">
        <f>IFERROR(__xludf.DUMMYFUNCTION("TRIM(REGEXREPLACE(C2002, ""[0-9]+[a-f]?\."", """"))"),"ENUMERATOR: The total amount spent on the above categories (${pm_cash_shared_in_tot}CFA) is not equal to the amount the respondent shared (${pm_cash_share_in_amt}CFA). Please return and correct responses.")</f>
        <v>ENUMERATOR: The total amount spent on the above categories (${pm_cash_shared_in_tot}CFA) is not equal to the amount the respondent shared (${pm_cash_share_in_amt}CFA). Please return and correct responses.</v>
      </c>
      <c r="H2002" s="172" t="str">
        <f>IFERROR(__xludf.DUMMYFUNCTION("TRIM(REGEXREPLACE(D2002, ""[0-9]+[a-f]?\."", """"))"),"ENQUÊTEUR : Le montant total dépensé pour les catégories ci-dessus (${pm_cash_shared_in_tot}CFA) n'est pas égal au montant annoncé par le répondant (${pm_cash_share_in_amt}CFA). Veuillez revenir et corriger les réponses.")</f>
        <v>ENQUÊTEUR : Le montant total dépensé pour les catégories ci-dessus (${pm_cash_shared_in_tot}CFA) n'est pas égal au montant annoncé par le répondant (${pm_cash_share_in_amt}CFA). Veuillez revenir et corriger les réponses.</v>
      </c>
      <c r="I2002" s="172" t="str">
        <f>IFERROR(__xludf.DUMMYFUNCTION("TRIM(REGEXREPLACE(E2002, ""[0-9]+[a-f]?\."", """"))"),"Mai bincike: Jimillar kuɗin da aka kashe akan waɗannan nau'ikan da ke sama (${pm_cash_shared_in_tot}CFA) bai kai yawan wanda mai amsa ya bayar ba (${pm_cash_share_in_amt}CFA). Da fatan za a dawo a gyara amsoshin.")</f>
        <v>Mai bincike: Jimillar kuɗin da aka kashe akan waɗannan nau'ikan da ke sama (${pm_cash_shared_in_tot}CFA) bai kai yawan wanda mai amsa ya bayar ba (${pm_cash_share_in_amt}CFA). Da fatan za a dawo a gyara amsoshin.</v>
      </c>
      <c r="J2002" s="172" t="str">
        <f t="shared" ref="J2002:L2002" si="466">$F2002 &amp; ". " &amp;G2002</f>
        <v>443. ENUMERATOR: The total amount spent on the above categories (${pm_cash_shared_in_tot}CFA) is not equal to the amount the respondent shared (${pm_cash_share_in_amt}CFA). Please return and correct responses.</v>
      </c>
      <c r="K2002" s="172" t="str">
        <f t="shared" si="466"/>
        <v>443. ENQUÊTEUR : Le montant total dépensé pour les catégories ci-dessus (${pm_cash_shared_in_tot}CFA) n'est pas égal au montant annoncé par le répondant (${pm_cash_share_in_amt}CFA). Veuillez revenir et corriger les réponses.</v>
      </c>
      <c r="L2002" s="172" t="str">
        <f t="shared" si="466"/>
        <v>443. Mai bincike: Jimillar kuɗin da aka kashe akan waɗannan nau'ikan da ke sama (${pm_cash_shared_in_tot}CFA) bai kai yawan wanda mai amsa ya bayar ba (${pm_cash_share_in_amt}CFA). Da fatan za a dawo a gyara amsoshin.</v>
      </c>
    </row>
    <row r="2003" hidden="1">
      <c r="A2003" s="255" t="s">
        <v>1064</v>
      </c>
      <c r="B2003" s="261" t="s">
        <v>6309</v>
      </c>
      <c r="C2003" s="261" t="s">
        <v>6310</v>
      </c>
      <c r="D2003" s="262"/>
      <c r="E2003" s="262"/>
    </row>
    <row r="2004" hidden="1">
      <c r="A2004" s="188" t="s">
        <v>68</v>
      </c>
      <c r="B2004" s="189" t="s">
        <v>6342</v>
      </c>
      <c r="C2004" s="190"/>
      <c r="D2004" s="190"/>
      <c r="E2004" s="190"/>
    </row>
    <row r="2005" hidden="1">
      <c r="A2005" s="188" t="s">
        <v>68</v>
      </c>
      <c r="B2005" s="189" t="s">
        <v>6343</v>
      </c>
      <c r="C2005" s="190"/>
      <c r="D2005" s="190"/>
      <c r="E2005" s="190"/>
    </row>
    <row r="2006" hidden="1">
      <c r="A2006" s="188" t="s">
        <v>68</v>
      </c>
      <c r="B2006" s="189" t="s">
        <v>6344</v>
      </c>
      <c r="C2006" s="190"/>
      <c r="D2006" s="190"/>
      <c r="E2006" s="190"/>
    </row>
    <row r="2007" hidden="1">
      <c r="A2007" s="188" t="s">
        <v>68</v>
      </c>
      <c r="B2007" s="189" t="s">
        <v>6345</v>
      </c>
      <c r="C2007" s="190"/>
      <c r="D2007" s="190"/>
      <c r="E2007" s="190"/>
    </row>
    <row r="2008">
      <c r="A2008" s="207" t="s">
        <v>41</v>
      </c>
      <c r="B2008" s="208" t="s">
        <v>6346</v>
      </c>
      <c r="C2008" s="208" t="s">
        <v>6347</v>
      </c>
      <c r="D2008" s="208" t="s">
        <v>6348</v>
      </c>
      <c r="E2008" s="208" t="s">
        <v>6349</v>
      </c>
      <c r="F2008" s="182">
        <v>444.0</v>
      </c>
      <c r="G2008" s="172" t="str">
        <f>IFERROR(__xludf.DUMMYFUNCTION("TRIM(REGEXREPLACE(C2008, ""[0-9]+[a-f]?\."", """"))"),"You mentioned that you shared ${pm_cash_share_amt}, which is greater than the amount you received (${pm_cash_amt}). Please reassess your responses.")</f>
        <v>You mentioned that you shared ${pm_cash_share_amt}, which is greater than the amount you received (${pm_cash_amt}). Please reassess your responses.</v>
      </c>
      <c r="H2008" s="172" t="str">
        <f>IFERROR(__xludf.DUMMYFUNCTION("TRIM(REGEXREPLACE(D2008, ""[0-9]+[a-f]?\."", """"))"),"Vous avez mentionné que vous aviez partagé ${pm_cash_share_amt}, ce qui est supérieur au montant que vous avez gardé pour vous (${pm_cash_amt}). Veuillez revoir vos réponses.")</f>
        <v>Vous avez mentionné que vous aviez partagé ${pm_cash_share_amt}, ce qui est supérieur au montant que vous avez gardé pour vous (${pm_cash_amt}). Veuillez revoir vos réponses.</v>
      </c>
      <c r="I2008" s="172" t="str">
        <f>IFERROR(__xludf.DUMMYFUNCTION("TRIM(REGEXREPLACE(E2008, ""[0-9]+[a-f]?\."", """"))"),"Kun ambaci cewa kun raba ${pm_cash_share_amt}, wanda ya fi yawan kuɗin da kuka ajiye don kanku (${pm_cash_amt}). Da fatan za ku sake duba amsarku.")</f>
        <v>Kun ambaci cewa kun raba ${pm_cash_share_amt}, wanda ya fi yawan kuɗin da kuka ajiye don kanku (${pm_cash_amt}). Da fatan za ku sake duba amsarku.</v>
      </c>
      <c r="J2008" s="172" t="str">
        <f t="shared" ref="J2008:L2008" si="467">$F2008 &amp; ". " &amp;G2008</f>
        <v>444. You mentioned that you shared ${pm_cash_share_amt}, which is greater than the amount you received (${pm_cash_amt}). Please reassess your responses.</v>
      </c>
      <c r="K2008" s="172" t="str">
        <f t="shared" si="467"/>
        <v>444. Vous avez mentionné que vous aviez partagé ${pm_cash_share_amt}, ce qui est supérieur au montant que vous avez gardé pour vous (${pm_cash_amt}). Veuillez revoir vos réponses.</v>
      </c>
      <c r="L2008" s="172" t="str">
        <f t="shared" si="467"/>
        <v>444. Kun ambaci cewa kun raba ${pm_cash_share_amt}, wanda ya fi yawan kuɗin da kuka ajiye don kanku (${pm_cash_amt}). Da fatan za ku sake duba amsarku.</v>
      </c>
    </row>
    <row r="2009" hidden="1">
      <c r="A2009" s="188" t="s">
        <v>118</v>
      </c>
      <c r="B2009" s="279" t="s">
        <v>6350</v>
      </c>
      <c r="C2009" s="190"/>
      <c r="D2009" s="190"/>
      <c r="E2009" s="190"/>
    </row>
    <row r="2010" hidden="1">
      <c r="A2010" s="188" t="s">
        <v>68</v>
      </c>
      <c r="B2010" s="189" t="s">
        <v>6351</v>
      </c>
      <c r="C2010" s="190"/>
      <c r="D2010" s="190"/>
      <c r="E2010" s="190"/>
    </row>
    <row r="2011" hidden="1">
      <c r="A2011" s="211" t="s">
        <v>107</v>
      </c>
      <c r="B2011" s="212" t="s">
        <v>6352</v>
      </c>
      <c r="C2011" s="214"/>
      <c r="D2011" s="214"/>
      <c r="E2011" s="214"/>
    </row>
    <row r="2012" hidden="1">
      <c r="A2012" s="188" t="s">
        <v>118</v>
      </c>
      <c r="B2012" s="279" t="s">
        <v>6353</v>
      </c>
      <c r="C2012" s="190"/>
      <c r="D2012" s="190"/>
      <c r="E2012" s="190"/>
    </row>
    <row r="2013">
      <c r="A2013" s="207" t="s">
        <v>41</v>
      </c>
      <c r="B2013" s="208" t="s">
        <v>6354</v>
      </c>
      <c r="C2013" s="208" t="s">
        <v>3732</v>
      </c>
      <c r="D2013" s="208" t="s">
        <v>3733</v>
      </c>
      <c r="E2013" s="208" t="s">
        <v>3734</v>
      </c>
      <c r="F2013" s="182">
        <v>445.0</v>
      </c>
      <c r="G2013" s="172" t="str">
        <f>IFERROR(__xludf.DUMMYFUNCTION("TRIM(REGEXREPLACE(C2013, ""[0-9]+[a-f]?\."", """"))"),"With the money you kept for yourself (${pm_cash_resid}), how much did you use for each of the following:")</f>
        <v>With the money you kept for yourself (${pm_cash_resid}), how much did you use for each of the following:</v>
      </c>
      <c r="H2013" s="172" t="str">
        <f>IFERROR(__xludf.DUMMYFUNCTION("TRIM(REGEXREPLACE(D2013, ""[0-9]+[a-f]?\."", """"))"),"Avec l'argent que vous avez gardé pour vous (${pm_cash_resid}) , combien avez-vous utilisé pour chacun des éléments suivants:")</f>
        <v>Avec l'argent que vous avez gardé pour vous (${pm_cash_resid}) , combien avez-vous utilisé pour chacun des éléments suivants:</v>
      </c>
      <c r="I2013" s="172" t="str">
        <f>IFERROR(__xludf.DUMMYFUNCTION("TRIM(REGEXREPLACE(E2013, ""[0-9]+[a-f]?\."", """"))"),"Game da Kuɗin da kuka ajiye wa kanku (${pm_cash_resid}), nawa kuka yi amfani kan kowane ɗayan cikin abubuwa nan masu zuwa:")</f>
        <v>Game da Kuɗin da kuka ajiye wa kanku (${pm_cash_resid}), nawa kuka yi amfani kan kowane ɗayan cikin abubuwa nan masu zuwa:</v>
      </c>
      <c r="J2013" s="172" t="str">
        <f t="shared" ref="J2013:L2013" si="468">$F2013 &amp; ". " &amp;G2013</f>
        <v>445. With the money you kept for yourself (${pm_cash_resid}), how much did you use for each of the following:</v>
      </c>
      <c r="K2013" s="172" t="str">
        <f t="shared" si="468"/>
        <v>445. Avec l'argent que vous avez gardé pour vous (${pm_cash_resid}) , combien avez-vous utilisé pour chacun des éléments suivants:</v>
      </c>
      <c r="L2013" s="172" t="str">
        <f t="shared" si="468"/>
        <v>445. Game da Kuɗin da kuka ajiye wa kanku (${pm_cash_resid}), nawa kuka yi amfani kan kowane ɗayan cikin abubuwa nan masu zuwa:</v>
      </c>
    </row>
    <row r="2014">
      <c r="A2014" s="253" t="s">
        <v>246</v>
      </c>
      <c r="B2014" s="254" t="s">
        <v>6355</v>
      </c>
      <c r="C2014" s="254" t="s">
        <v>3738</v>
      </c>
      <c r="D2014" s="254" t="s">
        <v>3740</v>
      </c>
      <c r="E2014" s="254" t="s">
        <v>3741</v>
      </c>
      <c r="F2014" s="182">
        <v>446.0</v>
      </c>
      <c r="G2014" s="172" t="str">
        <f>IFERROR(__xludf.DUMMYFUNCTION("TRIM(REGEXREPLACE(C2014, ""[0-9]+[a-f]?\."", """"))"),"Food")</f>
        <v>Food</v>
      </c>
      <c r="H2014" s="172" t="str">
        <f>IFERROR(__xludf.DUMMYFUNCTION("TRIM(REGEXREPLACE(D2014, ""[0-9]+[a-f]?\."", """"))"),"Nourriture")</f>
        <v>Nourriture</v>
      </c>
      <c r="I2014" s="172" t="str">
        <f>IFERROR(__xludf.DUMMYFUNCTION("TRIM(REGEXREPLACE(E2014, ""[0-9]+[a-f]?\."", """"))"),"Abinci")</f>
        <v>Abinci</v>
      </c>
      <c r="J2014" s="172" t="str">
        <f t="shared" ref="J2014:L2014" si="469">$F2014 &amp; ". " &amp;G2014</f>
        <v>446. Food</v>
      </c>
      <c r="K2014" s="172" t="str">
        <f t="shared" si="469"/>
        <v>446. Nourriture</v>
      </c>
      <c r="L2014" s="172" t="str">
        <f t="shared" si="469"/>
        <v>446. Abinci</v>
      </c>
    </row>
    <row r="2015">
      <c r="A2015" s="253" t="s">
        <v>246</v>
      </c>
      <c r="B2015" s="254" t="s">
        <v>6356</v>
      </c>
      <c r="C2015" s="254" t="s">
        <v>3743</v>
      </c>
      <c r="D2015" s="254" t="s">
        <v>3744</v>
      </c>
      <c r="E2015" s="254" t="s">
        <v>3745</v>
      </c>
      <c r="F2015" s="182">
        <v>447.0</v>
      </c>
      <c r="G2015" s="172" t="str">
        <f>IFERROR(__xludf.DUMMYFUNCTION("TRIM(REGEXREPLACE(C2015, ""[0-9]+[a-f]?\."", """"))"),"Other household expenditure")</f>
        <v>Other household expenditure</v>
      </c>
      <c r="H2015" s="172" t="str">
        <f>IFERROR(__xludf.DUMMYFUNCTION("TRIM(REGEXREPLACE(D2015, ""[0-9]+[a-f]?\."", """"))"),"Autres dépenses des ménages")</f>
        <v>Autres dépenses des ménages</v>
      </c>
      <c r="I2015" s="172" t="str">
        <f>IFERROR(__xludf.DUMMYFUNCTION("TRIM(REGEXREPLACE(E2015, ""[0-9]+[a-f]?\."", """"))"),"Sauran kuɗaɗen gida")</f>
        <v>Sauran kuɗaɗen gida</v>
      </c>
      <c r="J2015" s="172" t="str">
        <f t="shared" ref="J2015:L2015" si="470">$F2015 &amp; ". " &amp;G2015</f>
        <v>447. Other household expenditure</v>
      </c>
      <c r="K2015" s="172" t="str">
        <f t="shared" si="470"/>
        <v>447. Autres dépenses des ménages</v>
      </c>
      <c r="L2015" s="172" t="str">
        <f t="shared" si="470"/>
        <v>447. Sauran kuɗaɗen gida</v>
      </c>
    </row>
    <row r="2016">
      <c r="A2016" s="253" t="s">
        <v>246</v>
      </c>
      <c r="B2016" s="254" t="s">
        <v>6357</v>
      </c>
      <c r="C2016" s="254" t="s">
        <v>6358</v>
      </c>
      <c r="D2016" s="254" t="s">
        <v>6359</v>
      </c>
      <c r="E2016" s="254" t="s">
        <v>6360</v>
      </c>
      <c r="F2016" s="182">
        <v>448.0</v>
      </c>
      <c r="G2016" s="172" t="str">
        <f>IFERROR(__xludf.DUMMYFUNCTION("TRIM(REGEXREPLACE(C2016, ""[0-9]+[a-f]?\."", """"))"),"Investments in agriculture and/or business")</f>
        <v>Investments in agriculture and/or business</v>
      </c>
      <c r="H2016" s="172" t="str">
        <f>IFERROR(__xludf.DUMMYFUNCTION("TRIM(REGEXREPLACE(D2016, ""[0-9]+[a-f]?\."", """"))"),"Investissements dans l'agriculture et/ou les affaires")</f>
        <v>Investissements dans l'agriculture et/ou les affaires</v>
      </c>
      <c r="I2016" s="172" t="str">
        <f>IFERROR(__xludf.DUMMYFUNCTION("TRIM(REGEXREPLACE(E2016, ""[0-9]+[a-f]?\."", """"))"),"Zuba jari a harkar noma da/ko kasuwanci")</f>
        <v>Zuba jari a harkar noma da/ko kasuwanci</v>
      </c>
      <c r="J2016" s="172" t="str">
        <f t="shared" ref="J2016:L2016" si="471">$F2016 &amp; ". " &amp;G2016</f>
        <v>448. Investments in agriculture and/or business</v>
      </c>
      <c r="K2016" s="172" t="str">
        <f t="shared" si="471"/>
        <v>448. Investissements dans l'agriculture et/ou les affaires</v>
      </c>
      <c r="L2016" s="172" t="str">
        <f t="shared" si="471"/>
        <v>448. Zuba jari a harkar noma da/ko kasuwanci</v>
      </c>
    </row>
    <row r="2017">
      <c r="A2017" s="253" t="s">
        <v>246</v>
      </c>
      <c r="B2017" s="254" t="s">
        <v>6361</v>
      </c>
      <c r="C2017" s="254" t="s">
        <v>6362</v>
      </c>
      <c r="D2017" s="254" t="s">
        <v>6363</v>
      </c>
      <c r="E2017" s="254" t="s">
        <v>6364</v>
      </c>
      <c r="F2017" s="182">
        <v>449.0</v>
      </c>
      <c r="G2017" s="172" t="str">
        <f>IFERROR(__xludf.DUMMYFUNCTION("TRIM(REGEXREPLACE(C2017, ""[0-9]+[a-f]?\."", """"))"),"Savings")</f>
        <v>Savings</v>
      </c>
      <c r="H2017" s="172" t="str">
        <f>IFERROR(__xludf.DUMMYFUNCTION("TRIM(REGEXREPLACE(D2017, ""[0-9]+[a-f]?\."", """"))"),"Épargne")</f>
        <v>Épargne</v>
      </c>
      <c r="I2017" s="172" t="str">
        <f>IFERROR(__xludf.DUMMYFUNCTION("TRIM(REGEXREPLACE(E2017, ""[0-9]+[a-f]?\."", """"))"),"Ajiya")</f>
        <v>Ajiya</v>
      </c>
      <c r="J2017" s="172" t="str">
        <f t="shared" ref="J2017:L2017" si="472">$F2017 &amp; ". " &amp;G2017</f>
        <v>449. Savings</v>
      </c>
      <c r="K2017" s="172" t="str">
        <f t="shared" si="472"/>
        <v>449. Épargne</v>
      </c>
      <c r="L2017" s="172" t="str">
        <f t="shared" si="472"/>
        <v>449. Ajiya</v>
      </c>
    </row>
    <row r="2018">
      <c r="A2018" s="253" t="s">
        <v>246</v>
      </c>
      <c r="B2018" s="254" t="s">
        <v>6365</v>
      </c>
      <c r="C2018" s="254" t="s">
        <v>6366</v>
      </c>
      <c r="D2018" s="254" t="s">
        <v>6367</v>
      </c>
      <c r="E2018" s="254" t="s">
        <v>6368</v>
      </c>
      <c r="F2018" s="182">
        <v>450.0</v>
      </c>
      <c r="G2018" s="172" t="str">
        <f>IFERROR(__xludf.DUMMYFUNCTION("TRIM(REGEXREPLACE(C2018, ""[0-9]+[a-f]?\."", """"))"),"Debt repayment")</f>
        <v>Debt repayment</v>
      </c>
      <c r="H2018" s="172" t="str">
        <f>IFERROR(__xludf.DUMMYFUNCTION("TRIM(REGEXREPLACE(D2018, ""[0-9]+[a-f]?\."", """"))"),"Remboursement des dettes")</f>
        <v>Remboursement des dettes</v>
      </c>
      <c r="I2018" s="172" t="str">
        <f>IFERROR(__xludf.DUMMYFUNCTION("TRIM(REGEXREPLACE(E2018, ""[0-9]+[a-f]?\."", """"))"),"Biyan bashi")</f>
        <v>Biyan bashi</v>
      </c>
      <c r="J2018" s="172" t="str">
        <f t="shared" ref="J2018:L2018" si="473">$F2018 &amp; ". " &amp;G2018</f>
        <v>450. Debt repayment</v>
      </c>
      <c r="K2018" s="172" t="str">
        <f t="shared" si="473"/>
        <v>450. Remboursement des dettes</v>
      </c>
      <c r="L2018" s="172" t="str">
        <f t="shared" si="473"/>
        <v>450. Biyan bashi</v>
      </c>
    </row>
    <row r="2019">
      <c r="A2019" s="253" t="s">
        <v>246</v>
      </c>
      <c r="B2019" s="254" t="s">
        <v>6369</v>
      </c>
      <c r="C2019" s="254" t="s">
        <v>3765</v>
      </c>
      <c r="D2019" s="254" t="s">
        <v>3766</v>
      </c>
      <c r="E2019" s="254" t="s">
        <v>3767</v>
      </c>
      <c r="F2019" s="182">
        <v>451.0</v>
      </c>
      <c r="G2019" s="172" t="str">
        <f>IFERROR(__xludf.DUMMYFUNCTION("TRIM(REGEXREPLACE(C2019, ""[0-9]+[a-f]?\."", """"))"),"Housing cost payments")</f>
        <v>Housing cost payments</v>
      </c>
      <c r="H2019" s="172" t="str">
        <f>IFERROR(__xludf.DUMMYFUNCTION("TRIM(REGEXREPLACE(D2019, ""[0-9]+[a-f]?\."", """"))"),"Paiement des frais de logement")</f>
        <v>Paiement des frais de logement</v>
      </c>
      <c r="I2019" s="172" t="str">
        <f>IFERROR(__xludf.DUMMYFUNCTION("TRIM(REGEXREPLACE(E2019, ""[0-9]+[a-f]?\."", """"))"),"Biyan kuɗin haya")</f>
        <v>Biyan kuɗin haya</v>
      </c>
      <c r="J2019" s="172" t="str">
        <f t="shared" ref="J2019:L2019" si="474">$F2019 &amp; ". " &amp;G2019</f>
        <v>451. Housing cost payments</v>
      </c>
      <c r="K2019" s="172" t="str">
        <f t="shared" si="474"/>
        <v>451. Paiement des frais de logement</v>
      </c>
      <c r="L2019" s="172" t="str">
        <f t="shared" si="474"/>
        <v>451. Biyan kuɗin haya</v>
      </c>
    </row>
    <row r="2020">
      <c r="A2020" s="253" t="s">
        <v>246</v>
      </c>
      <c r="B2020" s="254" t="s">
        <v>6370</v>
      </c>
      <c r="C2020" s="254" t="s">
        <v>3773</v>
      </c>
      <c r="D2020" s="254" t="s">
        <v>3774</v>
      </c>
      <c r="E2020" s="254" t="s">
        <v>3775</v>
      </c>
      <c r="F2020" s="182">
        <v>452.0</v>
      </c>
      <c r="G2020" s="172" t="str">
        <f>IFERROR(__xludf.DUMMYFUNCTION("TRIM(REGEXREPLACE(C2020, ""[0-9]+[a-f]?\."", """"))"),"Education/Training payments")</f>
        <v>Education/Training payments</v>
      </c>
      <c r="H2020" s="172" t="str">
        <f>IFERROR(__xludf.DUMMYFUNCTION("TRIM(REGEXREPLACE(D2020, ""[0-9]+[a-f]?\."", """"))"),"Paiements pour études/formation")</f>
        <v>Paiements pour études/formation</v>
      </c>
      <c r="I2020" s="172" t="str">
        <f>IFERROR(__xludf.DUMMYFUNCTION("TRIM(REGEXREPLACE(E2020, ""[0-9]+[a-f]?\."", """"))"),"Biyan kuɗi na ilimi / horo")</f>
        <v>Biyan kuɗi na ilimi / horo</v>
      </c>
      <c r="J2020" s="172" t="str">
        <f t="shared" ref="J2020:L2020" si="475">$F2020 &amp; ". " &amp;G2020</f>
        <v>452. Education/Training payments</v>
      </c>
      <c r="K2020" s="172" t="str">
        <f t="shared" si="475"/>
        <v>452. Paiements pour études/formation</v>
      </c>
      <c r="L2020" s="172" t="str">
        <f t="shared" si="475"/>
        <v>452. Biyan kuɗi na ilimi / horo</v>
      </c>
    </row>
    <row r="2021">
      <c r="A2021" s="253" t="s">
        <v>246</v>
      </c>
      <c r="B2021" s="254" t="s">
        <v>6371</v>
      </c>
      <c r="C2021" s="254" t="s">
        <v>3777</v>
      </c>
      <c r="D2021" s="254" t="s">
        <v>3778</v>
      </c>
      <c r="E2021" s="254" t="s">
        <v>3779</v>
      </c>
      <c r="F2021" s="182">
        <v>453.0</v>
      </c>
      <c r="G2021" s="172" t="str">
        <f>IFERROR(__xludf.DUMMYFUNCTION("TRIM(REGEXREPLACE(C2021, ""[0-9]+[a-f]?\."", """"))"),"Health expenditures")</f>
        <v>Health expenditures</v>
      </c>
      <c r="H2021" s="172" t="str">
        <f>IFERROR(__xludf.DUMMYFUNCTION("TRIM(REGEXREPLACE(D2021, ""[0-9]+[a-f]?\."", """"))"),"Dépenses de santé")</f>
        <v>Dépenses de santé</v>
      </c>
      <c r="I2021" s="172" t="str">
        <f>IFERROR(__xludf.DUMMYFUNCTION("TRIM(REGEXREPLACE(E2021, ""[0-9]+[a-f]?\."", """"))"),"Kuɗin kiwon lafiya")</f>
        <v>Kuɗin kiwon lafiya</v>
      </c>
      <c r="J2021" s="172" t="str">
        <f t="shared" ref="J2021:L2021" si="476">$F2021 &amp; ". " &amp;G2021</f>
        <v>453. Health expenditures</v>
      </c>
      <c r="K2021" s="172" t="str">
        <f t="shared" si="476"/>
        <v>453. Dépenses de santé</v>
      </c>
      <c r="L2021" s="172" t="str">
        <f t="shared" si="476"/>
        <v>453. Kuɗin kiwon lafiya</v>
      </c>
    </row>
    <row r="2022">
      <c r="A2022" s="253" t="s">
        <v>246</v>
      </c>
      <c r="B2022" s="254" t="s">
        <v>6372</v>
      </c>
      <c r="C2022" s="254" t="s">
        <v>3784</v>
      </c>
      <c r="D2022" s="254" t="s">
        <v>3785</v>
      </c>
      <c r="E2022" s="254" t="s">
        <v>3786</v>
      </c>
      <c r="F2022" s="182">
        <v>454.0</v>
      </c>
      <c r="G2022" s="172" t="str">
        <f>IFERROR(__xludf.DUMMYFUNCTION("TRIM(REGEXREPLACE(C2022, ""[0-9]+[a-f]?\."", """"))"),"Migration cost payments")</f>
        <v>Migration cost payments</v>
      </c>
      <c r="H2022" s="172" t="str">
        <f>IFERROR(__xludf.DUMMYFUNCTION("TRIM(REGEXREPLACE(D2022, ""[0-9]+[a-f]?\."", """"))"),"Paiement des frais de migration")</f>
        <v>Paiement des frais de migration</v>
      </c>
      <c r="I2022" s="172" t="str">
        <f>IFERROR(__xludf.DUMMYFUNCTION("TRIM(REGEXREPLACE(E2022, ""[0-9]+[a-f]?\."", """"))"),"Kashe kuɗin zuwa biɗa")</f>
        <v>Kashe kuɗin zuwa biɗa</v>
      </c>
      <c r="J2022" s="172" t="str">
        <f t="shared" ref="J2022:L2022" si="477">$F2022 &amp; ". " &amp;G2022</f>
        <v>454. Migration cost payments</v>
      </c>
      <c r="K2022" s="172" t="str">
        <f t="shared" si="477"/>
        <v>454. Paiement des frais de migration</v>
      </c>
      <c r="L2022" s="172" t="str">
        <f t="shared" si="477"/>
        <v>454. Kashe kuɗin zuwa biɗa</v>
      </c>
    </row>
    <row r="2023">
      <c r="A2023" s="253" t="s">
        <v>246</v>
      </c>
      <c r="B2023" s="254" t="s">
        <v>6373</v>
      </c>
      <c r="C2023" s="254" t="s">
        <v>3788</v>
      </c>
      <c r="D2023" s="254" t="s">
        <v>3789</v>
      </c>
      <c r="E2023" s="254" t="s">
        <v>3790</v>
      </c>
      <c r="F2023" s="182">
        <v>455.0</v>
      </c>
      <c r="G2023" s="172" t="str">
        <f>IFERROR(__xludf.DUMMYFUNCTION("TRIM(REGEXREPLACE(C2023, ""[0-9]+[a-f]?\."", """"))"),"Ceremonies")</f>
        <v>Ceremonies</v>
      </c>
      <c r="H2023" s="172" t="str">
        <f>IFERROR(__xludf.DUMMYFUNCTION("TRIM(REGEXREPLACE(D2023, ""[0-9]+[a-f]?\."", """"))"),"Cérémonies")</f>
        <v>Cérémonies</v>
      </c>
      <c r="I2023" s="172" t="str">
        <f>IFERROR(__xludf.DUMMYFUNCTION("TRIM(REGEXREPLACE(E2023, ""[0-9]+[a-f]?\."", """"))"),"Bukukuwa")</f>
        <v>Bukukuwa</v>
      </c>
      <c r="J2023" s="172" t="str">
        <f t="shared" ref="J2023:L2023" si="478">$F2023 &amp; ". " &amp;G2023</f>
        <v>455. Ceremonies</v>
      </c>
      <c r="K2023" s="172" t="str">
        <f t="shared" si="478"/>
        <v>455. Cérémonies</v>
      </c>
      <c r="L2023" s="172" t="str">
        <f t="shared" si="478"/>
        <v>455. Bukukuwa</v>
      </c>
    </row>
    <row r="2024">
      <c r="A2024" s="253" t="s">
        <v>246</v>
      </c>
      <c r="B2024" s="254" t="s">
        <v>6374</v>
      </c>
      <c r="C2024" s="254" t="s">
        <v>3795</v>
      </c>
      <c r="D2024" s="254" t="s">
        <v>3796</v>
      </c>
      <c r="E2024" s="254" t="s">
        <v>3797</v>
      </c>
      <c r="F2024" s="182">
        <v>456.0</v>
      </c>
      <c r="G2024" s="172" t="str">
        <f>IFERROR(__xludf.DUMMYFUNCTION("TRIM(REGEXREPLACE(C2024, ""[0-9]+[a-f]?\."", """"))"),"Other")</f>
        <v>Other</v>
      </c>
      <c r="H2024" s="172" t="str">
        <f>IFERROR(__xludf.DUMMYFUNCTION("TRIM(REGEXREPLACE(D2024, ""[0-9]+[a-f]?\."", """"))"),"Autres")</f>
        <v>Autres</v>
      </c>
      <c r="I2024" s="172" t="str">
        <f>IFERROR(__xludf.DUMMYFUNCTION("TRIM(REGEXREPLACE(E2024, ""[0-9]+[a-f]?\."", """"))"),"Wasu daban")</f>
        <v>Wasu daban</v>
      </c>
      <c r="J2024" s="172" t="str">
        <f t="shared" ref="J2024:L2024" si="479">$F2024 &amp; ". " &amp;G2024</f>
        <v>456. Other</v>
      </c>
      <c r="K2024" s="172" t="str">
        <f t="shared" si="479"/>
        <v>456. Autres</v>
      </c>
      <c r="L2024" s="172" t="str">
        <f t="shared" si="479"/>
        <v>456. Wasu daban</v>
      </c>
    </row>
    <row r="2025" hidden="1">
      <c r="A2025" s="211" t="s">
        <v>238</v>
      </c>
      <c r="B2025" s="224" t="s">
        <v>6352</v>
      </c>
      <c r="C2025" s="225"/>
      <c r="D2025" s="225"/>
      <c r="E2025" s="225"/>
    </row>
    <row r="2026" hidden="1">
      <c r="A2026" s="188" t="s">
        <v>118</v>
      </c>
      <c r="B2026" s="189" t="s">
        <v>6375</v>
      </c>
      <c r="C2026" s="190"/>
      <c r="D2026" s="190"/>
      <c r="E2026" s="190"/>
    </row>
    <row r="2027">
      <c r="A2027" s="246" t="s">
        <v>231</v>
      </c>
      <c r="B2027" s="247" t="s">
        <v>6376</v>
      </c>
      <c r="C2027" s="247" t="s">
        <v>3805</v>
      </c>
      <c r="D2027" s="247" t="s">
        <v>3805</v>
      </c>
      <c r="E2027" s="247" t="s">
        <v>3805</v>
      </c>
      <c r="F2027" s="182">
        <v>457.0</v>
      </c>
      <c r="G2027" s="172" t="str">
        <f>IFERROR(__xludf.DUMMYFUNCTION("TRIM(REGEXREPLACE(C2027, ""[0-9]+[a-f]?\."", """"))"),"You spent ${pm_cash_resid_exp_other} CFA on ""other"" categories. Please describe them:")</f>
        <v>You spent ${pm_cash_resid_exp_other} CFA on "other" categories. Please describe them:</v>
      </c>
      <c r="H2027" s="172" t="str">
        <f>IFERROR(__xludf.DUMMYFUNCTION("TRIM(REGEXREPLACE(D2027, ""[0-9]+[a-f]?\."", """"))"),"You spent ${pm_cash_resid_exp_other} CFA on ""other"" categories. Please describe them:")</f>
        <v>You spent ${pm_cash_resid_exp_other} CFA on "other" categories. Please describe them:</v>
      </c>
      <c r="I2027" s="172" t="str">
        <f>IFERROR(__xludf.DUMMYFUNCTION("TRIM(REGEXREPLACE(E2027, ""[0-9]+[a-f]?\."", """"))"),"You spent ${pm_cash_resid_exp_other} CFA on ""other"" categories. Please describe them:")</f>
        <v>You spent ${pm_cash_resid_exp_other} CFA on "other" categories. Please describe them:</v>
      </c>
      <c r="J2027" s="172" t="str">
        <f t="shared" ref="J2027:L2027" si="480">$F2027 &amp; ". " &amp;G2027</f>
        <v>457. You spent ${pm_cash_resid_exp_other} CFA on "other" categories. Please describe them:</v>
      </c>
      <c r="K2027" s="172" t="str">
        <f t="shared" si="480"/>
        <v>457. You spent ${pm_cash_resid_exp_other} CFA on "other" categories. Please describe them:</v>
      </c>
      <c r="L2027" s="172" t="str">
        <f t="shared" si="480"/>
        <v>457. You spent ${pm_cash_resid_exp_other} CFA on "other" categories. Please describe them:</v>
      </c>
    </row>
    <row r="2028">
      <c r="A2028" s="207" t="s">
        <v>41</v>
      </c>
      <c r="B2028" s="208" t="s">
        <v>6377</v>
      </c>
      <c r="C2028" s="208" t="s">
        <v>3808</v>
      </c>
      <c r="D2028" s="208" t="s">
        <v>3809</v>
      </c>
      <c r="E2028" s="208" t="s">
        <v>3810</v>
      </c>
      <c r="F2028" s="182">
        <v>458.0</v>
      </c>
      <c r="G2028" s="172" t="str">
        <f>IFERROR(__xludf.DUMMYFUNCTION("TRIM(REGEXREPLACE(C2028, ""[0-9]+[a-f]?\."", """"))"),"You mentioned that you spent ${pm_cash_resid_use}, which is greater than the amount you kept for yourself (${pm_cash_resid}). Please reassess your responses.")</f>
        <v>You mentioned that you spent ${pm_cash_resid_use}, which is greater than the amount you kept for yourself (${pm_cash_resid}). Please reassess your responses.</v>
      </c>
      <c r="H2028" s="172" t="str">
        <f>IFERROR(__xludf.DUMMYFUNCTION("TRIM(REGEXREPLACE(D2028, ""[0-9]+[a-f]?\."", """"))"),"Vous avez mentionné que vous aviez partagé ${pm_cash_resid_use}, ce qui est supérieur au montant que vous avez gardé pour vous (${pm_cash_resid}). Veuillez revoir vos réponses.")</f>
        <v>Vous avez mentionné que vous aviez partagé ${pm_cash_resid_use}, ce qui est supérieur au montant que vous avez gardé pour vous (${pm_cash_resid}). Veuillez revoir vos réponses.</v>
      </c>
      <c r="I2028" s="172" t="str">
        <f>IFERROR(__xludf.DUMMYFUNCTION("TRIM(REGEXREPLACE(E2028, ""[0-9]+[a-f]?\."", """"))"),"Kun ambaci cewa kun raba ${pm_cash_resid_use}, wanda ya fi yawan kuɗin da kuka ajiye don kanku (${pm_cash_resid}). Da fatan za ku sake duba amsarku.")</f>
        <v>Kun ambaci cewa kun raba ${pm_cash_resid_use}, wanda ya fi yawan kuɗin da kuka ajiye don kanku (${pm_cash_resid}). Da fatan za ku sake duba amsarku.</v>
      </c>
      <c r="J2028" s="172" t="str">
        <f t="shared" ref="J2028:L2028" si="481">$F2028 &amp; ". " &amp;G2028</f>
        <v>458. You mentioned that you spent ${pm_cash_resid_use}, which is greater than the amount you kept for yourself (${pm_cash_resid}). Please reassess your responses.</v>
      </c>
      <c r="K2028" s="172" t="str">
        <f t="shared" si="481"/>
        <v>458. Vous avez mentionné que vous aviez partagé ${pm_cash_resid_use}, ce qui est supérieur au montant que vous avez gardé pour vous (${pm_cash_resid}). Veuillez revoir vos réponses.</v>
      </c>
      <c r="L2028" s="172" t="str">
        <f t="shared" si="481"/>
        <v>458. Kun ambaci cewa kun raba ${pm_cash_resid_use}, wanda ya fi yawan kuɗin da kuka ajiye don kanku (${pm_cash_resid}). Da fatan za ku sake duba amsarku.</v>
      </c>
    </row>
    <row r="2029" hidden="1">
      <c r="A2029" s="188" t="s">
        <v>118</v>
      </c>
      <c r="B2029" s="279" t="s">
        <v>6378</v>
      </c>
      <c r="C2029" s="190"/>
      <c r="D2029" s="190"/>
      <c r="E2029" s="190"/>
    </row>
    <row r="2030" hidden="1">
      <c r="A2030" s="188" t="s">
        <v>68</v>
      </c>
      <c r="B2030" s="189" t="s">
        <v>6379</v>
      </c>
      <c r="C2030" s="190"/>
      <c r="D2030" s="190"/>
      <c r="E2030" s="190"/>
    </row>
    <row r="2031">
      <c r="A2031" s="215" t="s">
        <v>3423</v>
      </c>
      <c r="B2031" s="216" t="s">
        <v>6380</v>
      </c>
      <c r="C2031" s="216" t="s">
        <v>6381</v>
      </c>
      <c r="D2031" s="216" t="s">
        <v>6382</v>
      </c>
      <c r="E2031" s="216" t="s">
        <v>6383</v>
      </c>
      <c r="F2031" s="182">
        <v>459.0</v>
      </c>
      <c r="G2031" s="172" t="str">
        <f>IFERROR(__xludf.DUMMYFUNCTION("TRIM(REGEXREPLACE(C2031, ""[0-9]+[a-f]?\."", """"))"),"Did the assistance you received from Mercy Corps allow you to spend money on something you normally would not have spent money on?")</f>
        <v>Did the assistance you received from Mercy Corps allow you to spend money on something you normally would not have spent money on?</v>
      </c>
      <c r="H2031" s="172" t="str">
        <f>IFERROR(__xludf.DUMMYFUNCTION("TRIM(REGEXREPLACE(D2031, ""[0-9]+[a-f]?\."", """"))"),"L'assistance que vous avez reçue du Mercy Corps vous a permis de dépenser de l'argent pour quelque chose sur lequel vous n'auriez normalement pas dépensé de l'argent?")</f>
        <v>L'assistance que vous avez reçue du Mercy Corps vous a permis de dépenser de l'argent pour quelque chose sur lequel vous n'auriez normalement pas dépensé de l'argent?</v>
      </c>
      <c r="I2031" s="172" t="str">
        <f>IFERROR(__xludf.DUMMYFUNCTION("TRIM(REGEXREPLACE(E2031, ""[0-9]+[a-f]?\."", """"))"),"Ko taimakon da kuka samu daga Mercy Corps ya baku damar kashe kuɗi a kan abinda baku yi niyyar kashe kudi ba?")</f>
        <v>Ko taimakon da kuka samu daga Mercy Corps ya baku damar kashe kuɗi a kan abinda baku yi niyyar kashe kudi ba?</v>
      </c>
      <c r="J2031" s="172" t="str">
        <f t="shared" ref="J2031:L2031" si="482">$F2031 &amp; ". " &amp;G2031</f>
        <v>459. Did the assistance you received from Mercy Corps allow you to spend money on something you normally would not have spent money on?</v>
      </c>
      <c r="K2031" s="172" t="str">
        <f t="shared" si="482"/>
        <v>459. L'assistance que vous avez reçue du Mercy Corps vous a permis de dépenser de l'argent pour quelque chose sur lequel vous n'auriez normalement pas dépensé de l'argent?</v>
      </c>
      <c r="L2031" s="172" t="str">
        <f t="shared" si="482"/>
        <v>459. Ko taimakon da kuka samu daga Mercy Corps ya baku damar kashe kuɗi a kan abinda baku yi niyyar kashe kudi ba?</v>
      </c>
    </row>
    <row r="2032">
      <c r="A2032" s="215" t="s">
        <v>6219</v>
      </c>
      <c r="B2032" s="216" t="s">
        <v>6384</v>
      </c>
      <c r="C2032" s="216" t="s">
        <v>6385</v>
      </c>
      <c r="D2032" s="216" t="s">
        <v>6386</v>
      </c>
      <c r="E2032" s="216" t="s">
        <v>6387</v>
      </c>
      <c r="F2032" s="182">
        <v>460.0</v>
      </c>
      <c r="G2032" s="172" t="str">
        <f>IFERROR(__xludf.DUMMYFUNCTION("TRIM(REGEXREPLACE(C2032, ""[0-9]+[a-f]?\."", """"))"),"What did it allow you to spend money on?")</f>
        <v>What did it allow you to spend money on?</v>
      </c>
      <c r="H2032" s="172" t="str">
        <f>IFERROR(__xludf.DUMMYFUNCTION("TRIM(REGEXREPLACE(D2032, ""[0-9]+[a-f]?\."", """"))"),"Sur quoi vous a-t-il permis de dépenser de l'argent?")</f>
        <v>Sur quoi vous a-t-il permis de dépenser de l'argent?</v>
      </c>
      <c r="I2032" s="172" t="str">
        <f>IFERROR(__xludf.DUMMYFUNCTION("TRIM(REGEXREPLACE(E2032, ""[0-9]+[a-f]?\."", """"))"),"A kan me ya ba ku damar kashe kuɗi?")</f>
        <v>A kan me ya ba ku damar kashe kuɗi?</v>
      </c>
      <c r="J2032" s="172" t="str">
        <f t="shared" ref="J2032:L2032" si="483">$F2032 &amp; ". " &amp;G2032</f>
        <v>460. What did it allow you to spend money on?</v>
      </c>
      <c r="K2032" s="172" t="str">
        <f t="shared" si="483"/>
        <v>460. Sur quoi vous a-t-il permis de dépenser de l'argent?</v>
      </c>
      <c r="L2032" s="172" t="str">
        <f t="shared" si="483"/>
        <v>460. A kan me ya ba ku damar kashe kuɗi?</v>
      </c>
    </row>
    <row r="2033">
      <c r="A2033" s="215" t="s">
        <v>6388</v>
      </c>
      <c r="B2033" s="216" t="s">
        <v>6389</v>
      </c>
      <c r="C2033" s="216" t="s">
        <v>6390</v>
      </c>
      <c r="D2033" s="216" t="s">
        <v>6391</v>
      </c>
      <c r="E2033" s="216" t="s">
        <v>3805</v>
      </c>
      <c r="F2033" s="182">
        <v>461.0</v>
      </c>
      <c r="G2033" s="172" t="str">
        <f>IFERROR(__xludf.DUMMYFUNCTION("TRIM(REGEXREPLACE(C2033, ""[0-9]+[a-f]?\."", """"))"),"Who makes the decisions in your home specifically about the use of the cash transfer?")</f>
        <v>Who makes the decisions in your home specifically about the use of the cash transfer?</v>
      </c>
      <c r="H2033" s="172" t="str">
        <f>IFERROR(__xludf.DUMMYFUNCTION("TRIM(REGEXREPLACE(D2033, ""[0-9]+[a-f]?\."", """"))"),"Qui prend les décisions dans votre maison spécifiquement sur l'utilisation du transfert en espèces?")</f>
        <v>Qui prend les décisions dans votre maison spécifiquement sur l'utilisation du transfert en espèces?</v>
      </c>
      <c r="I2033" s="172" t="str">
        <f>IFERROR(__xludf.DUMMYFUNCTION("TRIM(REGEXREPLACE(E2033, ""[0-9]+[a-f]?\."", """"))"),"You spent ${pm_cash_resid_exp_other} CFA on ""other"" categories. Please describe them:")</f>
        <v>You spent ${pm_cash_resid_exp_other} CFA on "other" categories. Please describe them:</v>
      </c>
      <c r="J2033" s="172" t="str">
        <f t="shared" ref="J2033:L2033" si="484">$F2033 &amp; ". " &amp;G2033</f>
        <v>461. Who makes the decisions in your home specifically about the use of the cash transfer?</v>
      </c>
      <c r="K2033" s="172" t="str">
        <f t="shared" si="484"/>
        <v>461. Qui prend les décisions dans votre maison spécifiquement sur l'utilisation du transfert en espèces?</v>
      </c>
      <c r="L2033" s="172" t="str">
        <f t="shared" si="484"/>
        <v>461. You spent ${pm_cash_resid_exp_other} CFA on "other" categories. Please describe them:</v>
      </c>
    </row>
    <row r="2034" hidden="1">
      <c r="A2034" s="211" t="s">
        <v>238</v>
      </c>
      <c r="B2034" s="224" t="s">
        <v>6214</v>
      </c>
      <c r="C2034" s="225"/>
      <c r="D2034" s="225"/>
      <c r="E2034" s="225"/>
    </row>
    <row r="2035" hidden="1">
      <c r="A2035" s="188" t="s">
        <v>118</v>
      </c>
      <c r="B2035" s="279" t="s">
        <v>6392</v>
      </c>
      <c r="C2035" s="190"/>
      <c r="D2035" s="190"/>
      <c r="E2035" s="190"/>
    </row>
    <row r="2036" hidden="1">
      <c r="A2036" s="188" t="s">
        <v>68</v>
      </c>
      <c r="B2036" s="189" t="s">
        <v>6393</v>
      </c>
      <c r="C2036" s="190"/>
      <c r="D2036" s="190"/>
      <c r="E2036" s="190"/>
    </row>
    <row r="2037" hidden="1">
      <c r="A2037" s="211" t="s">
        <v>238</v>
      </c>
      <c r="B2037" s="224" t="s">
        <v>6209</v>
      </c>
      <c r="C2037" s="224" t="s">
        <v>6210</v>
      </c>
      <c r="D2037" s="225"/>
      <c r="E2037" s="225"/>
    </row>
    <row r="2038" hidden="1">
      <c r="A2038" s="211" t="s">
        <v>238</v>
      </c>
      <c r="B2038" s="211" t="s">
        <v>451</v>
      </c>
      <c r="C2038" s="224" t="s">
        <v>452</v>
      </c>
      <c r="D2038" s="263"/>
      <c r="E2038" s="263"/>
    </row>
    <row r="2039" hidden="1">
      <c r="A2039" s="188" t="s">
        <v>118</v>
      </c>
      <c r="B2039" s="279" t="s">
        <v>680</v>
      </c>
      <c r="C2039" s="190"/>
      <c r="D2039" s="190"/>
      <c r="E2039" s="190"/>
    </row>
    <row r="2040" hidden="1">
      <c r="A2040" s="188" t="s">
        <v>68</v>
      </c>
      <c r="B2040" s="189" t="s">
        <v>686</v>
      </c>
      <c r="C2040" s="190"/>
      <c r="D2040" s="290"/>
      <c r="E2040" s="290"/>
    </row>
    <row r="2041" hidden="1">
      <c r="A2041" s="172"/>
      <c r="B2041" s="172"/>
      <c r="C2041" s="174"/>
      <c r="D2041" s="172"/>
      <c r="E2041" s="172"/>
    </row>
    <row r="2042" hidden="1">
      <c r="A2042" s="188" t="s">
        <v>118</v>
      </c>
      <c r="B2042" s="189" t="s">
        <v>6394</v>
      </c>
      <c r="C2042" s="190"/>
      <c r="D2042" s="190"/>
      <c r="E2042" s="190"/>
    </row>
    <row r="2043" hidden="1">
      <c r="A2043" s="211" t="s">
        <v>107</v>
      </c>
      <c r="B2043" s="311" t="s">
        <v>6395</v>
      </c>
      <c r="C2043" s="212" t="s">
        <v>6396</v>
      </c>
      <c r="D2043" s="315"/>
      <c r="E2043" s="315"/>
    </row>
    <row r="2044">
      <c r="A2044" s="207" t="s">
        <v>41</v>
      </c>
      <c r="B2044" s="316" t="s">
        <v>6397</v>
      </c>
      <c r="C2044" s="208" t="s">
        <v>6398</v>
      </c>
      <c r="D2044" s="208" t="s">
        <v>6398</v>
      </c>
      <c r="E2044" s="208" t="s">
        <v>6398</v>
      </c>
      <c r="F2044" s="182">
        <v>462.0</v>
      </c>
      <c r="G2044" s="172" t="str">
        <f>IFERROR(__xludf.DUMMYFUNCTION("TRIM(REGEXREPLACE(C2044, ""[0-9]+[a-f]?\."", """"))"),"HoH Questions")</f>
        <v>HoH Questions</v>
      </c>
      <c r="H2044" s="172" t="str">
        <f>IFERROR(__xludf.DUMMYFUNCTION("TRIM(REGEXREPLACE(D2044, ""[0-9]+[a-f]?\."", """"))"),"HoH Questions")</f>
        <v>HoH Questions</v>
      </c>
      <c r="I2044" s="172" t="str">
        <f>IFERROR(__xludf.DUMMYFUNCTION("TRIM(REGEXREPLACE(E2044, ""[0-9]+[a-f]?\."", """"))"),"HoH Questions")</f>
        <v>HoH Questions</v>
      </c>
      <c r="J2044" s="172" t="str">
        <f t="shared" ref="J2044:L2044" si="485">$F2044 &amp; ". " &amp;G2044</f>
        <v>462. HoH Questions</v>
      </c>
      <c r="K2044" s="172" t="str">
        <f t="shared" si="485"/>
        <v>462. HoH Questions</v>
      </c>
      <c r="L2044" s="172" t="str">
        <f t="shared" si="485"/>
        <v>462. HoH Questions</v>
      </c>
    </row>
    <row r="2045" hidden="1">
      <c r="A2045" s="188" t="s">
        <v>118</v>
      </c>
      <c r="B2045" s="189" t="s">
        <v>6399</v>
      </c>
      <c r="C2045" s="190"/>
      <c r="D2045" s="190"/>
      <c r="E2045" s="190"/>
    </row>
    <row r="2046">
      <c r="A2046" s="207" t="s">
        <v>41</v>
      </c>
      <c r="B2046" s="208" t="s">
        <v>6400</v>
      </c>
      <c r="C2046" s="208" t="s">
        <v>3920</v>
      </c>
      <c r="D2046" s="208" t="s">
        <v>3921</v>
      </c>
      <c r="E2046" s="208" t="s">
        <v>3922</v>
      </c>
      <c r="F2046" s="182">
        <v>463.0</v>
      </c>
      <c r="G2046" s="172" t="str">
        <f>IFERROR(__xludf.DUMMYFUNCTION("TRIM(REGEXREPLACE(C2046, ""[0-9]+[a-f]?\."", """"))"),"A household is a group of people, related or unrelated, who live together in the same housing, pool their resources together, share their meals and recognize the authority of the same one person who is the head of household.")</f>
        <v>A household is a group of people, related or unrelated, who live together in the same housing, pool their resources together, share their meals and recognize the authority of the same one person who is the head of household.</v>
      </c>
      <c r="H2046" s="172" t="str">
        <f>IFERROR(__xludf.DUMMYFUNCTION("TRIM(REGEXREPLACE(D2046, ""[0-9]+[a-f]?\."", """"))"),"Un ménage est l’ensemble des personnes apparentées ou non qui vivent habituellement dans un même logement, mettent en commun leurs ressources, partagent leurs repas, et reconnaissent l’autorité d’une seule et même personne appelée chef de ménage.")</f>
        <v>Un ménage est l’ensemble des personnes apparentées ou non qui vivent habituellement dans un même logement, mettent en commun leurs ressources, partagent leurs repas, et reconnaissent l’autorité d’une seule et même personne appelée chef de ménage.</v>
      </c>
      <c r="I2046" s="172" t="str">
        <f>IFERROR(__xludf.DUMMYFUNCTION("TRIM(REGEXREPLACE(E2046, ""[0-9]+[a-f]?\."", """"))"),"Gida shine mutanen da ko dangi ko a'a wanda suke rayuwa cikin gida guda, sun sa dukiyar su tare, suna cin abinci tare, kuma sun yarda da shugabancin mutum ɗaya wanda a ke ce ma mai gida.")</f>
        <v>Gida shine mutanen da ko dangi ko a'a wanda suke rayuwa cikin gida guda, sun sa dukiyar su tare, suna cin abinci tare, kuma sun yarda da shugabancin mutum ɗaya wanda a ke ce ma mai gida.</v>
      </c>
      <c r="J2046" s="172" t="str">
        <f t="shared" ref="J2046:L2046" si="486">$F2046 &amp; ". " &amp;G2046</f>
        <v>463. A household is a group of people, related or unrelated, who live together in the same housing, pool their resources together, share their meals and recognize the authority of the same one person who is the head of household.</v>
      </c>
      <c r="K2046" s="172" t="str">
        <f t="shared" si="486"/>
        <v>463. Un ménage est l’ensemble des personnes apparentées ou non qui vivent habituellement dans un même logement, mettent en commun leurs ressources, partagent leurs repas, et reconnaissent l’autorité d’une seule et même personne appelée chef de ménage.</v>
      </c>
      <c r="L2046" s="172" t="str">
        <f t="shared" si="486"/>
        <v>463. Gida shine mutanen da ko dangi ko a'a wanda suke rayuwa cikin gida guda, sun sa dukiyar su tare, suna cin abinci tare, kuma sun yarda da shugabancin mutum ɗaya wanda a ke ce ma mai gida.</v>
      </c>
    </row>
    <row r="2047">
      <c r="A2047" s="215" t="s">
        <v>353</v>
      </c>
      <c r="B2047" s="216" t="s">
        <v>6401</v>
      </c>
      <c r="C2047" s="216" t="s">
        <v>6402</v>
      </c>
      <c r="D2047" s="216" t="s">
        <v>6403</v>
      </c>
      <c r="E2047" s="216" t="s">
        <v>6404</v>
      </c>
      <c r="F2047" s="182">
        <v>464.0</v>
      </c>
      <c r="G2047" s="172" t="str">
        <f>IFERROR(__xludf.DUMMYFUNCTION("TRIM(REGEXREPLACE(C2047, ""[0-9]+[a-f]?\."", """"))"),"Are there new members in the household since we last spoke to you? For reference, these are the members you mentioned:
 ${hoh_roster_list}")</f>
        <v>Are there new members in the household since we last spoke to you? For reference, these are the members you mentioned:
 ${hoh_roster_list}</v>
      </c>
      <c r="H2047" s="172" t="str">
        <f>IFERROR(__xludf.DUMMYFUNCTION("TRIM(REGEXREPLACE(D2047, ""[0-9]+[a-f]?\."", """"))"),"Y a-t-il de nouveaux membres dans le foyer depuis notre dernière conversation ? Pour référence, voici les membres que vous avez mentionnés : 
 ${hoh_roster_list}")</f>
        <v>Y a-t-il de nouveaux membres dans le foyer depuis notre dernière conversation ? Pour référence, voici les membres que vous avez mentionnés : 
 ${hoh_roster_list}</v>
      </c>
      <c r="I2047" s="172" t="str">
        <f>IFERROR(__xludf.DUMMYFUNCTION("TRIM(REGEXREPLACE(E2047, ""[0-9]+[a-f]?\."", """"))"),"Shin akwai sabbin membobi a gidan tun hirar mu ta ƙarshe? Don tunatarwa, waɗannan su ne membobin da ka ambata: 
 ${hoh_roster_list}")</f>
        <v>Shin akwai sabbin membobi a gidan tun hirar mu ta ƙarshe? Don tunatarwa, waɗannan su ne membobin da ka ambata: 
 ${hoh_roster_list}</v>
      </c>
      <c r="J2047" s="172" t="str">
        <f t="shared" ref="J2047:L2047" si="487">$F2047 &amp; ". " &amp;G2047</f>
        <v>464. Are there new members in the household since we last spoke to you? For reference, these are the members you mentioned:
 ${hoh_roster_list}</v>
      </c>
      <c r="K2047" s="172" t="str">
        <f t="shared" si="487"/>
        <v>464. Y a-t-il de nouveaux membres dans le foyer depuis notre dernière conversation ? Pour référence, voici les membres que vous avez mentionnés : 
 ${hoh_roster_list}</v>
      </c>
      <c r="L2047" s="172" t="str">
        <f t="shared" si="487"/>
        <v>464. Shin akwai sabbin membobi a gidan tun hirar mu ta ƙarshe? Don tunatarwa, waɗannan su ne membobin da ka ambata: 
 ${hoh_roster_list}</v>
      </c>
    </row>
    <row r="2048">
      <c r="A2048" s="253" t="s">
        <v>246</v>
      </c>
      <c r="B2048" s="254" t="s">
        <v>6405</v>
      </c>
      <c r="C2048" s="254" t="s">
        <v>6406</v>
      </c>
      <c r="D2048" s="254" t="s">
        <v>6407</v>
      </c>
      <c r="E2048" s="254" t="s">
        <v>6408</v>
      </c>
      <c r="F2048" s="182">
        <v>465.0</v>
      </c>
      <c r="G2048" s="172" t="str">
        <f>IFERROR(__xludf.DUMMYFUNCTION("TRIM(REGEXREPLACE(C2048, ""[0-9]+[a-f]?\."", """"))"),"How many?")</f>
        <v>How many?</v>
      </c>
      <c r="H2048" s="172" t="str">
        <f>IFERROR(__xludf.DUMMYFUNCTION("TRIM(REGEXREPLACE(D2048, ""[0-9]+[a-f]?\."", """"))"),"Combien?")</f>
        <v>Combien?</v>
      </c>
      <c r="I2048" s="172" t="str">
        <f>IFERROR(__xludf.DUMMYFUNCTION("TRIM(REGEXREPLACE(E2048, ""[0-9]+[a-f]?\."", """"))"),"Nawa?")</f>
        <v>Nawa?</v>
      </c>
      <c r="J2048" s="172" t="str">
        <f t="shared" ref="J2048:L2048" si="488">$F2048 &amp; ". " &amp;G2048</f>
        <v>465. How many?</v>
      </c>
      <c r="K2048" s="172" t="str">
        <f t="shared" si="488"/>
        <v>465. Combien?</v>
      </c>
      <c r="L2048" s="172" t="str">
        <f t="shared" si="488"/>
        <v>465. Nawa?</v>
      </c>
    </row>
    <row r="2049" hidden="1">
      <c r="A2049" s="255" t="s">
        <v>1042</v>
      </c>
      <c r="B2049" s="256" t="s">
        <v>6409</v>
      </c>
      <c r="C2049" s="256" t="s">
        <v>6410</v>
      </c>
      <c r="D2049" s="257"/>
      <c r="E2049" s="257"/>
    </row>
    <row r="2050" hidden="1">
      <c r="A2050" s="188" t="s">
        <v>68</v>
      </c>
      <c r="B2050" s="189" t="s">
        <v>6411</v>
      </c>
      <c r="C2050" s="217" t="s">
        <v>6412</v>
      </c>
      <c r="D2050" s="190"/>
      <c r="E2050" s="190"/>
    </row>
    <row r="2051" hidden="1">
      <c r="A2051" s="188" t="s">
        <v>68</v>
      </c>
      <c r="B2051" s="189" t="s">
        <v>6413</v>
      </c>
      <c r="C2051" s="190"/>
      <c r="D2051" s="190"/>
      <c r="E2051" s="190"/>
    </row>
    <row r="2052" hidden="1">
      <c r="A2052" s="188" t="s">
        <v>68</v>
      </c>
      <c r="B2052" s="189" t="s">
        <v>6414</v>
      </c>
      <c r="C2052" s="190"/>
      <c r="D2052" s="190"/>
      <c r="E2052" s="190"/>
    </row>
    <row r="2053" hidden="1">
      <c r="A2053" s="188" t="s">
        <v>68</v>
      </c>
      <c r="B2053" s="189" t="s">
        <v>6415</v>
      </c>
      <c r="C2053" s="190"/>
      <c r="D2053" s="190"/>
      <c r="E2053" s="190"/>
    </row>
    <row r="2054" hidden="1">
      <c r="A2054" s="211" t="s">
        <v>107</v>
      </c>
      <c r="B2054" s="212" t="s">
        <v>6416</v>
      </c>
      <c r="C2054" s="212" t="s">
        <v>6417</v>
      </c>
      <c r="D2054" s="214"/>
      <c r="E2054" s="214"/>
    </row>
    <row r="2055">
      <c r="A2055" s="246" t="s">
        <v>231</v>
      </c>
      <c r="B2055" s="247" t="s">
        <v>6418</v>
      </c>
      <c r="C2055" s="247" t="s">
        <v>3962</v>
      </c>
      <c r="D2055" s="247" t="s">
        <v>3963</v>
      </c>
      <c r="E2055" s="247" t="s">
        <v>3964</v>
      </c>
      <c r="F2055" s="182">
        <v>466.0</v>
      </c>
      <c r="G2055" s="172" t="str">
        <f>IFERROR(__xludf.DUMMYFUNCTION("TRIM(REGEXREPLACE(C2055, ""[0-9]+[a-f]?\."", """"))"),"What is the last name of ${hoh_hhtext}?")</f>
        <v>What is the last name of ${hoh_hhtext}?</v>
      </c>
      <c r="H2055" s="172" t="str">
        <f>IFERROR(__xludf.DUMMYFUNCTION("TRIM(REGEXREPLACE(D2055, ""[0-9]+[a-f]?\."", """"))"),"Quel est le nom de ${hoh_hhtextfrench} ?")</f>
        <v>Quel est le nom de ${hoh_hhtextfrench} ?</v>
      </c>
      <c r="I2055" s="172" t="str">
        <f>IFERROR(__xludf.DUMMYFUNCTION("TRIM(REGEXREPLACE(E2055, ""[0-9]+[a-f]?\."", """"))"),"Menene sunan uban ${hoh_hhtexthausa}?")</f>
        <v>Menene sunan uban ${hoh_hhtexthausa}?</v>
      </c>
      <c r="J2055" s="172" t="str">
        <f t="shared" ref="J2055:L2055" si="489">$F2055 &amp; ". " &amp;G2055</f>
        <v>466. What is the last name of ${hoh_hhtext}?</v>
      </c>
      <c r="K2055" s="172" t="str">
        <f t="shared" si="489"/>
        <v>466. Quel est le nom de ${hoh_hhtextfrench} ?</v>
      </c>
      <c r="L2055" s="172" t="str">
        <f t="shared" si="489"/>
        <v>466. Menene sunan uban ${hoh_hhtexthausa}?</v>
      </c>
    </row>
    <row r="2056">
      <c r="A2056" s="246" t="s">
        <v>231</v>
      </c>
      <c r="B2056" s="247" t="s">
        <v>6419</v>
      </c>
      <c r="C2056" s="247" t="s">
        <v>3970</v>
      </c>
      <c r="D2056" s="247" t="s">
        <v>3971</v>
      </c>
      <c r="E2056" s="247" t="s">
        <v>3972</v>
      </c>
      <c r="F2056" s="182">
        <v>467.0</v>
      </c>
      <c r="G2056" s="172" t="str">
        <f>IFERROR(__xludf.DUMMYFUNCTION("TRIM(REGEXREPLACE(C2056, ""[0-9]+[a-f]?\."", """"))"),"What is the first name of ${hoh_hhtext}?")</f>
        <v>What is the first name of ${hoh_hhtext}?</v>
      </c>
      <c r="H2056" s="172" t="str">
        <f>IFERROR(__xludf.DUMMYFUNCTION("TRIM(REGEXREPLACE(D2056, ""[0-9]+[a-f]?\."", """"))"),"Quel est le prenom de cette personne ${hoh_hhtextfrench} ?")</f>
        <v>Quel est le prenom de cette personne ${hoh_hhtextfrench} ?</v>
      </c>
      <c r="I2056" s="172" t="str">
        <f>IFERROR(__xludf.DUMMYFUNCTION("TRIM(REGEXREPLACE(E2056, ""[0-9]+[a-f]?\."", """"))"),"Menene sunan ${hoh_hhtexthausa}?")</f>
        <v>Menene sunan ${hoh_hhtexthausa}?</v>
      </c>
      <c r="J2056" s="172" t="str">
        <f t="shared" ref="J2056:L2056" si="490">$F2056 &amp; ". " &amp;G2056</f>
        <v>467. What is the first name of ${hoh_hhtext}?</v>
      </c>
      <c r="K2056" s="172" t="str">
        <f t="shared" si="490"/>
        <v>467. Quel est le prenom de cette personne ${hoh_hhtextfrench} ?</v>
      </c>
      <c r="L2056" s="172" t="str">
        <f t="shared" si="490"/>
        <v>467. Menene sunan ${hoh_hhtexthausa}?</v>
      </c>
    </row>
    <row r="2057" hidden="1">
      <c r="A2057" s="211" t="s">
        <v>238</v>
      </c>
      <c r="B2057" s="224" t="s">
        <v>6416</v>
      </c>
      <c r="C2057" s="225"/>
      <c r="D2057" s="225"/>
      <c r="E2057" s="225"/>
    </row>
    <row r="2058" hidden="1">
      <c r="A2058" s="188" t="s">
        <v>68</v>
      </c>
      <c r="B2058" s="189" t="s">
        <v>6420</v>
      </c>
      <c r="C2058" s="190"/>
      <c r="D2058" s="190"/>
      <c r="E2058" s="190"/>
    </row>
    <row r="2059">
      <c r="A2059" s="215" t="s">
        <v>6421</v>
      </c>
      <c r="B2059" s="216" t="s">
        <v>6422</v>
      </c>
      <c r="C2059" s="216" t="s">
        <v>3983</v>
      </c>
      <c r="D2059" s="216" t="s">
        <v>3984</v>
      </c>
      <c r="E2059" s="216" t="s">
        <v>3985</v>
      </c>
      <c r="F2059" s="182">
        <v>468.0</v>
      </c>
      <c r="G2059" s="172" t="str">
        <f>IFERROR(__xludf.DUMMYFUNCTION("TRIM(REGEXREPLACE(C2059, ""[0-9]+[a-f]?\."", """"))"),"What is ${hoh_new_mem_name}'s relationship to you, the household head?")</f>
        <v>What is ${hoh_new_mem_name}'s relationship to you, the household head?</v>
      </c>
      <c r="H2059" s="172" t="str">
        <f>IFERROR(__xludf.DUMMYFUNCTION("TRIM(REGEXREPLACE(D2059, ""[0-9]+[a-f]?\."", """"))"),"Quelle est la relation entre ${hoh_new_mem_name} et vous, le chef de ménage ?")</f>
        <v>Quelle est la relation entre ${hoh_new_mem_name} et vous, le chef de ménage ?</v>
      </c>
      <c r="I2059" s="172" t="str">
        <f>IFERROR(__xludf.DUMMYFUNCTION("TRIM(REGEXREPLACE(E2059, ""[0-9]+[a-f]?\."", """"))"),"Menene alaƙa tsakanin ${hoh_new_mem_name} da, mai gida?")</f>
        <v>Menene alaƙa tsakanin ${hoh_new_mem_name} da, mai gida?</v>
      </c>
      <c r="J2059" s="172" t="str">
        <f t="shared" ref="J2059:L2059" si="491">$F2059 &amp; ". " &amp;G2059</f>
        <v>468. What is ${hoh_new_mem_name}'s relationship to you, the household head?</v>
      </c>
      <c r="K2059" s="172" t="str">
        <f t="shared" si="491"/>
        <v>468. Quelle est la relation entre ${hoh_new_mem_name} et vous, le chef de ménage ?</v>
      </c>
      <c r="L2059" s="172" t="str">
        <f t="shared" si="491"/>
        <v>468. Menene alaƙa tsakanin ${hoh_new_mem_name} da, mai gida?</v>
      </c>
    </row>
    <row r="2060">
      <c r="A2060" s="215" t="s">
        <v>6423</v>
      </c>
      <c r="B2060" s="216" t="s">
        <v>6424</v>
      </c>
      <c r="C2060" s="216" t="s">
        <v>3990</v>
      </c>
      <c r="D2060" s="216" t="s">
        <v>3991</v>
      </c>
      <c r="E2060" s="216" t="s">
        <v>3992</v>
      </c>
      <c r="F2060" s="182">
        <v>469.0</v>
      </c>
      <c r="G2060" s="172" t="str">
        <f>IFERROR(__xludf.DUMMYFUNCTION("TRIM(REGEXREPLACE(C2060, ""[0-9]+[a-f]?\."", """"))"),"What is ${hoh_new_mem_name}'s sex?")</f>
        <v>What is ${hoh_new_mem_name}'s sex?</v>
      </c>
      <c r="H2060" s="172" t="str">
        <f>IFERROR(__xludf.DUMMYFUNCTION("TRIM(REGEXREPLACE(D2060, ""[0-9]+[a-f]?\."", """"))"),"Quel est le sexe de ${hoh_new_mem_name} ?")</f>
        <v>Quel est le sexe de ${hoh_new_mem_name} ?</v>
      </c>
      <c r="I2060" s="172" t="str">
        <f>IFERROR(__xludf.DUMMYFUNCTION("TRIM(REGEXREPLACE(E2060, ""[0-9]+[a-f]?\."", """"))"),"Menene jinsin ${hoh_new_mem_name}?")</f>
        <v>Menene jinsin ${hoh_new_mem_name}?</v>
      </c>
      <c r="J2060" s="172" t="str">
        <f t="shared" ref="J2060:L2060" si="492">$F2060 &amp; ". " &amp;G2060</f>
        <v>469. What is ${hoh_new_mem_name}'s sex?</v>
      </c>
      <c r="K2060" s="172" t="str">
        <f t="shared" si="492"/>
        <v>469. Quel est le sexe de ${hoh_new_mem_name} ?</v>
      </c>
      <c r="L2060" s="172" t="str">
        <f t="shared" si="492"/>
        <v>469. Menene jinsin ${hoh_new_mem_name}?</v>
      </c>
    </row>
    <row r="2061">
      <c r="A2061" s="253" t="s">
        <v>246</v>
      </c>
      <c r="B2061" s="254" t="s">
        <v>6425</v>
      </c>
      <c r="C2061" s="254" t="s">
        <v>3994</v>
      </c>
      <c r="D2061" s="254" t="s">
        <v>3995</v>
      </c>
      <c r="E2061" s="254" t="s">
        <v>3996</v>
      </c>
      <c r="F2061" s="182">
        <v>470.0</v>
      </c>
      <c r="G2061" s="172" t="str">
        <f>IFERROR(__xludf.DUMMYFUNCTION("TRIM(REGEXREPLACE(C2061, ""[0-9]+[a-f]?\."", """"))"),"What is ${hoh_new_mem_name}'s age?")</f>
        <v>What is ${hoh_new_mem_name}'s age?</v>
      </c>
      <c r="H2061" s="172" t="str">
        <f>IFERROR(__xludf.DUMMYFUNCTION("TRIM(REGEXREPLACE(D2061, ""[0-9]+[a-f]?\."", """"))"),"Quel âge a ${hoh_new_mem_name} ?")</f>
        <v>Quel âge a ${hoh_new_mem_name} ?</v>
      </c>
      <c r="I2061" s="172" t="str">
        <f>IFERROR(__xludf.DUMMYFUNCTION("TRIM(REGEXREPLACE(E2061, ""[0-9]+[a-f]?\."", """"))"),"${hoh_new_mem_name} Shekarun shi/ta nawa?")</f>
        <v>${hoh_new_mem_name} Shekarun shi/ta nawa?</v>
      </c>
      <c r="J2061" s="172" t="str">
        <f t="shared" ref="J2061:L2061" si="493">$F2061 &amp; ". " &amp;G2061</f>
        <v>470. What is ${hoh_new_mem_name}'s age?</v>
      </c>
      <c r="K2061" s="172" t="str">
        <f t="shared" si="493"/>
        <v>470. Quel âge a ${hoh_new_mem_name} ?</v>
      </c>
      <c r="L2061" s="172" t="str">
        <f t="shared" si="493"/>
        <v>470. ${hoh_new_mem_name} Shekarun shi/ta nawa?</v>
      </c>
    </row>
    <row r="2062" hidden="1">
      <c r="A2062" s="255" t="s">
        <v>1064</v>
      </c>
      <c r="B2062" s="261" t="s">
        <v>6409</v>
      </c>
      <c r="C2062" s="261" t="s">
        <v>6410</v>
      </c>
      <c r="D2062" s="262"/>
      <c r="E2062" s="262"/>
    </row>
    <row r="2063" hidden="1">
      <c r="A2063" s="188" t="s">
        <v>118</v>
      </c>
      <c r="B2063" s="189" t="s">
        <v>6426</v>
      </c>
      <c r="C2063" s="190"/>
      <c r="D2063" s="190"/>
      <c r="E2063" s="190"/>
    </row>
    <row r="2064" hidden="1">
      <c r="A2064" s="188" t="s">
        <v>68</v>
      </c>
      <c r="B2064" s="189" t="s">
        <v>6427</v>
      </c>
      <c r="C2064" s="190"/>
      <c r="D2064" s="190"/>
      <c r="E2064" s="190"/>
    </row>
    <row r="2065" hidden="1">
      <c r="A2065" s="188" t="s">
        <v>68</v>
      </c>
      <c r="B2065" s="279" t="s">
        <v>6428</v>
      </c>
      <c r="C2065" s="190"/>
      <c r="D2065" s="190"/>
      <c r="E2065" s="190"/>
    </row>
    <row r="2066">
      <c r="A2066" s="207" t="s">
        <v>41</v>
      </c>
      <c r="B2066" s="208" t="s">
        <v>6429</v>
      </c>
      <c r="C2066" s="208" t="s">
        <v>4019</v>
      </c>
      <c r="D2066" s="208" t="s">
        <v>4020</v>
      </c>
      <c r="E2066" s="208" t="s">
        <v>4021</v>
      </c>
      <c r="F2066" s="182">
        <v>471.0</v>
      </c>
      <c r="G2066" s="172" t="str">
        <f>IFERROR(__xludf.DUMMYFUNCTION("TRIM(REGEXREPLACE(C2066, ""[0-9]+[a-f]?\."", """"))"),"I want to ask a few questions about the members of your household who are currently residing here.")</f>
        <v>I want to ask a few questions about the members of your household who are currently residing here.</v>
      </c>
      <c r="H2066" s="172" t="str">
        <f>IFERROR(__xludf.DUMMYFUNCTION("TRIM(REGEXREPLACE(D2066, ""[0-9]+[a-f]?\."", """"))"),"Je veux poser quelques questions sur les membres de votre ménage qui résident actuellement ici.")</f>
        <v>Je veux poser quelques questions sur les membres de votre ménage qui résident actuellement ici.</v>
      </c>
      <c r="I2066" s="172" t="str">
        <f>IFERROR(__xludf.DUMMYFUNCTION("TRIM(REGEXREPLACE(E2066, ""[0-9]+[a-f]?\."", """"))"),"Ina so in muku ƴan tambayoyi bisa yan gidanku da ke zaune a gida a yanzu.")</f>
        <v>Ina so in muku ƴan tambayoyi bisa yan gidanku da ke zaune a gida a yanzu.</v>
      </c>
      <c r="J2066" s="172" t="str">
        <f t="shared" ref="J2066:L2066" si="494">$F2066 &amp; ". " &amp;G2066</f>
        <v>471. I want to ask a few questions about the members of your household who are currently residing here.</v>
      </c>
      <c r="K2066" s="172" t="str">
        <f t="shared" si="494"/>
        <v>471. Je veux poser quelques questions sur les membres de votre ménage qui résident actuellement ici.</v>
      </c>
      <c r="L2066" s="172" t="str">
        <f t="shared" si="494"/>
        <v>471. Ina so in muku ƴan tambayoyi bisa yan gidanku da ke zaune a gida a yanzu.</v>
      </c>
    </row>
    <row r="2067" hidden="1">
      <c r="A2067" s="172"/>
      <c r="B2067" s="172"/>
      <c r="C2067" s="172"/>
      <c r="D2067" s="172"/>
      <c r="E2067" s="172"/>
    </row>
    <row r="2068" hidden="1">
      <c r="A2068" s="255" t="s">
        <v>1042</v>
      </c>
      <c r="B2068" s="256" t="s">
        <v>6430</v>
      </c>
      <c r="C2068" s="256" t="s">
        <v>1972</v>
      </c>
      <c r="D2068" s="257"/>
      <c r="E2068" s="257"/>
    </row>
    <row r="2069" hidden="1">
      <c r="A2069" s="188" t="s">
        <v>118</v>
      </c>
      <c r="B2069" s="189" t="s">
        <v>6431</v>
      </c>
      <c r="C2069" s="190"/>
      <c r="D2069" s="190"/>
      <c r="E2069" s="190"/>
    </row>
    <row r="2070" hidden="1">
      <c r="A2070" s="188" t="s">
        <v>68</v>
      </c>
      <c r="B2070" s="189" t="s">
        <v>6432</v>
      </c>
      <c r="C2070" s="190"/>
      <c r="D2070" s="190"/>
      <c r="E2070" s="190"/>
    </row>
    <row r="2071" hidden="1">
      <c r="A2071" s="188" t="s">
        <v>68</v>
      </c>
      <c r="B2071" s="189" t="s">
        <v>6433</v>
      </c>
      <c r="C2071" s="217" t="s">
        <v>1993</v>
      </c>
      <c r="D2071" s="190"/>
      <c r="E2071" s="190"/>
    </row>
    <row r="2072" hidden="1">
      <c r="A2072" s="188" t="s">
        <v>68</v>
      </c>
      <c r="B2072" s="189" t="s">
        <v>6434</v>
      </c>
      <c r="C2072" s="217" t="s">
        <v>2001</v>
      </c>
      <c r="D2072" s="190"/>
      <c r="E2072" s="190"/>
    </row>
    <row r="2073" hidden="1">
      <c r="A2073" s="188" t="s">
        <v>68</v>
      </c>
      <c r="B2073" s="189" t="s">
        <v>6435</v>
      </c>
      <c r="C2073" s="217" t="s">
        <v>2010</v>
      </c>
      <c r="D2073" s="190"/>
      <c r="E2073" s="190"/>
    </row>
    <row r="2074" hidden="1">
      <c r="A2074" s="188" t="s">
        <v>68</v>
      </c>
      <c r="B2074" s="189" t="s">
        <v>6436</v>
      </c>
      <c r="C2074" s="190"/>
      <c r="D2074" s="190"/>
      <c r="E2074" s="190"/>
    </row>
    <row r="2075" hidden="1">
      <c r="A2075" s="188" t="s">
        <v>68</v>
      </c>
      <c r="B2075" s="189" t="s">
        <v>6437</v>
      </c>
      <c r="C2075" s="217" t="s">
        <v>6438</v>
      </c>
      <c r="D2075" s="190"/>
      <c r="E2075" s="190"/>
    </row>
    <row r="2076" hidden="1">
      <c r="A2076" s="188" t="s">
        <v>68</v>
      </c>
      <c r="B2076" s="189" t="s">
        <v>6439</v>
      </c>
      <c r="C2076" s="217" t="s">
        <v>6440</v>
      </c>
      <c r="D2076" s="190"/>
      <c r="E2076" s="190"/>
    </row>
    <row r="2077" hidden="1">
      <c r="A2077" s="188" t="s">
        <v>68</v>
      </c>
      <c r="B2077" s="189" t="s">
        <v>6441</v>
      </c>
      <c r="C2077" s="217" t="s">
        <v>6442</v>
      </c>
      <c r="D2077" s="190"/>
      <c r="E2077" s="190"/>
    </row>
    <row r="2078" hidden="1">
      <c r="A2078" s="188" t="s">
        <v>68</v>
      </c>
      <c r="B2078" s="189" t="s">
        <v>6443</v>
      </c>
      <c r="C2078" s="190"/>
      <c r="D2078" s="190"/>
      <c r="E2078" s="190"/>
    </row>
    <row r="2079" hidden="1">
      <c r="A2079" s="188" t="s">
        <v>68</v>
      </c>
      <c r="B2079" s="189" t="s">
        <v>6444</v>
      </c>
      <c r="C2079" s="190"/>
      <c r="D2079" s="190"/>
      <c r="E2079" s="190"/>
    </row>
    <row r="2080" hidden="1">
      <c r="A2080" s="188" t="s">
        <v>68</v>
      </c>
      <c r="B2080" s="189" t="s">
        <v>6445</v>
      </c>
      <c r="C2080" s="190"/>
      <c r="D2080" s="190"/>
      <c r="E2080" s="190"/>
    </row>
    <row r="2081">
      <c r="A2081" s="207" t="s">
        <v>41</v>
      </c>
      <c r="B2081" s="208" t="s">
        <v>6446</v>
      </c>
      <c r="C2081" s="208" t="s">
        <v>6447</v>
      </c>
      <c r="D2081" s="208" t="s">
        <v>6447</v>
      </c>
      <c r="E2081" s="208" t="s">
        <v>6447</v>
      </c>
      <c r="F2081" s="182">
        <v>472.0</v>
      </c>
      <c r="G2081" s="172" t="str">
        <f>IFERROR(__xludf.DUMMYFUNCTION("TRIM(REGEXREPLACE(C2081, ""[0-9]+[a-f]?\."", """"))"),"${hoh_roster_name}
 Sex: ${hoh_roster_sex}
 Age: ${hoh_roster_age}")</f>
        <v>${hoh_roster_name}
 Sex: ${hoh_roster_sex}
 Age: ${hoh_roster_age}</v>
      </c>
      <c r="H2081" s="172" t="str">
        <f>IFERROR(__xludf.DUMMYFUNCTION("TRIM(REGEXREPLACE(D2081, ""[0-9]+[a-f]?\."", """"))"),"${hoh_roster_name}
 Sex: ${hoh_roster_sex}
 Age: ${hoh_roster_age}")</f>
        <v>${hoh_roster_name}
 Sex: ${hoh_roster_sex}
 Age: ${hoh_roster_age}</v>
      </c>
      <c r="I2081" s="172" t="str">
        <f>IFERROR(__xludf.DUMMYFUNCTION("TRIM(REGEXREPLACE(E2081, ""[0-9]+[a-f]?\."", """"))"),"${hoh_roster_name}
 Sex: ${hoh_roster_sex}
 Age: ${hoh_roster_age}")</f>
        <v>${hoh_roster_name}
 Sex: ${hoh_roster_sex}
 Age: ${hoh_roster_age}</v>
      </c>
      <c r="J2081" s="172" t="str">
        <f t="shared" ref="J2081:L2081" si="495">$F2081 &amp; ". " &amp;G2081</f>
        <v>472. ${hoh_roster_name}
 Sex: ${hoh_roster_sex}
 Age: ${hoh_roster_age}</v>
      </c>
      <c r="K2081" s="172" t="str">
        <f t="shared" si="495"/>
        <v>472. ${hoh_roster_name}
 Sex: ${hoh_roster_sex}
 Age: ${hoh_roster_age}</v>
      </c>
      <c r="L2081" s="172" t="str">
        <f t="shared" si="495"/>
        <v>472. ${hoh_roster_name}
 Sex: ${hoh_roster_sex}
 Age: ${hoh_roster_age}</v>
      </c>
    </row>
    <row r="2082">
      <c r="A2082" s="215" t="s">
        <v>3423</v>
      </c>
      <c r="B2082" s="216" t="s">
        <v>6448</v>
      </c>
      <c r="C2082" s="216" t="s">
        <v>4080</v>
      </c>
      <c r="D2082" s="216" t="s">
        <v>4081</v>
      </c>
      <c r="E2082" s="216" t="s">
        <v>4082</v>
      </c>
      <c r="F2082" s="182">
        <v>473.0</v>
      </c>
      <c r="G2082" s="172" t="str">
        <f>IFERROR(__xludf.DUMMYFUNCTION("TRIM(REGEXREPLACE(C2082, ""[0-9]+[a-f]?\."", """"))"),"Is ${hoh_roster_name} a Nigerien national?")</f>
        <v>Is ${hoh_roster_name} a Nigerien national?</v>
      </c>
      <c r="H2082" s="172" t="str">
        <f>IFERROR(__xludf.DUMMYFUNCTION("TRIM(REGEXREPLACE(D2082, ""[0-9]+[a-f]?\."", """"))"),"${hoh_roster_name} est-il un citoyen(ne) du Niger ?")</f>
        <v>${hoh_roster_name} est-il un citoyen(ne) du Niger ?</v>
      </c>
      <c r="I2082" s="172" t="str">
        <f>IFERROR(__xludf.DUMMYFUNCTION("TRIM(REGEXREPLACE(E2082, ""[0-9]+[a-f]?\."", """"))"),"Ko ${hoh_roster_name} ɗan ƙasar Nijar ne?")</f>
        <v>Ko ${hoh_roster_name} ɗan ƙasar Nijar ne?</v>
      </c>
      <c r="J2082" s="172" t="str">
        <f t="shared" ref="J2082:L2082" si="496">$F2082 &amp; ". " &amp;G2082</f>
        <v>473. Is ${hoh_roster_name} a Nigerien national?</v>
      </c>
      <c r="K2082" s="172" t="str">
        <f t="shared" si="496"/>
        <v>473. ${hoh_roster_name} est-il un citoyen(ne) du Niger ?</v>
      </c>
      <c r="L2082" s="172" t="str">
        <f t="shared" si="496"/>
        <v>473. Ko ${hoh_roster_name} ɗan ƙasar Nijar ne?</v>
      </c>
    </row>
    <row r="2083">
      <c r="A2083" s="215" t="s">
        <v>489</v>
      </c>
      <c r="B2083" s="216" t="s">
        <v>6449</v>
      </c>
      <c r="C2083" s="216" t="s">
        <v>4084</v>
      </c>
      <c r="D2083" s="216" t="s">
        <v>4085</v>
      </c>
      <c r="E2083" s="216" t="s">
        <v>4086</v>
      </c>
      <c r="F2083" s="182">
        <v>474.0</v>
      </c>
      <c r="G2083" s="172" t="str">
        <f>IFERROR(__xludf.DUMMYFUNCTION("TRIM(REGEXREPLACE(C2083, ""[0-9]+[a-f]?\."", """"))"),"Where are they a cititzen of?")</f>
        <v>Where are they a cititzen of?</v>
      </c>
      <c r="H2083" s="172" t="str">
        <f>IFERROR(__xludf.DUMMYFUNCTION("TRIM(REGEXREPLACE(D2083, ""[0-9]+[a-f]?\."", """"))"),"D'où sont-ils citoyens ?")</f>
        <v>D'où sont-ils citoyens ?</v>
      </c>
      <c r="I2083" s="172" t="str">
        <f>IFERROR(__xludf.DUMMYFUNCTION("TRIM(REGEXREPLACE(E2083, ""[0-9]+[a-f]?\."", """"))"),"Ƴan wace ƙasa ce?")</f>
        <v>Ƴan wace ƙasa ce?</v>
      </c>
      <c r="J2083" s="172" t="str">
        <f t="shared" ref="J2083:L2083" si="497">$F2083 &amp; ". " &amp;G2083</f>
        <v>474. Where are they a cititzen of?</v>
      </c>
      <c r="K2083" s="172" t="str">
        <f t="shared" si="497"/>
        <v>474. D'où sont-ils citoyens ?</v>
      </c>
      <c r="L2083" s="172" t="str">
        <f t="shared" si="497"/>
        <v>474. Ƴan wace ƙasa ce?</v>
      </c>
    </row>
    <row r="2084">
      <c r="A2084" s="246" t="s">
        <v>231</v>
      </c>
      <c r="B2084" s="247" t="s">
        <v>6450</v>
      </c>
      <c r="C2084" s="247" t="s">
        <v>4091</v>
      </c>
      <c r="D2084" s="247" t="s">
        <v>4092</v>
      </c>
      <c r="E2084" s="247" t="s">
        <v>4093</v>
      </c>
      <c r="F2084" s="182">
        <v>475.0</v>
      </c>
      <c r="G2084" s="172" t="str">
        <f>IFERROR(__xludf.DUMMYFUNCTION("TRIM(REGEXREPLACE(C2084, ""[0-9]+[a-f]?\."", """"))"),"Please enter the nationality of ${hoh_roster_name}")</f>
        <v>Please enter the nationality of ${hoh_roster_name}</v>
      </c>
      <c r="H2084" s="172" t="str">
        <f>IFERROR(__xludf.DUMMYFUNCTION("TRIM(REGEXREPLACE(D2084, ""[0-9]+[a-f]?\."", """"))"),"Veuillez saisir la nationalité de ${hoh_roster_name}")</f>
        <v>Veuillez saisir la nationalité de ${hoh_roster_name}</v>
      </c>
      <c r="I2084" s="172" t="str">
        <f>IFERROR(__xludf.DUMMYFUNCTION("TRIM(REGEXREPLACE(E2084, ""[0-9]+[a-f]?\."", """"))"),"Da fatan za a shigar da ƙasar ${hoh_roster_name}")</f>
        <v>Da fatan za a shigar da ƙasar ${hoh_roster_name}</v>
      </c>
      <c r="J2084" s="172" t="str">
        <f t="shared" ref="J2084:L2084" si="498">$F2084 &amp; ". " &amp;G2084</f>
        <v>475. Please enter the nationality of ${hoh_roster_name}</v>
      </c>
      <c r="K2084" s="172" t="str">
        <f t="shared" si="498"/>
        <v>475. Veuillez saisir la nationalité de ${hoh_roster_name}</v>
      </c>
      <c r="L2084" s="172" t="str">
        <f t="shared" si="498"/>
        <v>475. Da fatan za a shigar da ƙasar ${hoh_roster_name}</v>
      </c>
    </row>
    <row r="2085">
      <c r="A2085" s="215" t="s">
        <v>353</v>
      </c>
      <c r="B2085" s="216" t="s">
        <v>6451</v>
      </c>
      <c r="C2085" s="216" t="s">
        <v>4095</v>
      </c>
      <c r="D2085" s="216" t="s">
        <v>4096</v>
      </c>
      <c r="E2085" s="216" t="s">
        <v>4097</v>
      </c>
      <c r="F2085" s="182">
        <v>476.0</v>
      </c>
      <c r="G2085" s="172" t="str">
        <f>IFERROR(__xludf.DUMMYFUNCTION("TRIM(REGEXREPLACE(C2085, ""[0-9]+[a-f]?\."", """"))"),"Is ${hoh_roster_name} still a member of this household?")</f>
        <v>Is ${hoh_roster_name} still a member of this household?</v>
      </c>
      <c r="H2085" s="172" t="str">
        <f>IFERROR(__xludf.DUMMYFUNCTION("TRIM(REGEXREPLACE(D2085, ""[0-9]+[a-f]?\."", """"))"),"${hoh_roster_name} est-il toujours membre de ce ménage ?")</f>
        <v>${hoh_roster_name} est-il toujours membre de ce ménage ?</v>
      </c>
      <c r="I2085" s="172" t="str">
        <f>IFERROR(__xludf.DUMMYFUNCTION("TRIM(REGEXREPLACE(E2085, ""[0-9]+[a-f]?\."", """"))"),"Ko suna yana cikin ƴan gidan nan?")</f>
        <v>Ko suna yana cikin ƴan gidan nan?</v>
      </c>
      <c r="J2085" s="172" t="str">
        <f t="shared" ref="J2085:L2085" si="499">$F2085 &amp; ". " &amp;G2085</f>
        <v>476. Is ${hoh_roster_name} still a member of this household?</v>
      </c>
      <c r="K2085" s="172" t="str">
        <f t="shared" si="499"/>
        <v>476. ${hoh_roster_name} est-il toujours membre de ce ménage ?</v>
      </c>
      <c r="L2085" s="172" t="str">
        <f t="shared" si="499"/>
        <v>476. Ko suna yana cikin ƴan gidan nan?</v>
      </c>
    </row>
    <row r="2086">
      <c r="A2086" s="215" t="s">
        <v>6452</v>
      </c>
      <c r="B2086" s="216" t="s">
        <v>6453</v>
      </c>
      <c r="C2086" s="216" t="s">
        <v>4101</v>
      </c>
      <c r="D2086" s="216" t="s">
        <v>4103</v>
      </c>
      <c r="E2086" s="216" t="s">
        <v>4104</v>
      </c>
      <c r="F2086" s="182">
        <v>477.0</v>
      </c>
      <c r="G2086" s="172" t="str">
        <f>IFERROR(__xludf.DUMMYFUNCTION("TRIM(REGEXREPLACE(C2086, ""[0-9]+[a-f]?\."", """"))"),"Why are they not a member of this household?")</f>
        <v>Why are they not a member of this household?</v>
      </c>
      <c r="H2086" s="172" t="str">
        <f>IFERROR(__xludf.DUMMYFUNCTION("TRIM(REGEXREPLACE(D2086, ""[0-9]+[a-f]?\."", """"))"),"Pourquoi ne font-ils pas partie de ce ménage ?")</f>
        <v>Pourquoi ne font-ils pas partie de ce ménage ?</v>
      </c>
      <c r="I2086" s="172" t="str">
        <f>IFERROR(__xludf.DUMMYFUNCTION("TRIM(REGEXREPLACE(E2086, ""[0-9]+[a-f]?\."", """"))"),"Me ya sa ba su cikin ƴan gidan nan ?")</f>
        <v>Me ya sa ba su cikin ƴan gidan nan ?</v>
      </c>
      <c r="J2086" s="172" t="str">
        <f t="shared" ref="J2086:L2086" si="500">$F2086 &amp; ". " &amp;G2086</f>
        <v>477. Why are they not a member of this household?</v>
      </c>
      <c r="K2086" s="172" t="str">
        <f t="shared" si="500"/>
        <v>477. Pourquoi ne font-ils pas partie de ce ménage ?</v>
      </c>
      <c r="L2086" s="172" t="str">
        <f t="shared" si="500"/>
        <v>477. Me ya sa ba su cikin ƴan gidan nan ?</v>
      </c>
    </row>
    <row r="2087">
      <c r="A2087" s="246" t="s">
        <v>231</v>
      </c>
      <c r="B2087" s="247" t="s">
        <v>6454</v>
      </c>
      <c r="C2087" s="247" t="s">
        <v>4106</v>
      </c>
      <c r="D2087" s="247" t="s">
        <v>4107</v>
      </c>
      <c r="E2087" s="247" t="s">
        <v>4108</v>
      </c>
      <c r="F2087" s="182">
        <v>478.0</v>
      </c>
      <c r="G2087" s="172" t="str">
        <f>IFERROR(__xludf.DUMMYFUNCTION("TRIM(REGEXREPLACE(C2087, ""[0-9]+[a-f]?\."", """"))"),"Other, specify:")</f>
        <v>Other, specify:</v>
      </c>
      <c r="H2087" s="172" t="str">
        <f>IFERROR(__xludf.DUMMYFUNCTION("TRIM(REGEXREPLACE(D2087, ""[0-9]+[a-f]?\."", """"))"),"Autre précisez:")</f>
        <v>Autre précisez:</v>
      </c>
      <c r="I2087" s="172" t="str">
        <f>IFERROR(__xludf.DUMMYFUNCTION("TRIM(REGEXREPLACE(E2087, ""[0-9]+[a-f]?\."", """"))"),"Sauran, bayar da cikakkun bayanai:")</f>
        <v>Sauran, bayar da cikakkun bayanai:</v>
      </c>
      <c r="J2087" s="172" t="str">
        <f t="shared" ref="J2087:L2087" si="501">$F2087 &amp; ". " &amp;G2087</f>
        <v>478. Other, specify:</v>
      </c>
      <c r="K2087" s="172" t="str">
        <f t="shared" si="501"/>
        <v>478. Autre précisez:</v>
      </c>
      <c r="L2087" s="172" t="str">
        <f t="shared" si="501"/>
        <v>478. Sauran, bayar da cikakkun bayanai:</v>
      </c>
    </row>
    <row r="2088">
      <c r="A2088" s="246" t="s">
        <v>231</v>
      </c>
      <c r="B2088" s="247" t="s">
        <v>6455</v>
      </c>
      <c r="C2088" s="247" t="s">
        <v>4112</v>
      </c>
      <c r="D2088" s="247" t="s">
        <v>4113</v>
      </c>
      <c r="E2088" s="247" t="s">
        <v>4113</v>
      </c>
      <c r="F2088" s="182">
        <v>479.0</v>
      </c>
      <c r="G2088" s="172" t="str">
        <f>IFERROR(__xludf.DUMMYFUNCTION("TRIM(REGEXREPLACE(C2088, ""[0-9]+[a-f]?\."", """"))"),"Enumerator: Record any details about the death of the family member")</f>
        <v>Enumerator: Record any details about the death of the family member</v>
      </c>
      <c r="H2088" s="172" t="str">
        <f>IFERROR(__xludf.DUMMYFUNCTION("TRIM(REGEXREPLACE(D2088, ""[0-9]+[a-f]?\."", """"))"),"Enqueteur: Veuillez noter toute information pertinente concernant le décès")</f>
        <v>Enqueteur: Veuillez noter toute information pertinente concernant le décès</v>
      </c>
      <c r="I2088" s="172" t="str">
        <f>IFERROR(__xludf.DUMMYFUNCTION("TRIM(REGEXREPLACE(E2088, ""[0-9]+[a-f]?\."", """"))"),"Enqueteur: Veuillez noter toute information pertinente concernant le décès")</f>
        <v>Enqueteur: Veuillez noter toute information pertinente concernant le décès</v>
      </c>
      <c r="J2088" s="172" t="str">
        <f t="shared" ref="J2088:L2088" si="502">$F2088 &amp; ". " &amp;G2088</f>
        <v>479. Enumerator: Record any details about the death of the family member</v>
      </c>
      <c r="K2088" s="172" t="str">
        <f t="shared" si="502"/>
        <v>479. Enqueteur: Veuillez noter toute information pertinente concernant le décès</v>
      </c>
      <c r="L2088" s="172" t="str">
        <f t="shared" si="502"/>
        <v>479. Enqueteur: Veuillez noter toute information pertinente concernant le décès</v>
      </c>
    </row>
    <row r="2089">
      <c r="A2089" s="215" t="s">
        <v>353</v>
      </c>
      <c r="B2089" s="216" t="s">
        <v>6456</v>
      </c>
      <c r="C2089" s="216" t="s">
        <v>4116</v>
      </c>
      <c r="D2089" s="216" t="s">
        <v>4117</v>
      </c>
      <c r="E2089" s="216" t="s">
        <v>4118</v>
      </c>
      <c r="F2089" s="182">
        <v>480.0</v>
      </c>
      <c r="G2089" s="172" t="str">
        <f>IFERROR(__xludf.DUMMYFUNCTION("TRIM(REGEXREPLACE(C2089, ""[0-9]+[a-f]?\."", """"))"),"Is ${hoh_roster_name} currently living in your household?")</f>
        <v>Is ${hoh_roster_name} currently living in your household?</v>
      </c>
      <c r="H2089" s="172" t="str">
        <f>IFERROR(__xludf.DUMMYFUNCTION("TRIM(REGEXREPLACE(D2089, ""[0-9]+[a-f]?\."", """"))"),"Est-ce que ${hoh_roster_name} vit actuellement dans votre ménage ?")</f>
        <v>Est-ce que ${hoh_roster_name} vit actuellement dans votre ménage ?</v>
      </c>
      <c r="I2089" s="172" t="str">
        <f>IFERROR(__xludf.DUMMYFUNCTION("TRIM(REGEXREPLACE(E2089, ""[0-9]+[a-f]?\."", """"))"),"Ko ${hoh_roster_name} yana zaune a gidanku a halin yanzu ?")</f>
        <v>Ko ${hoh_roster_name} yana zaune a gidanku a halin yanzu ?</v>
      </c>
      <c r="J2089" s="172" t="str">
        <f t="shared" ref="J2089:L2089" si="503">$F2089 &amp; ". " &amp;G2089</f>
        <v>480. Is ${hoh_roster_name} currently living in your household?</v>
      </c>
      <c r="K2089" s="172" t="str">
        <f t="shared" si="503"/>
        <v>480. Est-ce que ${hoh_roster_name} vit actuellement dans votre ménage ?</v>
      </c>
      <c r="L2089" s="172" t="str">
        <f t="shared" si="503"/>
        <v>480. Ko ${hoh_roster_name} yana zaune a gidanku a halin yanzu ?</v>
      </c>
    </row>
    <row r="2090">
      <c r="A2090" s="215" t="s">
        <v>3423</v>
      </c>
      <c r="B2090" s="216" t="s">
        <v>6457</v>
      </c>
      <c r="C2090" s="216" t="s">
        <v>4121</v>
      </c>
      <c r="D2090" s="216" t="s">
        <v>4122</v>
      </c>
      <c r="E2090" s="216" t="s">
        <v>4123</v>
      </c>
      <c r="F2090" s="182">
        <v>481.0</v>
      </c>
      <c r="G2090" s="172" t="str">
        <f>IFERROR(__xludf.DUMMYFUNCTION("TRIM(REGEXREPLACE(C2090, ""[0-9]+[a-f]?\."", """"))"),"Is ${hoh_roster_name} currently living in Niger?")</f>
        <v>Is ${hoh_roster_name} currently living in Niger?</v>
      </c>
      <c r="H2090" s="172" t="str">
        <f>IFERROR(__xludf.DUMMYFUNCTION("TRIM(REGEXREPLACE(D2090, ""[0-9]+[a-f]?\."", """"))"),"Est-ce que ${hoh_roster_name} vit actuellement au Niger ?")</f>
        <v>Est-ce que ${hoh_roster_name} vit actuellement au Niger ?</v>
      </c>
      <c r="I2090" s="172" t="str">
        <f>IFERROR(__xludf.DUMMYFUNCTION("TRIM(REGEXREPLACE(E2090, ""[0-9]+[a-f]?\."", """"))"),"Ko ${hoh_roster_name} yana zaune a Nijar a halin yanzu?")</f>
        <v>Ko ${hoh_roster_name} yana zaune a Nijar a halin yanzu?</v>
      </c>
      <c r="J2090" s="172" t="str">
        <f t="shared" ref="J2090:L2090" si="504">$F2090 &amp; ". " &amp;G2090</f>
        <v>481. Is ${hoh_roster_name} currently living in Niger?</v>
      </c>
      <c r="K2090" s="172" t="str">
        <f t="shared" si="504"/>
        <v>481. Est-ce que ${hoh_roster_name} vit actuellement au Niger ?</v>
      </c>
      <c r="L2090" s="172" t="str">
        <f t="shared" si="504"/>
        <v>481. Ko ${hoh_roster_name} yana zaune a Nijar a halin yanzu?</v>
      </c>
    </row>
    <row r="2091">
      <c r="A2091" s="215" t="s">
        <v>481</v>
      </c>
      <c r="B2091" s="216" t="s">
        <v>6458</v>
      </c>
      <c r="C2091" s="216" t="s">
        <v>4125</v>
      </c>
      <c r="D2091" s="216" t="s">
        <v>4126</v>
      </c>
      <c r="E2091" s="216" t="s">
        <v>4127</v>
      </c>
      <c r="F2091" s="182">
        <v>482.0</v>
      </c>
      <c r="G2091" s="172" t="str">
        <f>IFERROR(__xludf.DUMMYFUNCTION("TRIM(REGEXREPLACE(C2091, ""[0-9]+[a-f]?\."", """"))"),"What region is ${hoh_roster_name} currently living in?")</f>
        <v>What region is ${hoh_roster_name} currently living in?</v>
      </c>
      <c r="H2091" s="172" t="str">
        <f>IFERROR(__xludf.DUMMYFUNCTION("TRIM(REGEXREPLACE(D2091, ""[0-9]+[a-f]?\."", """"))"),"Dans quelle région vit actuellement ${hoh_roster_name} ?")</f>
        <v>Dans quelle région vit actuellement ${hoh_roster_name} ?</v>
      </c>
      <c r="I2091" s="172" t="str">
        <f>IFERROR(__xludf.DUMMYFUNCTION("TRIM(REGEXREPLACE(E2091, ""[0-9]+[a-f]?\."", """"))"),"A cikin wace jaha ce ${hoh_roster_name} yake zaune a yanzu?")</f>
        <v>A cikin wace jaha ce ${hoh_roster_name} yake zaune a yanzu?</v>
      </c>
      <c r="J2091" s="172" t="str">
        <f t="shared" ref="J2091:L2091" si="505">$F2091 &amp; ". " &amp;G2091</f>
        <v>482. What region is ${hoh_roster_name} currently living in?</v>
      </c>
      <c r="K2091" s="172" t="str">
        <f t="shared" si="505"/>
        <v>482. Dans quelle région vit actuellement ${hoh_roster_name} ?</v>
      </c>
      <c r="L2091" s="172" t="str">
        <f t="shared" si="505"/>
        <v>482. A cikin wace jaha ce ${hoh_roster_name} yake zaune a yanzu?</v>
      </c>
    </row>
    <row r="2092">
      <c r="A2092" s="215" t="s">
        <v>5873</v>
      </c>
      <c r="B2092" s="216" t="s">
        <v>6459</v>
      </c>
      <c r="C2092" s="216" t="s">
        <v>4133</v>
      </c>
      <c r="D2092" s="216" t="s">
        <v>4134</v>
      </c>
      <c r="E2092" s="216" t="s">
        <v>4135</v>
      </c>
      <c r="F2092" s="182">
        <v>483.0</v>
      </c>
      <c r="G2092" s="172" t="str">
        <f>IFERROR(__xludf.DUMMYFUNCTION("TRIM(REGEXREPLACE(C2092, ""[0-9]+[a-f]?\."", """"))"),"What country is ${hoh_roster_name} currently living in?")</f>
        <v>What country is ${hoh_roster_name} currently living in?</v>
      </c>
      <c r="H2092" s="172" t="str">
        <f>IFERROR(__xludf.DUMMYFUNCTION("TRIM(REGEXREPLACE(D2092, ""[0-9]+[a-f]?\."", """"))"),"Dans quel pays vit actuellement ${hoh_roster_name} ?")</f>
        <v>Dans quel pays vit actuellement ${hoh_roster_name} ?</v>
      </c>
      <c r="I2092" s="172" t="str">
        <f>IFERROR(__xludf.DUMMYFUNCTION("TRIM(REGEXREPLACE(E2092, ""[0-9]+[a-f]?\."", """"))"),"A cikin wace kasa ce ${hoh_roster_name} yake zaune a yanzu?")</f>
        <v>A cikin wace kasa ce ${hoh_roster_name} yake zaune a yanzu?</v>
      </c>
      <c r="J2092" s="172" t="str">
        <f t="shared" ref="J2092:L2092" si="506">$F2092 &amp; ". " &amp;G2092</f>
        <v>483. What country is ${hoh_roster_name} currently living in?</v>
      </c>
      <c r="K2092" s="172" t="str">
        <f t="shared" si="506"/>
        <v>483. Dans quel pays vit actuellement ${hoh_roster_name} ?</v>
      </c>
      <c r="L2092" s="172" t="str">
        <f t="shared" si="506"/>
        <v>483. A cikin wace kasa ce ${hoh_roster_name} yake zaune a yanzu?</v>
      </c>
    </row>
    <row r="2093">
      <c r="A2093" s="246" t="s">
        <v>231</v>
      </c>
      <c r="B2093" s="247" t="s">
        <v>6460</v>
      </c>
      <c r="C2093" s="247" t="s">
        <v>4137</v>
      </c>
      <c r="D2093" s="247" t="s">
        <v>4138</v>
      </c>
      <c r="E2093" s="247" t="s">
        <v>4139</v>
      </c>
      <c r="F2093" s="182">
        <v>484.0</v>
      </c>
      <c r="G2093" s="172" t="str">
        <f>IFERROR(__xludf.DUMMYFUNCTION("TRIM(REGEXREPLACE(C2093, ""[0-9]+[a-f]?\."", """"))"),"Specify other")</f>
        <v>Specify other</v>
      </c>
      <c r="H2093" s="172" t="str">
        <f>IFERROR(__xludf.DUMMYFUNCTION("TRIM(REGEXREPLACE(D2093, ""[0-9]+[a-f]?\."", """"))"),"Autre à préciser")</f>
        <v>Autre à préciser</v>
      </c>
      <c r="I2093" s="172" t="str">
        <f>IFERROR(__xludf.DUMMYFUNCTION("TRIM(REGEXREPLACE(E2093, ""[0-9]+[a-f]?\."", """"))"),"Wani daban a Bayyana")</f>
        <v>Wani daban a Bayyana</v>
      </c>
      <c r="J2093" s="172" t="str">
        <f t="shared" ref="J2093:L2093" si="507">$F2093 &amp; ". " &amp;G2093</f>
        <v>484. Specify other</v>
      </c>
      <c r="K2093" s="172" t="str">
        <f t="shared" si="507"/>
        <v>484. Autre à préciser</v>
      </c>
      <c r="L2093" s="172" t="str">
        <f t="shared" si="507"/>
        <v>484. Wani daban a Bayyana</v>
      </c>
    </row>
    <row r="2094">
      <c r="A2094" s="215" t="s">
        <v>508</v>
      </c>
      <c r="B2094" s="216" t="s">
        <v>6461</v>
      </c>
      <c r="C2094" s="216" t="s">
        <v>4144</v>
      </c>
      <c r="D2094" s="216" t="s">
        <v>4145</v>
      </c>
      <c r="E2094" s="216" t="s">
        <v>4146</v>
      </c>
      <c r="F2094" s="182">
        <v>485.0</v>
      </c>
      <c r="G2094" s="172" t="str">
        <f>IFERROR(__xludf.DUMMYFUNCTION("TRIM(REGEXREPLACE(C2094, ""[0-9]+[a-f]?\."", """"))"),"Enumerator: Select town")</f>
        <v>Enumerator: Select town</v>
      </c>
      <c r="H2094" s="172" t="str">
        <f>IFERROR(__xludf.DUMMYFUNCTION("TRIM(REGEXREPLACE(D2094, ""[0-9]+[a-f]?\."", """"))"),"Enquêteur : Sélectionnez la ville")</f>
        <v>Enquêteur : Sélectionnez la ville</v>
      </c>
      <c r="I2094" s="172" t="str">
        <f>IFERROR(__xludf.DUMMYFUNCTION("TRIM(REGEXREPLACE(E2094, ""[0-9]+[a-f]?\."", """"))"),"Ɗan bincike: Zaɓi gari")</f>
        <v>Ɗan bincike: Zaɓi gari</v>
      </c>
      <c r="J2094" s="172" t="str">
        <f t="shared" ref="J2094:L2094" si="508">$F2094 &amp; ". " &amp;G2094</f>
        <v>485. Enumerator: Select town</v>
      </c>
      <c r="K2094" s="172" t="str">
        <f t="shared" si="508"/>
        <v>485. Enquêteur : Sélectionnez la ville</v>
      </c>
      <c r="L2094" s="172" t="str">
        <f t="shared" si="508"/>
        <v>485. Ɗan bincike: Zaɓi gari</v>
      </c>
    </row>
    <row r="2095">
      <c r="A2095" s="246" t="s">
        <v>231</v>
      </c>
      <c r="B2095" s="247" t="s">
        <v>6462</v>
      </c>
      <c r="C2095" s="247" t="s">
        <v>4149</v>
      </c>
      <c r="D2095" s="247" t="s">
        <v>4151</v>
      </c>
      <c r="E2095" s="247" t="s">
        <v>4153</v>
      </c>
      <c r="F2095" s="182">
        <v>486.0</v>
      </c>
      <c r="G2095" s="172" t="str">
        <f>IFERROR(__xludf.DUMMYFUNCTION("TRIM(REGEXREPLACE(C2095, ""[0-9]+[a-f]?\."", """"))"),"Specify other")</f>
        <v>Specify other</v>
      </c>
      <c r="H2095" s="172" t="str">
        <f>IFERROR(__xludf.DUMMYFUNCTION("TRIM(REGEXREPLACE(D2095, ""[0-9]+[a-f]?\."", """"))"),"Autre à préciser")</f>
        <v>Autre à préciser</v>
      </c>
      <c r="I2095" s="172" t="str">
        <f>IFERROR(__xludf.DUMMYFUNCTION("TRIM(REGEXREPLACE(E2095, ""[0-9]+[a-f]?\."", """"))"),"Wani daban a Bayyana")</f>
        <v>Wani daban a Bayyana</v>
      </c>
      <c r="J2095" s="172" t="str">
        <f t="shared" ref="J2095:L2095" si="509">$F2095 &amp; ". " &amp;G2095</f>
        <v>486. Specify other</v>
      </c>
      <c r="K2095" s="172" t="str">
        <f t="shared" si="509"/>
        <v>486. Autre à préciser</v>
      </c>
      <c r="L2095" s="172" t="str">
        <f t="shared" si="509"/>
        <v>486. Wani daban a Bayyana</v>
      </c>
    </row>
    <row r="2096" hidden="1">
      <c r="A2096" s="211" t="s">
        <v>107</v>
      </c>
      <c r="B2096" s="212" t="s">
        <v>6463</v>
      </c>
      <c r="C2096" s="214"/>
      <c r="D2096" s="214"/>
      <c r="E2096" s="214"/>
    </row>
    <row r="2097">
      <c r="A2097" s="215" t="s">
        <v>353</v>
      </c>
      <c r="B2097" s="216" t="s">
        <v>6464</v>
      </c>
      <c r="C2097" s="216" t="s">
        <v>4161</v>
      </c>
      <c r="D2097" s="216" t="s">
        <v>4162</v>
      </c>
      <c r="E2097" s="216" t="s">
        <v>4163</v>
      </c>
      <c r="F2097" s="182">
        <v>487.0</v>
      </c>
      <c r="G2097" s="172" t="str">
        <f>IFERROR(__xludf.DUMMYFUNCTION("TRIM(REGEXREPLACE(C2097, ""[0-9]+[a-f]?\."", """"))"),"Does ${hoh_roster_name} currently suffer from any illness or disability that limits their ability to travel or work?")</f>
        <v>Does ${hoh_roster_name} currently suffer from any illness or disability that limits their ability to travel or work?</v>
      </c>
      <c r="H2097" s="172" t="str">
        <f>IFERROR(__xludf.DUMMYFUNCTION("TRIM(REGEXREPLACE(D2097, ""[0-9]+[a-f]?\."", """"))"),"Est-ce que ${hoh_roster_name} souffre actuellement d'une maladie ou d'un handicap qui limite sa capacité à voyager ou à travailler ?")</f>
        <v>Est-ce que ${hoh_roster_name} souffre actuellement d'une maladie ou d'un handicap qui limite sa capacité à voyager ou à travailler ?</v>
      </c>
      <c r="I2097" s="172" t="str">
        <f>IFERROR(__xludf.DUMMYFUNCTION("TRIM(REGEXREPLACE(E2097, ""[0-9]+[a-f]?\."", """"))"),"ko a halin yanzu ${hoh_roster_name} yana da rashin lafiya ko naƙasa wanda ke iya hanashi zuwa balaguro ko yin aiki?")</f>
        <v>ko a halin yanzu ${hoh_roster_name} yana da rashin lafiya ko naƙasa wanda ke iya hanashi zuwa balaguro ko yin aiki?</v>
      </c>
      <c r="J2097" s="172" t="str">
        <f t="shared" ref="J2097:L2097" si="510">$F2097 &amp; ". " &amp;G2097</f>
        <v>487. Does ${hoh_roster_name} currently suffer from any illness or disability that limits their ability to travel or work?</v>
      </c>
      <c r="K2097" s="172" t="str">
        <f t="shared" si="510"/>
        <v>487. Est-ce que ${hoh_roster_name} souffre actuellement d'une maladie ou d'un handicap qui limite sa capacité à voyager ou à travailler ?</v>
      </c>
      <c r="L2097" s="172" t="str">
        <f t="shared" si="510"/>
        <v>487. ko a halin yanzu ${hoh_roster_name} yana da rashin lafiya ko naƙasa wanda ke iya hanashi zuwa balaguro ko yin aiki?</v>
      </c>
    </row>
    <row r="2098">
      <c r="A2098" s="215" t="s">
        <v>5954</v>
      </c>
      <c r="B2098" s="216" t="s">
        <v>6465</v>
      </c>
      <c r="C2098" s="216" t="s">
        <v>4166</v>
      </c>
      <c r="D2098" s="216" t="s">
        <v>4167</v>
      </c>
      <c r="E2098" s="216" t="s">
        <v>4168</v>
      </c>
      <c r="F2098" s="182">
        <v>488.0</v>
      </c>
      <c r="G2098" s="172" t="str">
        <f>IFERROR(__xludf.DUMMYFUNCTION("TRIM(REGEXREPLACE(C2098, ""[0-9]+[a-f]?\."", """"))"),"What illness limits ${hoh_roster_name} in this way?")</f>
        <v>What illness limits ${hoh_roster_name} in this way?</v>
      </c>
      <c r="H2098" s="172" t="str">
        <f>IFERROR(__xludf.DUMMYFUNCTION("TRIM(REGEXREPLACE(D2098, ""[0-9]+[a-f]?\."", """"))"),"Quelle maladie limite ${hoh_roster_name} de cette manière ?")</f>
        <v>Quelle maladie limite ${hoh_roster_name} de cette manière ?</v>
      </c>
      <c r="I2098" s="172" t="str">
        <f>IFERROR(__xludf.DUMMYFUNCTION("TRIM(REGEXREPLACE(E2098, ""[0-9]+[a-f]?\."", """"))"),"Wace rashin lafiya ke tsaida ${hoh_roster_name} ta haka ?")</f>
        <v>Wace rashin lafiya ke tsaida ${hoh_roster_name} ta haka ?</v>
      </c>
      <c r="J2098" s="172" t="str">
        <f t="shared" ref="J2098:L2098" si="511">$F2098 &amp; ". " &amp;G2098</f>
        <v>488. What illness limits ${hoh_roster_name} in this way?</v>
      </c>
      <c r="K2098" s="172" t="str">
        <f t="shared" si="511"/>
        <v>488. Quelle maladie limite ${hoh_roster_name} de cette manière ?</v>
      </c>
      <c r="L2098" s="172" t="str">
        <f t="shared" si="511"/>
        <v>488. Wace rashin lafiya ke tsaida ${hoh_roster_name} ta haka ?</v>
      </c>
    </row>
    <row r="2099">
      <c r="A2099" s="246" t="s">
        <v>231</v>
      </c>
      <c r="B2099" s="247" t="s">
        <v>6466</v>
      </c>
      <c r="C2099" s="247" t="s">
        <v>4170</v>
      </c>
      <c r="D2099" s="247" t="s">
        <v>4172</v>
      </c>
      <c r="E2099" s="247" t="s">
        <v>4173</v>
      </c>
      <c r="F2099" s="182">
        <v>489.0</v>
      </c>
      <c r="G2099" s="172" t="str">
        <f>IFERROR(__xludf.DUMMYFUNCTION("TRIM(REGEXREPLACE(C2099, ""[0-9]+[a-f]?\."", """"))"),"Other, specify:")</f>
        <v>Other, specify:</v>
      </c>
      <c r="H2099" s="172" t="str">
        <f>IFERROR(__xludf.DUMMYFUNCTION("TRIM(REGEXREPLACE(D2099, ""[0-9]+[a-f]?\."", """"))"),"Autre précisez:")</f>
        <v>Autre précisez:</v>
      </c>
      <c r="I2099" s="172" t="str">
        <f>IFERROR(__xludf.DUMMYFUNCTION("TRIM(REGEXREPLACE(E2099, ""[0-9]+[a-f]?\."", """"))"),"Sauran, bayar da cikakkun bayanai:")</f>
        <v>Sauran, bayar da cikakkun bayanai:</v>
      </c>
      <c r="J2099" s="172" t="str">
        <f t="shared" ref="J2099:L2099" si="512">$F2099 &amp; ". " &amp;G2099</f>
        <v>489. Other, specify:</v>
      </c>
      <c r="K2099" s="172" t="str">
        <f t="shared" si="512"/>
        <v>489. Autre précisez:</v>
      </c>
      <c r="L2099" s="172" t="str">
        <f t="shared" si="512"/>
        <v>489. Sauran, bayar da cikakkun bayanai:</v>
      </c>
    </row>
    <row r="2100">
      <c r="A2100" s="215" t="s">
        <v>353</v>
      </c>
      <c r="B2100" s="216" t="s">
        <v>6467</v>
      </c>
      <c r="C2100" s="216" t="s">
        <v>4176</v>
      </c>
      <c r="D2100" s="216" t="s">
        <v>4177</v>
      </c>
      <c r="E2100" s="216" t="s">
        <v>4178</v>
      </c>
      <c r="F2100" s="182">
        <v>490.0</v>
      </c>
      <c r="G2100" s="172" t="str">
        <f>IFERROR(__xludf.DUMMYFUNCTION("TRIM(REGEXREPLACE(C2100, ""[0-9]+[a-f]?\."", """"))"),"Does ${hoh_roster_name} have children?")</f>
        <v>Does ${hoh_roster_name} have children?</v>
      </c>
      <c r="H2100" s="172" t="str">
        <f>IFERROR(__xludf.DUMMYFUNCTION("TRIM(REGEXREPLACE(D2100, ""[0-9]+[a-f]?\."", """"))"),"Est-ce que ${hoh_roster_name} a des enfants ?")</f>
        <v>Est-ce que ${hoh_roster_name} a des enfants ?</v>
      </c>
      <c r="I2100" s="172" t="str">
        <f>IFERROR(__xludf.DUMMYFUNCTION("TRIM(REGEXREPLACE(E2100, ""[0-9]+[a-f]?\."", """"))"),"ko ${hoh_roster_name} yana da yara?")</f>
        <v>ko ${hoh_roster_name} yana da yara?</v>
      </c>
      <c r="J2100" s="172" t="str">
        <f t="shared" ref="J2100:L2100" si="513">$F2100 &amp; ". " &amp;G2100</f>
        <v>490. Does ${hoh_roster_name} have children?</v>
      </c>
      <c r="K2100" s="172" t="str">
        <f t="shared" si="513"/>
        <v>490. Est-ce que ${hoh_roster_name} a des enfants ?</v>
      </c>
      <c r="L2100" s="172" t="str">
        <f t="shared" si="513"/>
        <v>490. ko ${hoh_roster_name} yana da yara?</v>
      </c>
    </row>
    <row r="2101">
      <c r="A2101" s="253" t="s">
        <v>246</v>
      </c>
      <c r="B2101" s="254" t="s">
        <v>6468</v>
      </c>
      <c r="C2101" s="254" t="s">
        <v>4180</v>
      </c>
      <c r="D2101" s="254" t="s">
        <v>4181</v>
      </c>
      <c r="E2101" s="254" t="s">
        <v>4182</v>
      </c>
      <c r="F2101" s="182">
        <v>491.0</v>
      </c>
      <c r="G2101" s="172" t="str">
        <f>IFERROR(__xludf.DUMMYFUNCTION("TRIM(REGEXREPLACE(C2101, ""[0-9]+[a-f]?\."", """"))"),"How many children is ${hoh_roster_name} responsible for?")</f>
        <v>How many children is ${hoh_roster_name} responsible for?</v>
      </c>
      <c r="H2101" s="172" t="str">
        <f>IFERROR(__xludf.DUMMYFUNCTION("TRIM(REGEXREPLACE(D2101, ""[0-9]+[a-f]?\."", """"))"),"De combien d'enfants ${hoh_roster_name} est-il responsable ?")</f>
        <v>De combien d'enfants ${hoh_roster_name} est-il responsable ?</v>
      </c>
      <c r="I2101" s="172" t="str">
        <f>IFERROR(__xludf.DUMMYFUNCTION("TRIM(REGEXREPLACE(E2101, ""[0-9]+[a-f]?\."", """"))"),"Yara nawa ne ${hoh_roster_name} yake ɗauke da Nauyinsu?")</f>
        <v>Yara nawa ne ${hoh_roster_name} yake ɗauke da Nauyinsu?</v>
      </c>
      <c r="J2101" s="172" t="str">
        <f t="shared" ref="J2101:L2101" si="514">$F2101 &amp; ". " &amp;G2101</f>
        <v>491. How many children is ${hoh_roster_name} responsible for?</v>
      </c>
      <c r="K2101" s="172" t="str">
        <f t="shared" si="514"/>
        <v>491. De combien d'enfants ${hoh_roster_name} est-il responsable ?</v>
      </c>
      <c r="L2101" s="172" t="str">
        <f t="shared" si="514"/>
        <v>491. Yara nawa ne ${hoh_roster_name} yake ɗauke da Nauyinsu?</v>
      </c>
    </row>
    <row r="2102">
      <c r="A2102" s="215" t="s">
        <v>6469</v>
      </c>
      <c r="B2102" s="216" t="s">
        <v>6470</v>
      </c>
      <c r="C2102" s="216" t="s">
        <v>4184</v>
      </c>
      <c r="D2102" s="216" t="s">
        <v>4185</v>
      </c>
      <c r="E2102" s="216" t="s">
        <v>4186</v>
      </c>
      <c r="F2102" s="182">
        <v>492.0</v>
      </c>
      <c r="G2102" s="172" t="str">
        <f>IFERROR(__xludf.DUMMYFUNCTION("TRIM(REGEXREPLACE(C2102, ""[0-9]+[a-f]?\."", """"))"),"What is the highest level of education that ${hoh_roster_name} has completed?")</f>
        <v>What is the highest level of education that ${hoh_roster_name} has completed?</v>
      </c>
      <c r="H2102" s="172" t="str">
        <f>IFERROR(__xludf.DUMMYFUNCTION("TRIM(REGEXREPLACE(D2102, ""[0-9]+[a-f]?\."", """"))"),"Quel est le plus haut niveau d'études atteint par ${hoh_roster_name} ?")</f>
        <v>Quel est le plus haut niveau d'études atteint par ${hoh_roster_name} ?</v>
      </c>
      <c r="I2102" s="172" t="str">
        <f>IFERROR(__xludf.DUMMYFUNCTION("TRIM(REGEXREPLACE(E2102, ""[0-9]+[a-f]?\."", """"))"),"Menene mafi girman mastayin ilimi da ${hoh_roster_name} ya kai?")</f>
        <v>Menene mafi girman mastayin ilimi da ${hoh_roster_name} ya kai?</v>
      </c>
      <c r="J2102" s="172" t="str">
        <f t="shared" ref="J2102:L2102" si="515">$F2102 &amp; ". " &amp;G2102</f>
        <v>492. What is the highest level of education that ${hoh_roster_name} has completed?</v>
      </c>
      <c r="K2102" s="172" t="str">
        <f t="shared" si="515"/>
        <v>492. Quel est le plus haut niveau d'études atteint par ${hoh_roster_name} ?</v>
      </c>
      <c r="L2102" s="172" t="str">
        <f t="shared" si="515"/>
        <v>492. Menene mafi girman mastayin ilimi da ${hoh_roster_name} ya kai?</v>
      </c>
    </row>
    <row r="2103">
      <c r="A2103" s="215" t="s">
        <v>353</v>
      </c>
      <c r="B2103" s="216" t="s">
        <v>6471</v>
      </c>
      <c r="C2103" s="216" t="s">
        <v>4188</v>
      </c>
      <c r="D2103" s="216" t="s">
        <v>4190</v>
      </c>
      <c r="E2103" s="216" t="s">
        <v>4191</v>
      </c>
      <c r="F2103" s="182">
        <v>493.0</v>
      </c>
      <c r="G2103" s="172" t="str">
        <f>IFERROR(__xludf.DUMMYFUNCTION("TRIM(REGEXREPLACE(C2103, ""[0-9]+[a-f]?\."", """"))"),"Is ${hoh_roster_name} currently enrolled in school?")</f>
        <v>Is ${hoh_roster_name} currently enrolled in school?</v>
      </c>
      <c r="H2103" s="172" t="str">
        <f>IFERROR(__xludf.DUMMYFUNCTION("TRIM(REGEXREPLACE(D2103, ""[0-9]+[a-f]?\."", """"))"),"Est-ce que ${hoh_roster_name} est actuellement inscrit à l'école ?")</f>
        <v>Est-ce que ${hoh_roster_name} est actuellement inscrit à l'école ?</v>
      </c>
      <c r="I2103" s="172" t="str">
        <f>IFERROR(__xludf.DUMMYFUNCTION("TRIM(REGEXREPLACE(E2103, ""[0-9]+[a-f]?\."", """"))"),"Ko ${hoh_roster_name} yana yin lakwal a halin yanzu?")</f>
        <v>Ko ${hoh_roster_name} yana yin lakwal a halin yanzu?</v>
      </c>
      <c r="J2103" s="172" t="str">
        <f t="shared" ref="J2103:L2103" si="516">$F2103 &amp; ". " &amp;G2103</f>
        <v>493. Is ${hoh_roster_name} currently enrolled in school?</v>
      </c>
      <c r="K2103" s="172" t="str">
        <f t="shared" si="516"/>
        <v>493. Est-ce que ${hoh_roster_name} est actuellement inscrit à l'école ?</v>
      </c>
      <c r="L2103" s="172" t="str">
        <f t="shared" si="516"/>
        <v>493. Ko ${hoh_roster_name} yana yin lakwal a halin yanzu?</v>
      </c>
    </row>
    <row r="2104">
      <c r="A2104" s="215" t="s">
        <v>6472</v>
      </c>
      <c r="B2104" s="216" t="s">
        <v>6473</v>
      </c>
      <c r="C2104" s="216" t="s">
        <v>4196</v>
      </c>
      <c r="D2104" s="216" t="s">
        <v>4197</v>
      </c>
      <c r="E2104" s="216" t="s">
        <v>4198</v>
      </c>
      <c r="F2104" s="182">
        <v>494.0</v>
      </c>
      <c r="G2104" s="172" t="str">
        <f>IFERROR(__xludf.DUMMYFUNCTION("TRIM(REGEXREPLACE(C2104, ""[0-9]+[a-f]?\."", """"))"),"What kind of school is ${hoh_roster_name} enrolled in?")</f>
        <v>What kind of school is ${hoh_roster_name} enrolled in?</v>
      </c>
      <c r="H2104" s="172" t="str">
        <f>IFERROR(__xludf.DUMMYFUNCTION("TRIM(REGEXREPLACE(D2104, ""[0-9]+[a-f]?\."", """"))"),"Dans quel type d'école est inscrit ${hoh_roster_name} ?")</f>
        <v>Dans quel type d'école est inscrit ${hoh_roster_name} ?</v>
      </c>
      <c r="I2104" s="172" t="str">
        <f>IFERROR(__xludf.DUMMYFUNCTION("TRIM(REGEXREPLACE(E2104, ""[0-9]+[a-f]?\."", """"))"),"Wace irin makaranta aka rubuta ${hoh_roster_name}?")</f>
        <v>Wace irin makaranta aka rubuta ${hoh_roster_name}?</v>
      </c>
      <c r="J2104" s="172" t="str">
        <f t="shared" ref="J2104:L2104" si="517">$F2104 &amp; ". " &amp;G2104</f>
        <v>494. What kind of school is ${hoh_roster_name} enrolled in?</v>
      </c>
      <c r="K2104" s="172" t="str">
        <f t="shared" si="517"/>
        <v>494. Dans quel type d'école est inscrit ${hoh_roster_name} ?</v>
      </c>
      <c r="L2104" s="172" t="str">
        <f t="shared" si="517"/>
        <v>494. Wace irin makaranta aka rubuta ${hoh_roster_name}?</v>
      </c>
    </row>
    <row r="2105">
      <c r="A2105" s="253" t="s">
        <v>246</v>
      </c>
      <c r="B2105" s="254" t="s">
        <v>6474</v>
      </c>
      <c r="C2105" s="254" t="s">
        <v>4200</v>
      </c>
      <c r="D2105" s="254" t="s">
        <v>4201</v>
      </c>
      <c r="E2105" s="254" t="s">
        <v>4202</v>
      </c>
      <c r="F2105" s="182">
        <v>495.0</v>
      </c>
      <c r="G2105" s="172" t="str">
        <f>IFERROR(__xludf.DUMMYFUNCTION("TRIM(REGEXREPLACE(C2105, ""[0-9]+[a-f]?\."", """"))"),"What is the cost of school fees for the current academic year in CFA?")</f>
        <v>What is the cost of school fees for the current academic year in CFA?</v>
      </c>
      <c r="H2105" s="172" t="str">
        <f>IFERROR(__xludf.DUMMYFUNCTION("TRIM(REGEXREPLACE(D2105, ""[0-9]+[a-f]?\."", """"))"),"Quel est le coût des frais de scolarité pour l'année scolaire en cours (en CFA) ?")</f>
        <v>Quel est le coût des frais de scolarité pour l'année scolaire en cours (en CFA) ?</v>
      </c>
      <c r="I2105" s="172" t="str">
        <f>IFERROR(__xludf.DUMMYFUNCTION("TRIM(REGEXREPLACE(E2105, ""[0-9]+[a-f]?\."", """"))"),"Nawa ne kuɗin makaranta na wannan shekarar (a sefa)?")</f>
        <v>Nawa ne kuɗin makaranta na wannan shekarar (a sefa)?</v>
      </c>
      <c r="J2105" s="172" t="str">
        <f t="shared" ref="J2105:L2105" si="518">$F2105 &amp; ". " &amp;G2105</f>
        <v>495. What is the cost of school fees for the current academic year in CFA?</v>
      </c>
      <c r="K2105" s="172" t="str">
        <f t="shared" si="518"/>
        <v>495. Quel est le coût des frais de scolarité pour l'année scolaire en cours (en CFA) ?</v>
      </c>
      <c r="L2105" s="172" t="str">
        <f t="shared" si="518"/>
        <v>495. Nawa ne kuɗin makaranta na wannan shekarar (a sefa)?</v>
      </c>
    </row>
    <row r="2106">
      <c r="A2106" s="253" t="s">
        <v>246</v>
      </c>
      <c r="B2106" s="254" t="s">
        <v>6475</v>
      </c>
      <c r="C2106" s="254" t="s">
        <v>4207</v>
      </c>
      <c r="D2106" s="254" t="s">
        <v>4208</v>
      </c>
      <c r="E2106" s="254" t="s">
        <v>4209</v>
      </c>
      <c r="F2106" s="182">
        <v>496.0</v>
      </c>
      <c r="G2106" s="172" t="str">
        <f>IFERROR(__xludf.DUMMYFUNCTION("TRIM(REGEXREPLACE(C2106, ""[0-9]+[a-f]?\."", """"))"),"In the past month (four weeks) how many days has ${hoh_roster_name} missed school for health reasons?")</f>
        <v>In the past month (four weeks) how many days has ${hoh_roster_name} missed school for health reasons?</v>
      </c>
      <c r="H2106" s="172" t="str">
        <f>IFERROR(__xludf.DUMMYFUNCTION("TRIM(REGEXREPLACE(D2106, ""[0-9]+[a-f]?\."", """"))"),"Au cours du dernier mois (quatre semaines), combien de jours ${hoh_roster_name} a-t-il manqué l'école pour des raisons de santé ?")</f>
        <v>Au cours du dernier mois (quatre semaines), combien de jours ${hoh_roster_name} a-t-il manqué l'école pour des raisons de santé ?</v>
      </c>
      <c r="I2106" s="172" t="str">
        <f>IFERROR(__xludf.DUMMYFUNCTION("TRIM(REGEXREPLACE(E2106, ""[0-9]+[a-f]?\."", """"))"),"A cikin watan da ya gabata (sati hudu), kwanaki nawa ${hoh_roster_name} yayi fashin zuwa makaranta saboda wata rishin lafiya?")</f>
        <v>A cikin watan da ya gabata (sati hudu), kwanaki nawa ${hoh_roster_name} yayi fashin zuwa makaranta saboda wata rishin lafiya?</v>
      </c>
      <c r="J2106" s="172" t="str">
        <f t="shared" ref="J2106:L2106" si="519">$F2106 &amp; ". " &amp;G2106</f>
        <v>496. In the past month (four weeks) how many days has ${hoh_roster_name} missed school for health reasons?</v>
      </c>
      <c r="K2106" s="172" t="str">
        <f t="shared" si="519"/>
        <v>496. Au cours du dernier mois (quatre semaines), combien de jours ${hoh_roster_name} a-t-il manqué l'école pour des raisons de santé ?</v>
      </c>
      <c r="L2106" s="172" t="str">
        <f t="shared" si="519"/>
        <v>496. A cikin watan da ya gabata (sati hudu), kwanaki nawa ${hoh_roster_name} yayi fashin zuwa makaranta saboda wata rishin lafiya?</v>
      </c>
    </row>
    <row r="2107">
      <c r="A2107" s="253" t="s">
        <v>246</v>
      </c>
      <c r="B2107" s="254" t="s">
        <v>6476</v>
      </c>
      <c r="C2107" s="254" t="s">
        <v>4214</v>
      </c>
      <c r="D2107" s="254" t="s">
        <v>4215</v>
      </c>
      <c r="E2107" s="254" t="s">
        <v>4216</v>
      </c>
      <c r="F2107" s="182">
        <v>497.0</v>
      </c>
      <c r="G2107" s="172" t="str">
        <f>IFERROR(__xludf.DUMMYFUNCTION("TRIM(REGEXREPLACE(C2107, ""[0-9]+[a-f]?\."", """"))"),"In the past month (four weeks) how many days has ${hoh_roster_name} missed school for work or other reasons?")</f>
        <v>In the past month (four weeks) how many days has ${hoh_roster_name} missed school for work or other reasons?</v>
      </c>
      <c r="H2107" s="172" t="str">
        <f>IFERROR(__xludf.DUMMYFUNCTION("TRIM(REGEXREPLACE(D2107, ""[0-9]+[a-f]?\."", """"))"),"Au cours du dernier mois (quatre semaines), combien de jours ${hoh_roster_name} a-t-il manqué l'école pour le travail ou pour d'autres raisons ?")</f>
        <v>Au cours du dernier mois (quatre semaines), combien de jours ${hoh_roster_name} a-t-il manqué l'école pour le travail ou pour d'autres raisons ?</v>
      </c>
      <c r="I2107" s="172" t="str">
        <f>IFERROR(__xludf.DUMMYFUNCTION("TRIM(REGEXREPLACE(E2107, ""[0-9]+[a-f]?\."", """"))"),"A cikin watan da ya gabata (makonni hudu), kwanaki nawa ${hoh_roster_name} yayi fashin makaranta saboda aiki ko wasu dalilai?")</f>
        <v>A cikin watan da ya gabata (makonni hudu), kwanaki nawa ${hoh_roster_name} yayi fashin makaranta saboda aiki ko wasu dalilai?</v>
      </c>
      <c r="J2107" s="172" t="str">
        <f t="shared" ref="J2107:L2107" si="520">$F2107 &amp; ". " &amp;G2107</f>
        <v>497. In the past month (four weeks) how many days has ${hoh_roster_name} missed school for work or other reasons?</v>
      </c>
      <c r="K2107" s="172" t="str">
        <f t="shared" si="520"/>
        <v>497. Au cours du dernier mois (quatre semaines), combien de jours ${hoh_roster_name} a-t-il manqué l'école pour le travail ou pour d'autres raisons ?</v>
      </c>
      <c r="L2107" s="172" t="str">
        <f t="shared" si="520"/>
        <v>497. A cikin watan da ya gabata (makonni hudu), kwanaki nawa ${hoh_roster_name} yayi fashin makaranta saboda aiki ko wasu dalilai?</v>
      </c>
    </row>
    <row r="2108">
      <c r="A2108" s="215" t="s">
        <v>3423</v>
      </c>
      <c r="B2108" s="216" t="s">
        <v>6477</v>
      </c>
      <c r="C2108" s="216" t="s">
        <v>4218</v>
      </c>
      <c r="D2108" s="216" t="s">
        <v>4219</v>
      </c>
      <c r="E2108" s="216" t="s">
        <v>4220</v>
      </c>
      <c r="F2108" s="182">
        <v>498.0</v>
      </c>
      <c r="G2108" s="172" t="str">
        <f>IFERROR(__xludf.DUMMYFUNCTION("TRIM(REGEXREPLACE(C2108, ""[0-9]+[a-f]?\."", """"))"),"Is ${hoh_roster_name} married?")</f>
        <v>Is ${hoh_roster_name} married?</v>
      </c>
      <c r="H2108" s="172" t="str">
        <f>IFERROR(__xludf.DUMMYFUNCTION("TRIM(REGEXREPLACE(D2108, ""[0-9]+[a-f]?\."", """"))"),"Est-ce que ${hoh_roster_name} est marié ?")</f>
        <v>Est-ce que ${hoh_roster_name} est marié ?</v>
      </c>
      <c r="I2108" s="172" t="str">
        <f>IFERROR(__xludf.DUMMYFUNCTION("TRIM(REGEXREPLACE(E2108, ""[0-9]+[a-f]?\."", """"))"),"Ko ${hoh_roster_name} yanada aure?")</f>
        <v>Ko ${hoh_roster_name} yanada aure?</v>
      </c>
      <c r="J2108" s="172" t="str">
        <f t="shared" ref="J2108:L2108" si="521">$F2108 &amp; ". " &amp;G2108</f>
        <v>498. Is ${hoh_roster_name} married?</v>
      </c>
      <c r="K2108" s="172" t="str">
        <f t="shared" si="521"/>
        <v>498. Est-ce que ${hoh_roster_name} est marié ?</v>
      </c>
      <c r="L2108" s="172" t="str">
        <f t="shared" si="521"/>
        <v>498. Ko ${hoh_roster_name} yanada aure?</v>
      </c>
    </row>
    <row r="2109">
      <c r="A2109" s="253" t="s">
        <v>246</v>
      </c>
      <c r="B2109" s="254" t="s">
        <v>6478</v>
      </c>
      <c r="C2109" s="254" t="s">
        <v>4225</v>
      </c>
      <c r="D2109" s="254" t="s">
        <v>4226</v>
      </c>
      <c r="E2109" s="254" t="s">
        <v>4227</v>
      </c>
      <c r="F2109" s="182">
        <v>499.0</v>
      </c>
      <c r="G2109" s="172" t="str">
        <f>IFERROR(__xludf.DUMMYFUNCTION("TRIM(REGEXREPLACE(C2109, ""[0-9]+[a-f]?\."", """"))"),"How many wives does ${hoh_new_mem_name} have?")</f>
        <v>How many wives does ${hoh_new_mem_name} have?</v>
      </c>
      <c r="H2109" s="172" t="str">
        <f>IFERROR(__xludf.DUMMYFUNCTION("TRIM(REGEXREPLACE(D2109, ""[0-9]+[a-f]?\."", """"))"),"Combien de femmes a ${hoh_roster_name} ?")</f>
        <v>Combien de femmes a ${hoh_roster_name} ?</v>
      </c>
      <c r="I2109" s="172" t="str">
        <f>IFERROR(__xludf.DUMMYFUNCTION("TRIM(REGEXREPLACE(E2109, ""[0-9]+[a-f]?\."", """"))"),"Mata nawa ${hoh_roster_name} yake da su?")</f>
        <v>Mata nawa ${hoh_roster_name} yake da su?</v>
      </c>
      <c r="J2109" s="172" t="str">
        <f t="shared" ref="J2109:L2109" si="522">$F2109 &amp; ". " &amp;G2109</f>
        <v>499. How many wives does ${hoh_new_mem_name} have?</v>
      </c>
      <c r="K2109" s="172" t="str">
        <f t="shared" si="522"/>
        <v>499. Combien de femmes a ${hoh_roster_name} ?</v>
      </c>
      <c r="L2109" s="172" t="str">
        <f t="shared" si="522"/>
        <v>499. Mata nawa ${hoh_roster_name} yake da su?</v>
      </c>
    </row>
    <row r="2110" hidden="1">
      <c r="A2110" s="211" t="s">
        <v>238</v>
      </c>
      <c r="B2110" s="224" t="s">
        <v>6479</v>
      </c>
      <c r="C2110" s="225"/>
      <c r="D2110" s="225"/>
      <c r="E2110" s="225"/>
    </row>
    <row r="2111" hidden="1">
      <c r="A2111" s="172"/>
      <c r="B2111" s="174"/>
      <c r="C2111" s="174"/>
      <c r="D2111" s="174"/>
      <c r="E2111" s="174"/>
    </row>
    <row r="2112" hidden="1">
      <c r="A2112" s="211" t="s">
        <v>107</v>
      </c>
      <c r="B2112" s="212" t="s">
        <v>6480</v>
      </c>
      <c r="C2112" s="212" t="s">
        <v>6481</v>
      </c>
      <c r="D2112" s="214"/>
      <c r="E2112" s="214"/>
    </row>
    <row r="2113">
      <c r="A2113" s="207" t="s">
        <v>41</v>
      </c>
      <c r="B2113" s="208" t="s">
        <v>6482</v>
      </c>
      <c r="C2113" s="208" t="s">
        <v>4238</v>
      </c>
      <c r="D2113" s="208" t="s">
        <v>4239</v>
      </c>
      <c r="E2113" s="208" t="s">
        <v>4240</v>
      </c>
      <c r="F2113" s="182">
        <v>500.0</v>
      </c>
      <c r="G2113" s="172" t="str">
        <f>IFERROR(__xludf.DUMMYFUNCTION("TRIM(REGEXREPLACE(C2113, ""[0-9]+[a-f]?\."", """"))"),"We would now like to ask you about the migration history of ${hoh_roster_name}.")</f>
        <v>We would now like to ask you about the migration history of ${hoh_roster_name}.</v>
      </c>
      <c r="H2113" s="172" t="str">
        <f>IFERROR(__xludf.DUMMYFUNCTION("TRIM(REGEXREPLACE(D2113, ""[0-9]+[a-f]?\."", """"))"),"Nous aimerions maintenant vous poser des questions sur l'historique de migration de ${hoh_roster_name}.")</f>
        <v>Nous aimerions maintenant vous poser des questions sur l'historique de migration de ${hoh_roster_name}.</v>
      </c>
      <c r="I2113" s="172" t="str">
        <f>IFERROR(__xludf.DUMMYFUNCTION("TRIM(REGEXREPLACE(E2113, ""[0-9]+[a-f]?\."", """"))"),"Yanzu muna so mu tambaye ka tarihin zuwa biɗa na ${hoh_roster_name}.")</f>
        <v>Yanzu muna so mu tambaye ka tarihin zuwa biɗa na ${hoh_roster_name}.</v>
      </c>
      <c r="J2113" s="172" t="str">
        <f t="shared" ref="J2113:L2113" si="523">$F2113 &amp; ". " &amp;G2113</f>
        <v>500. We would now like to ask you about the migration history of ${hoh_roster_name}.</v>
      </c>
      <c r="K2113" s="172" t="str">
        <f t="shared" si="523"/>
        <v>500. Nous aimerions maintenant vous poser des questions sur l'historique de migration de ${hoh_roster_name}.</v>
      </c>
      <c r="L2113" s="172" t="str">
        <f t="shared" si="523"/>
        <v>500. Yanzu muna so mu tambaye ka tarihin zuwa biɗa na ${hoh_roster_name}.</v>
      </c>
    </row>
    <row r="2114">
      <c r="A2114" s="215" t="s">
        <v>3423</v>
      </c>
      <c r="B2114" s="216" t="s">
        <v>6483</v>
      </c>
      <c r="C2114" s="216" t="s">
        <v>6484</v>
      </c>
      <c r="D2114" s="216" t="s">
        <v>6485</v>
      </c>
      <c r="E2114" s="216" t="s">
        <v>6486</v>
      </c>
      <c r="F2114" s="182">
        <v>501.0</v>
      </c>
      <c r="G2114" s="172" t="str">
        <f>IFERROR(__xludf.DUMMYFUNCTION("TRIM(REGEXREPLACE(C2114, ""[0-9]+[a-f]?\."", """"))"),"Since ${period_bl}, has ${hoh_roster_name} spent more than a week (7 days) away from home?")</f>
        <v>Since ${period_bl}, has ${hoh_roster_name} spent more than a week (7 days) away from home?</v>
      </c>
      <c r="H2114" s="172" t="str">
        <f>IFERROR(__xludf.DUMMYFUNCTION("TRIM(REGEXREPLACE(D2114, ""[0-9]+[a-f]?\."", """"))"),"Depuis cette ${period_french_bl}, ${hoh_roster_name} a-t-il passé plus d'une semaine (7 jours) loin de chez lui ?")</f>
        <v>Depuis cette ${period_french_bl}, ${hoh_roster_name} a-t-il passé plus d'une semaine (7 jours) loin de chez lui ?</v>
      </c>
      <c r="I2114" s="172" t="str">
        <f>IFERROR(__xludf.DUMMYFUNCTION("TRIM(REGEXREPLACE(E2114, ""[0-9]+[a-f]?\."", """"))"),"Tun wancan ${period_hausa_bl}, ${hoh_roster_name} ya shafe fiye da sati guda (kwana 7) baya gida?")</f>
        <v>Tun wancan ${period_hausa_bl}, ${hoh_roster_name} ya shafe fiye da sati guda (kwana 7) baya gida?</v>
      </c>
      <c r="J2114" s="172" t="str">
        <f t="shared" ref="J2114:L2114" si="524">$F2114 &amp; ". " &amp;G2114</f>
        <v>501. Since ${period_bl}, has ${hoh_roster_name} spent more than a week (7 days) away from home?</v>
      </c>
      <c r="K2114" s="172" t="str">
        <f t="shared" si="524"/>
        <v>501. Depuis cette ${period_french_bl}, ${hoh_roster_name} a-t-il passé plus d'une semaine (7 jours) loin de chez lui ?</v>
      </c>
      <c r="L2114" s="172" t="str">
        <f t="shared" si="524"/>
        <v>501. Tun wancan ${period_hausa_bl}, ${hoh_roster_name} ya shafe fiye da sati guda (kwana 7) baya gida?</v>
      </c>
    </row>
    <row r="2115">
      <c r="A2115" s="215" t="s">
        <v>5762</v>
      </c>
      <c r="B2115" s="216" t="s">
        <v>6487</v>
      </c>
      <c r="C2115" s="216" t="s">
        <v>6488</v>
      </c>
      <c r="D2115" s="216" t="s">
        <v>6489</v>
      </c>
      <c r="E2115" s="216" t="s">
        <v>6490</v>
      </c>
      <c r="F2115" s="182">
        <v>502.0</v>
      </c>
      <c r="G2115" s="172" t="str">
        <f>IFERROR(__xludf.DUMMYFUNCTION("TRIM(REGEXREPLACE(C2115, ""[0-9]+[a-f]?\."", """"))"),"Since ${period_bl}, in which of the following countries has ${hoh_roster_name} spent more than one week? Select all that apply")</f>
        <v>Since ${period_bl}, in which of the following countries has ${hoh_roster_name} spent more than one week? Select all that apply</v>
      </c>
      <c r="H2115" s="172" t="str">
        <f>IFERROR(__xludf.DUMMYFUNCTION("TRIM(REGEXREPLACE(D2115, ""[0-9]+[a-f]?\."", """"))"),"Depuis cette ${period_french_bl}, dans lequel des pays suivants hoh_roster_name a-t-il passé plus d'une semaine ? Sélectionnez tout ce qui s'y rapporte")</f>
        <v>Depuis cette ${period_french_bl}, dans lequel des pays suivants hoh_roster_name a-t-il passé plus d'une semaine ? Sélectionnez tout ce qui s'y rapporte</v>
      </c>
      <c r="I2115" s="172" t="str">
        <f>IFERROR(__xludf.DUMMYFUNCTION("TRIM(REGEXREPLACE(E2115, ""[0-9]+[a-f]?\."", """"))"),"Tun daga wancan ${period_hausa_bl}, a cikin waɗanne ƙasashe ne ${hoh_roster_name} ya shafe fiye da mako ɗaya? Zaɓi duk abin da ya dace")</f>
        <v>Tun daga wancan ${period_hausa_bl}, a cikin waɗanne ƙasashe ne ${hoh_roster_name} ya shafe fiye da mako ɗaya? Zaɓi duk abin da ya dace</v>
      </c>
      <c r="J2115" s="172" t="str">
        <f t="shared" ref="J2115:L2115" si="525">$F2115 &amp; ". " &amp;G2115</f>
        <v>502. Since ${period_bl}, in which of the following countries has ${hoh_roster_name} spent more than one week? Select all that apply</v>
      </c>
      <c r="K2115" s="172" t="str">
        <f t="shared" si="525"/>
        <v>502. Depuis cette ${period_french_bl}, dans lequel des pays suivants hoh_roster_name a-t-il passé plus d'une semaine ? Sélectionnez tout ce qui s'y rapporte</v>
      </c>
      <c r="L2115" s="172" t="str">
        <f t="shared" si="525"/>
        <v>502. Tun daga wancan ${period_hausa_bl}, a cikin waɗanne ƙasashe ne ${hoh_roster_name} ya shafe fiye da mako ɗaya? Zaɓi duk abin da ya dace</v>
      </c>
    </row>
    <row r="2116">
      <c r="A2116" s="246" t="s">
        <v>231</v>
      </c>
      <c r="B2116" s="247" t="s">
        <v>6491</v>
      </c>
      <c r="C2116" s="247" t="s">
        <v>4254</v>
      </c>
      <c r="D2116" s="247" t="s">
        <v>4255</v>
      </c>
      <c r="E2116" s="247" t="s">
        <v>4046</v>
      </c>
      <c r="F2116" s="182">
        <v>503.0</v>
      </c>
      <c r="G2116" s="172" t="str">
        <f>IFERROR(__xludf.DUMMYFUNCTION("TRIM(REGEXREPLACE(C2116, ""[0-9]+[a-f]?\."", """"))"),"Specify other")</f>
        <v>Specify other</v>
      </c>
      <c r="H2116" s="172" t="str">
        <f>IFERROR(__xludf.DUMMYFUNCTION("TRIM(REGEXREPLACE(D2116, ""[0-9]+[a-f]?\."", """"))"),"Autre à préciser")</f>
        <v>Autre à préciser</v>
      </c>
      <c r="I2116" s="172" t="str">
        <f>IFERROR(__xludf.DUMMYFUNCTION("TRIM(REGEXREPLACE(E2116, ""[0-9]+[a-f]?\."", """"))"),"Wani daban a Bayyana")</f>
        <v>Wani daban a Bayyana</v>
      </c>
      <c r="J2116" s="172" t="str">
        <f t="shared" ref="J2116:L2116" si="526">$F2116 &amp; ". " &amp;G2116</f>
        <v>503. Specify other</v>
      </c>
      <c r="K2116" s="172" t="str">
        <f t="shared" si="526"/>
        <v>503. Autre à préciser</v>
      </c>
      <c r="L2116" s="172" t="str">
        <f t="shared" si="526"/>
        <v>503. Wani daban a Bayyana</v>
      </c>
    </row>
    <row r="2117" hidden="1">
      <c r="A2117" s="188" t="s">
        <v>68</v>
      </c>
      <c r="B2117" s="189" t="s">
        <v>6492</v>
      </c>
      <c r="C2117" s="190"/>
      <c r="D2117" s="190"/>
      <c r="E2117" s="190"/>
    </row>
    <row r="2118" hidden="1">
      <c r="A2118" s="188" t="s">
        <v>68</v>
      </c>
      <c r="B2118" s="189" t="s">
        <v>6493</v>
      </c>
      <c r="C2118" s="190"/>
      <c r="D2118" s="190"/>
      <c r="E2118" s="190"/>
    </row>
    <row r="2119" hidden="1">
      <c r="A2119" s="188" t="s">
        <v>68</v>
      </c>
      <c r="B2119" s="189" t="s">
        <v>6494</v>
      </c>
      <c r="C2119" s="217" t="s">
        <v>6495</v>
      </c>
      <c r="D2119" s="190"/>
      <c r="E2119" s="190"/>
    </row>
    <row r="2120" hidden="1">
      <c r="A2120" s="188" t="s">
        <v>68</v>
      </c>
      <c r="B2120" s="189" t="s">
        <v>6496</v>
      </c>
      <c r="C2120" s="190"/>
      <c r="D2120" s="190"/>
      <c r="E2120" s="190"/>
    </row>
    <row r="2121" hidden="1">
      <c r="A2121" s="188" t="s">
        <v>118</v>
      </c>
      <c r="B2121" s="189" t="s">
        <v>6497</v>
      </c>
      <c r="C2121" s="190"/>
      <c r="D2121" s="190"/>
      <c r="E2121" s="190"/>
    </row>
    <row r="2122" hidden="1">
      <c r="A2122" s="255" t="s">
        <v>1042</v>
      </c>
      <c r="B2122" s="256" t="s">
        <v>6498</v>
      </c>
      <c r="C2122" s="256" t="s">
        <v>6499</v>
      </c>
      <c r="D2122" s="257"/>
      <c r="E2122" s="257"/>
    </row>
    <row r="2123" hidden="1">
      <c r="A2123" s="188" t="s">
        <v>68</v>
      </c>
      <c r="B2123" s="189" t="s">
        <v>6500</v>
      </c>
      <c r="C2123" s="217" t="s">
        <v>6501</v>
      </c>
      <c r="D2123" s="190"/>
      <c r="E2123" s="190"/>
    </row>
    <row r="2124" hidden="1">
      <c r="A2124" s="188" t="s">
        <v>68</v>
      </c>
      <c r="B2124" s="189" t="s">
        <v>6502</v>
      </c>
      <c r="C2124" s="217" t="s">
        <v>6503</v>
      </c>
      <c r="D2124" s="190"/>
      <c r="E2124" s="190"/>
    </row>
    <row r="2125" hidden="1">
      <c r="A2125" s="188" t="s">
        <v>68</v>
      </c>
      <c r="B2125" s="189" t="s">
        <v>6504</v>
      </c>
      <c r="C2125" s="217" t="s">
        <v>5792</v>
      </c>
      <c r="D2125" s="190"/>
      <c r="E2125" s="190"/>
    </row>
    <row r="2126">
      <c r="A2126" s="215" t="s">
        <v>5793</v>
      </c>
      <c r="B2126" s="216" t="s">
        <v>6505</v>
      </c>
      <c r="C2126" s="216" t="s">
        <v>4291</v>
      </c>
      <c r="D2126" s="216" t="s">
        <v>4292</v>
      </c>
      <c r="E2126" s="216" t="s">
        <v>4293</v>
      </c>
      <c r="F2126" s="182">
        <v>504.0</v>
      </c>
      <c r="G2126" s="172" t="str">
        <f>IFERROR(__xludf.DUMMYFUNCTION("TRIM(REGEXREPLACE(C2126, ""[0-9]+[a-f]?\."", """"))"),"In ${hoh_destination}, what was the name of the city or town that ${hoh_roster_name} moved to?")</f>
        <v>In ${hoh_destination}, what was the name of the city or town that ${hoh_roster_name} moved to?</v>
      </c>
      <c r="H2126" s="172" t="str">
        <f>IFERROR(__xludf.DUMMYFUNCTION("TRIM(REGEXREPLACE(D2126, ""[0-9]+[a-f]?\."", """"))"),"À ${hoh_destination}, quel était le nom de la ville dans laquelle ${hoh_roster_name} il a séjourné ?")</f>
        <v>À ${hoh_destination}, quel était le nom de la ville dans laquelle ${hoh_roster_name} il a séjourné ?</v>
      </c>
      <c r="I2126" s="172" t="str">
        <f>IFERROR(__xludf.DUMMYFUNCTION("TRIM(REGEXREPLACE(E2126, ""[0-9]+[a-f]?\."", """"))"),"A ${hoh_destination}, menene sunan birnin da ${hoh_roster_name} ya zauna?")</f>
        <v>A ${hoh_destination}, menene sunan birnin da ${hoh_roster_name} ya zauna?</v>
      </c>
      <c r="J2126" s="172" t="str">
        <f t="shared" ref="J2126:L2126" si="527">$F2126 &amp; ". " &amp;G2126</f>
        <v>504. In ${hoh_destination}, what was the name of the city or town that ${hoh_roster_name} moved to?</v>
      </c>
      <c r="K2126" s="172" t="str">
        <f t="shared" si="527"/>
        <v>504. À ${hoh_destination}, quel était le nom de la ville dans laquelle ${hoh_roster_name} il a séjourné ?</v>
      </c>
      <c r="L2126" s="172" t="str">
        <f t="shared" si="527"/>
        <v>504. A ${hoh_destination}, menene sunan birnin da ${hoh_roster_name} ya zauna?</v>
      </c>
    </row>
    <row r="2127">
      <c r="A2127" s="246" t="s">
        <v>231</v>
      </c>
      <c r="B2127" s="247" t="s">
        <v>6506</v>
      </c>
      <c r="C2127" s="247" t="s">
        <v>4295</v>
      </c>
      <c r="D2127" s="247" t="s">
        <v>4296</v>
      </c>
      <c r="E2127" s="247" t="s">
        <v>4297</v>
      </c>
      <c r="F2127" s="182">
        <v>505.0</v>
      </c>
      <c r="G2127" s="172" t="str">
        <f>IFERROR(__xludf.DUMMYFUNCTION("TRIM(REGEXREPLACE(C2127, ""[0-9]+[a-f]?\."", """"))"),"Specify other")</f>
        <v>Specify other</v>
      </c>
      <c r="H2127" s="172" t="str">
        <f>IFERROR(__xludf.DUMMYFUNCTION("TRIM(REGEXREPLACE(D2127, ""[0-9]+[a-f]?\."", """"))"),"Autre à préciser")</f>
        <v>Autre à préciser</v>
      </c>
      <c r="I2127" s="172" t="str">
        <f>IFERROR(__xludf.DUMMYFUNCTION("TRIM(REGEXREPLACE(E2127, ""[0-9]+[a-f]?\."", """"))"),"Wani daban a Bayyana")</f>
        <v>Wani daban a Bayyana</v>
      </c>
      <c r="J2127" s="172" t="str">
        <f t="shared" ref="J2127:L2127" si="528">$F2127 &amp; ". " &amp;G2127</f>
        <v>505. Specify other</v>
      </c>
      <c r="K2127" s="172" t="str">
        <f t="shared" si="528"/>
        <v>505. Autre à préciser</v>
      </c>
      <c r="L2127" s="172" t="str">
        <f t="shared" si="528"/>
        <v>505. Wani daban a Bayyana</v>
      </c>
    </row>
    <row r="2128">
      <c r="A2128" s="215" t="s">
        <v>5800</v>
      </c>
      <c r="B2128" s="216" t="s">
        <v>6507</v>
      </c>
      <c r="C2128" s="216" t="s">
        <v>6508</v>
      </c>
      <c r="D2128" s="216" t="s">
        <v>6509</v>
      </c>
      <c r="E2128" s="216" t="s">
        <v>6510</v>
      </c>
      <c r="F2128" s="182">
        <v>506.0</v>
      </c>
      <c r="G2128" s="172" t="str">
        <f>IFERROR(__xludf.DUMMYFUNCTION("TRIM(REGEXREPLACE(C2128, ""[0-9]+[a-f]?\."", """"))"),"In ${hoh_destination}, what was the name of the region that ${hoh_roster_name} moved to?")</f>
        <v>In ${hoh_destination}, what was the name of the region that ${hoh_roster_name} moved to?</v>
      </c>
      <c r="H2128" s="172" t="str">
        <f>IFERROR(__xludf.DUMMYFUNCTION("TRIM(REGEXREPLACE(D2128, ""[0-9]+[a-f]?\."", """"))"),"Dans ${hoh_destination}, quel était le nom de la région vers laquelle ${hoh_roster_name} a été déplacé ?")</f>
        <v>Dans ${hoh_destination}, quel était le nom de la région vers laquelle ${hoh_roster_name} a été déplacé ?</v>
      </c>
      <c r="I2128" s="172" t="str">
        <f>IFERROR(__xludf.DUMMYFUNCTION("TRIM(REGEXREPLACE(E2128, ""[0-9]+[a-f]?\."", """"))"),"A ${hoh_destination}, menene sunan yankin da ${hoh_roster_name} ya koma?")</f>
        <v>A ${hoh_destination}, menene sunan yankin da ${hoh_roster_name} ya koma?</v>
      </c>
      <c r="J2128" s="172" t="str">
        <f t="shared" ref="J2128:L2128" si="529">$F2128 &amp; ". " &amp;G2128</f>
        <v>506. In ${hoh_destination}, what was the name of the region that ${hoh_roster_name} moved to?</v>
      </c>
      <c r="K2128" s="172" t="str">
        <f t="shared" si="529"/>
        <v>506. Dans ${hoh_destination}, quel était le nom de la région vers laquelle ${hoh_roster_name} a été déplacé ?</v>
      </c>
      <c r="L2128" s="172" t="str">
        <f t="shared" si="529"/>
        <v>506. A ${hoh_destination}, menene sunan yankin da ${hoh_roster_name} ya koma?</v>
      </c>
    </row>
    <row r="2129">
      <c r="A2129" s="246" t="s">
        <v>231</v>
      </c>
      <c r="B2129" s="247" t="s">
        <v>6511</v>
      </c>
      <c r="C2129" s="247" t="s">
        <v>4303</v>
      </c>
      <c r="D2129" s="247" t="s">
        <v>4304</v>
      </c>
      <c r="E2129" s="247" t="s">
        <v>4058</v>
      </c>
      <c r="F2129" s="182">
        <v>507.0</v>
      </c>
      <c r="G2129" s="172" t="str">
        <f>IFERROR(__xludf.DUMMYFUNCTION("TRIM(REGEXREPLACE(C2129, ""[0-9]+[a-f]?\."", """"))"),"Specify other")</f>
        <v>Specify other</v>
      </c>
      <c r="H2129" s="172" t="str">
        <f>IFERROR(__xludf.DUMMYFUNCTION("TRIM(REGEXREPLACE(D2129, ""[0-9]+[a-f]?\."", """"))"),"Autre à préciser")</f>
        <v>Autre à préciser</v>
      </c>
      <c r="I2129" s="172" t="str">
        <f>IFERROR(__xludf.DUMMYFUNCTION("TRIM(REGEXREPLACE(E2129, ""[0-9]+[a-f]?\."", """"))"),"Wani daban a Bayyana")</f>
        <v>Wani daban a Bayyana</v>
      </c>
      <c r="J2129" s="172" t="str">
        <f t="shared" ref="J2129:L2129" si="530">$F2129 &amp; ". " &amp;G2129</f>
        <v>507. Specify other</v>
      </c>
      <c r="K2129" s="172" t="str">
        <f t="shared" si="530"/>
        <v>507. Autre à préciser</v>
      </c>
      <c r="L2129" s="172" t="str">
        <f t="shared" si="530"/>
        <v>507. Wani daban a Bayyana</v>
      </c>
    </row>
    <row r="2130">
      <c r="A2130" s="253" t="s">
        <v>246</v>
      </c>
      <c r="B2130" s="254" t="s">
        <v>6512</v>
      </c>
      <c r="C2130" s="254" t="s">
        <v>6513</v>
      </c>
      <c r="D2130" s="254" t="s">
        <v>6514</v>
      </c>
      <c r="E2130" s="254" t="s">
        <v>6515</v>
      </c>
      <c r="F2130" s="182">
        <v>508.0</v>
      </c>
      <c r="G2130" s="172" t="str">
        <f>IFERROR(__xludf.DUMMYFUNCTION("TRIM(REGEXREPLACE(C2130, ""[0-9]+[a-f]?\."", """"))"),"How many times did ${hoh_roster_name} travel to ${hoh_destination} since ${period_bl}?")</f>
        <v>How many times did ${hoh_roster_name} travel to ${hoh_destination} since ${period_bl}?</v>
      </c>
      <c r="H2130" s="172" t="str">
        <f>IFERROR(__xludf.DUMMYFUNCTION("TRIM(REGEXREPLACE(D2130, ""[0-9]+[a-f]?\."", """"))"),"Combien de fois ${hoh_roster_name} s'est-il rendu à ${hoh_destination} depuis la ${period_french_bl}?")</f>
        <v>Combien de fois ${hoh_roster_name} s'est-il rendu à ${hoh_destination} depuis la ${period_french_bl}?</v>
      </c>
      <c r="I2130" s="172" t="str">
        <f>IFERROR(__xludf.DUMMYFUNCTION("TRIM(REGEXREPLACE(E2130, ""[0-9]+[a-f]?\."", """"))"),"Sau nawa ${hoh_roster_name} yayi tafiya zuwa ${hoh_destination} tun daga wancan ${period_hausa_bl}?")</f>
        <v>Sau nawa ${hoh_roster_name} yayi tafiya zuwa ${hoh_destination} tun daga wancan ${period_hausa_bl}?</v>
      </c>
      <c r="J2130" s="172" t="str">
        <f t="shared" ref="J2130:L2130" si="531">$F2130 &amp; ". " &amp;G2130</f>
        <v>508. How many times did ${hoh_roster_name} travel to ${hoh_destination} since ${period_bl}?</v>
      </c>
      <c r="K2130" s="172" t="str">
        <f t="shared" si="531"/>
        <v>508. Combien de fois ${hoh_roster_name} s'est-il rendu à ${hoh_destination} depuis la ${period_french_bl}?</v>
      </c>
      <c r="L2130" s="172" t="str">
        <f t="shared" si="531"/>
        <v>508. Sau nawa ${hoh_roster_name} yayi tafiya zuwa ${hoh_destination} tun daga wancan ${period_hausa_bl}?</v>
      </c>
    </row>
    <row r="2131" hidden="1">
      <c r="A2131" s="255" t="s">
        <v>1064</v>
      </c>
      <c r="B2131" s="261" t="s">
        <v>6498</v>
      </c>
      <c r="C2131" s="261" t="s">
        <v>6516</v>
      </c>
      <c r="D2131" s="262"/>
      <c r="E2131" s="262"/>
    </row>
    <row r="2132" hidden="1">
      <c r="A2132" s="188" t="s">
        <v>118</v>
      </c>
      <c r="B2132" s="189" t="s">
        <v>6517</v>
      </c>
      <c r="C2132" s="190"/>
      <c r="D2132" s="190"/>
      <c r="E2132" s="190"/>
    </row>
    <row r="2133" hidden="1">
      <c r="A2133" s="188" t="s">
        <v>68</v>
      </c>
      <c r="B2133" s="189" t="s">
        <v>6518</v>
      </c>
      <c r="C2133" s="190"/>
      <c r="D2133" s="190"/>
      <c r="E2133" s="190"/>
    </row>
    <row r="2134">
      <c r="A2134" s="215" t="s">
        <v>3423</v>
      </c>
      <c r="B2134" s="216" t="s">
        <v>6519</v>
      </c>
      <c r="C2134" s="216" t="s">
        <v>6520</v>
      </c>
      <c r="D2134" s="216" t="s">
        <v>6521</v>
      </c>
      <c r="E2134" s="216" t="s">
        <v>6522</v>
      </c>
      <c r="F2134" s="182">
        <v>509.0</v>
      </c>
      <c r="G2134" s="172" t="str">
        <f>IFERROR(__xludf.DUMMYFUNCTION("TRIM(REGEXREPLACE(C2134, ""[0-9]+[a-f]?\."", """"))"),"Since ${period_bl}, was there ever a time when ${hoh_roster_name} planned to migrate but then had to cancel their plans?")</f>
        <v>Since ${period_bl}, was there ever a time when ${hoh_roster_name} planned to migrate but then had to cancel their plans?</v>
      </c>
      <c r="H2134" s="172" t="str">
        <f>IFERROR(__xludf.DUMMYFUNCTION("TRIM(REGEXREPLACE(D2134, ""[0-9]+[a-f]?\."", """"))"),"Depuis cette ${period_french_bl}, y a-t-il déjà eu un moment où ${hoh_roster_name} avait prévu de migrer mais a ensuite dû annuler ses projets ?")</f>
        <v>Depuis cette ${period_french_bl}, y a-t-il déjà eu un moment où ${hoh_roster_name} avait prévu de migrer mais a ensuite dû annuler ses projets ?</v>
      </c>
      <c r="I2134" s="172" t="str">
        <f>IFERROR(__xludf.DUMMYFUNCTION("TRIM(REGEXREPLACE(E2134, ""[0-9]+[a-f]?\."", """"))"),"${period_hausa_bl}, ko akwai lokacin da ${hoh_roster_name} ya shirya zuwa biɗa amma sai ya soke shirinshi?")</f>
        <v>${period_hausa_bl}, ko akwai lokacin da ${hoh_roster_name} ya shirya zuwa biɗa amma sai ya soke shirinshi?</v>
      </c>
      <c r="J2134" s="172" t="str">
        <f t="shared" ref="J2134:L2134" si="532">$F2134 &amp; ". " &amp;G2134</f>
        <v>509. Since ${period_bl}, was there ever a time when ${hoh_roster_name} planned to migrate but then had to cancel their plans?</v>
      </c>
      <c r="K2134" s="172" t="str">
        <f t="shared" si="532"/>
        <v>509. Depuis cette ${period_french_bl}, y a-t-il déjà eu un moment où ${hoh_roster_name} avait prévu de migrer mais a ensuite dû annuler ses projets ?</v>
      </c>
      <c r="L2134" s="172" t="str">
        <f t="shared" si="532"/>
        <v>509. ${period_hausa_bl}, ko akwai lokacin da ${hoh_roster_name} ya shirya zuwa biɗa amma sai ya soke shirinshi?</v>
      </c>
    </row>
    <row r="2135">
      <c r="A2135" s="215" t="s">
        <v>5762</v>
      </c>
      <c r="B2135" s="216" t="s">
        <v>6523</v>
      </c>
      <c r="C2135" s="216" t="s">
        <v>4331</v>
      </c>
      <c r="D2135" s="216" t="s">
        <v>4332</v>
      </c>
      <c r="E2135" s="216" t="s">
        <v>6524</v>
      </c>
      <c r="F2135" s="182">
        <v>510.0</v>
      </c>
      <c r="G2135" s="172" t="str">
        <f>IFERROR(__xludf.DUMMYFUNCTION("TRIM(REGEXREPLACE(C2135, ""[0-9]+[a-f]?\."", """"))"),"Where did they plan to migrate?")</f>
        <v>Where did they plan to migrate?</v>
      </c>
      <c r="H2135" s="172" t="str">
        <f>IFERROR(__xludf.DUMMYFUNCTION("TRIM(REGEXREPLACE(D2135, ""[0-9]+[a-f]?\."", """"))"),"Où envisageait-il de migrer ?")</f>
        <v>Où envisageait-il de migrer ?</v>
      </c>
      <c r="I2135" s="172" t="str">
        <f>IFERROR(__xludf.DUMMYFUNCTION("TRIM(REGEXREPLACE(E2135, ""[0-9]+[a-f]?\."", """"))"),"Ina ya shirya zuwa biɗar?")</f>
        <v>Ina ya shirya zuwa biɗar?</v>
      </c>
      <c r="J2135" s="172" t="str">
        <f t="shared" ref="J2135:L2135" si="533">$F2135 &amp; ". " &amp;G2135</f>
        <v>510. Where did they plan to migrate?</v>
      </c>
      <c r="K2135" s="172" t="str">
        <f t="shared" si="533"/>
        <v>510. Où envisageait-il de migrer ?</v>
      </c>
      <c r="L2135" s="172" t="str">
        <f t="shared" si="533"/>
        <v>510. Ina ya shirya zuwa biɗar?</v>
      </c>
    </row>
    <row r="2136">
      <c r="A2136" s="246" t="s">
        <v>231</v>
      </c>
      <c r="B2136" s="247" t="s">
        <v>6525</v>
      </c>
      <c r="C2136" s="247" t="s">
        <v>4335</v>
      </c>
      <c r="D2136" s="247" t="s">
        <v>4336</v>
      </c>
      <c r="E2136" s="247" t="s">
        <v>4337</v>
      </c>
      <c r="F2136" s="182">
        <v>511.0</v>
      </c>
      <c r="G2136" s="172" t="str">
        <f>IFERROR(__xludf.DUMMYFUNCTION("TRIM(REGEXREPLACE(C2136, ""[0-9]+[a-f]?\."", """"))"),"Specify other")</f>
        <v>Specify other</v>
      </c>
      <c r="H2136" s="172" t="str">
        <f>IFERROR(__xludf.DUMMYFUNCTION("TRIM(REGEXREPLACE(D2136, ""[0-9]+[a-f]?\."", """"))"),"Autre à préciser")</f>
        <v>Autre à préciser</v>
      </c>
      <c r="I2136" s="172" t="str">
        <f>IFERROR(__xludf.DUMMYFUNCTION("TRIM(REGEXREPLACE(E2136, ""[0-9]+[a-f]?\."", """"))"),"Wani daban a Bayyana")</f>
        <v>Wani daban a Bayyana</v>
      </c>
      <c r="J2136" s="172" t="str">
        <f t="shared" ref="J2136:L2136" si="534">$F2136 &amp; ". " &amp;G2136</f>
        <v>511. Specify other</v>
      </c>
      <c r="K2136" s="172" t="str">
        <f t="shared" si="534"/>
        <v>511. Autre à préciser</v>
      </c>
      <c r="L2136" s="172" t="str">
        <f t="shared" si="534"/>
        <v>511. Wani daban a Bayyana</v>
      </c>
    </row>
    <row r="2137" hidden="1">
      <c r="A2137" s="255" t="s">
        <v>1042</v>
      </c>
      <c r="B2137" s="256" t="s">
        <v>6526</v>
      </c>
      <c r="C2137" s="256" t="s">
        <v>5772</v>
      </c>
      <c r="D2137" s="257"/>
      <c r="E2137" s="257"/>
    </row>
    <row r="2138" hidden="1">
      <c r="A2138" s="188" t="s">
        <v>68</v>
      </c>
      <c r="B2138" s="189" t="s">
        <v>6527</v>
      </c>
      <c r="C2138" s="190"/>
      <c r="D2138" s="190"/>
      <c r="E2138" s="190"/>
    </row>
    <row r="2139" hidden="1">
      <c r="A2139" s="188" t="s">
        <v>68</v>
      </c>
      <c r="B2139" s="189" t="s">
        <v>6528</v>
      </c>
      <c r="C2139" s="190"/>
      <c r="D2139" s="190"/>
      <c r="E2139" s="190"/>
    </row>
    <row r="2140" hidden="1">
      <c r="A2140" s="188" t="s">
        <v>68</v>
      </c>
      <c r="B2140" s="189" t="s">
        <v>6529</v>
      </c>
      <c r="C2140" s="217" t="s">
        <v>5792</v>
      </c>
      <c r="D2140" s="190"/>
      <c r="E2140" s="190"/>
    </row>
    <row r="2141">
      <c r="A2141" s="215" t="s">
        <v>5793</v>
      </c>
      <c r="B2141" s="216" t="s">
        <v>6530</v>
      </c>
      <c r="C2141" s="216" t="s">
        <v>4357</v>
      </c>
      <c r="D2141" s="216" t="s">
        <v>4358</v>
      </c>
      <c r="E2141" s="216" t="s">
        <v>4359</v>
      </c>
      <c r="F2141" s="182">
        <v>512.0</v>
      </c>
      <c r="G2141" s="172" t="str">
        <f>IFERROR(__xludf.DUMMYFUNCTION("TRIM(REGEXREPLACE(C2141, ""[0-9]+[a-f]?\."", """"))"),"In ${hoh_failed_country}, what was the name of the city or town that ${hoh_roster_name} planned to move to?")</f>
        <v>In ${hoh_failed_country}, what was the name of the city or town that ${hoh_roster_name} planned to move to?</v>
      </c>
      <c r="H2141" s="172" t="str">
        <f>IFERROR(__xludf.DUMMYFUNCTION("TRIM(REGEXREPLACE(D2141, ""[0-9]+[a-f]?\."", """"))"),"Dans ${hoh_failed_country}, quel était le nom de la ville ou du village vers lequel ${hoh_roster_name} prévoyait de voyager ?")</f>
        <v>Dans ${hoh_failed_country}, quel était le nom de la ville ou du village vers lequel ${hoh_roster_name} prévoyait de voyager ?</v>
      </c>
      <c r="I2141" s="172" t="str">
        <f>IFERROR(__xludf.DUMMYFUNCTION("TRIM(REGEXREPLACE(E2141, ""[0-9]+[a-f]?\."", """"))"),"A ƙasar ${hoh_failed_country}, menene sunan birni ko garin da sunan ${hoh_roster_name} yayi shirin zuwa?")</f>
        <v>A ƙasar ${hoh_failed_country}, menene sunan birni ko garin da sunan ${hoh_roster_name} yayi shirin zuwa?</v>
      </c>
      <c r="J2141" s="172" t="str">
        <f t="shared" ref="J2141:L2141" si="535">$F2141 &amp; ". " &amp;G2141</f>
        <v>512. In ${hoh_failed_country}, what was the name of the city or town that ${hoh_roster_name} planned to move to?</v>
      </c>
      <c r="K2141" s="172" t="str">
        <f t="shared" si="535"/>
        <v>512. Dans ${hoh_failed_country}, quel était le nom de la ville ou du village vers lequel ${hoh_roster_name} prévoyait de voyager ?</v>
      </c>
      <c r="L2141" s="172" t="str">
        <f t="shared" si="535"/>
        <v>512. A ƙasar ${hoh_failed_country}, menene sunan birni ko garin da sunan ${hoh_roster_name} yayi shirin zuwa?</v>
      </c>
    </row>
    <row r="2142">
      <c r="A2142" s="246" t="s">
        <v>231</v>
      </c>
      <c r="B2142" s="247" t="s">
        <v>6531</v>
      </c>
      <c r="C2142" s="247" t="s">
        <v>4361</v>
      </c>
      <c r="D2142" s="247" t="s">
        <v>4362</v>
      </c>
      <c r="E2142" s="247" t="s">
        <v>4363</v>
      </c>
      <c r="F2142" s="182">
        <v>513.0</v>
      </c>
      <c r="G2142" s="172" t="str">
        <f>IFERROR(__xludf.DUMMYFUNCTION("TRIM(REGEXREPLACE(C2142, ""[0-9]+[a-f]?\."", """"))"),"Specify other")</f>
        <v>Specify other</v>
      </c>
      <c r="H2142" s="172" t="str">
        <f>IFERROR(__xludf.DUMMYFUNCTION("TRIM(REGEXREPLACE(D2142, ""[0-9]+[a-f]?\."", """"))"),"Autre à préciser")</f>
        <v>Autre à préciser</v>
      </c>
      <c r="I2142" s="172" t="str">
        <f>IFERROR(__xludf.DUMMYFUNCTION("TRIM(REGEXREPLACE(E2142, ""[0-9]+[a-f]?\."", """"))"),"Wani daban a Bayyana")</f>
        <v>Wani daban a Bayyana</v>
      </c>
      <c r="J2142" s="172" t="str">
        <f t="shared" ref="J2142:L2142" si="536">$F2142 &amp; ". " &amp;G2142</f>
        <v>513. Specify other</v>
      </c>
      <c r="K2142" s="172" t="str">
        <f t="shared" si="536"/>
        <v>513. Autre à préciser</v>
      </c>
      <c r="L2142" s="172" t="str">
        <f t="shared" si="536"/>
        <v>513. Wani daban a Bayyana</v>
      </c>
    </row>
    <row r="2143">
      <c r="A2143" s="215" t="s">
        <v>5800</v>
      </c>
      <c r="B2143" s="216" t="s">
        <v>6532</v>
      </c>
      <c r="C2143" s="216" t="s">
        <v>6533</v>
      </c>
      <c r="D2143" s="216" t="s">
        <v>6534</v>
      </c>
      <c r="E2143" s="216" t="s">
        <v>6535</v>
      </c>
      <c r="F2143" s="182">
        <v>514.0</v>
      </c>
      <c r="G2143" s="172" t="str">
        <f>IFERROR(__xludf.DUMMYFUNCTION("TRIM(REGEXREPLACE(C2143, ""[0-9]+[a-f]?\."", """"))"),"In ${hoh_failed_country}, what was the name of the region that ${hoh_roster_name} planned to move to?")</f>
        <v>In ${hoh_failed_country}, what was the name of the region that ${hoh_roster_name} planned to move to?</v>
      </c>
      <c r="H2143" s="172" t="str">
        <f>IFERROR(__xludf.DUMMYFUNCTION("TRIM(REGEXREPLACE(D2143, ""[0-9]+[a-f]?\."", """"))"),"Dans ${hoh_failed_country}, quel était le nom de la région dans laquelle ${hoh_roster_name} prévoyait de voyager ?")</f>
        <v>Dans ${hoh_failed_country}, quel était le nom de la région dans laquelle ${hoh_roster_name} prévoyait de voyager ?</v>
      </c>
      <c r="I2143" s="172" t="str">
        <f>IFERROR(__xludf.DUMMYFUNCTION("TRIM(REGEXREPLACE(E2143, ""[0-9]+[a-f]?\."", """"))"),"A kasar ${hoh_failed_country}, menene sunan yankin da sunan ${hoh_roster_name} ya shirya zuwa?")</f>
        <v>A kasar ${hoh_failed_country}, menene sunan yankin da sunan ${hoh_roster_name} ya shirya zuwa?</v>
      </c>
      <c r="J2143" s="172" t="str">
        <f t="shared" ref="J2143:L2143" si="537">$F2143 &amp; ". " &amp;G2143</f>
        <v>514. In ${hoh_failed_country}, what was the name of the region that ${hoh_roster_name} planned to move to?</v>
      </c>
      <c r="K2143" s="172" t="str">
        <f t="shared" si="537"/>
        <v>514. Dans ${hoh_failed_country}, quel était le nom de la région dans laquelle ${hoh_roster_name} prévoyait de voyager ?</v>
      </c>
      <c r="L2143" s="172" t="str">
        <f t="shared" si="537"/>
        <v>514. A kasar ${hoh_failed_country}, menene sunan yankin da sunan ${hoh_roster_name} ya shirya zuwa?</v>
      </c>
    </row>
    <row r="2144">
      <c r="A2144" s="246" t="s">
        <v>231</v>
      </c>
      <c r="B2144" s="247" t="s">
        <v>6536</v>
      </c>
      <c r="C2144" s="247" t="s">
        <v>4373</v>
      </c>
      <c r="D2144" s="247" t="s">
        <v>4374</v>
      </c>
      <c r="E2144" s="247" t="s">
        <v>4375</v>
      </c>
      <c r="F2144" s="182">
        <v>515.0</v>
      </c>
      <c r="G2144" s="172" t="str">
        <f>IFERROR(__xludf.DUMMYFUNCTION("TRIM(REGEXREPLACE(C2144, ""[0-9]+[a-f]?\."", """"))"),"Specify other")</f>
        <v>Specify other</v>
      </c>
      <c r="H2144" s="172" t="str">
        <f>IFERROR(__xludf.DUMMYFUNCTION("TRIM(REGEXREPLACE(D2144, ""[0-9]+[a-f]?\."", """"))"),"Autre à préciser")</f>
        <v>Autre à préciser</v>
      </c>
      <c r="I2144" s="172" t="str">
        <f>IFERROR(__xludf.DUMMYFUNCTION("TRIM(REGEXREPLACE(E2144, ""[0-9]+[a-f]?\."", """"))"),"Wani daban a Bayyana")</f>
        <v>Wani daban a Bayyana</v>
      </c>
      <c r="J2144" s="172" t="str">
        <f t="shared" ref="J2144:L2144" si="538">$F2144 &amp; ". " &amp;G2144</f>
        <v>515. Specify other</v>
      </c>
      <c r="K2144" s="172" t="str">
        <f t="shared" si="538"/>
        <v>515. Autre à préciser</v>
      </c>
      <c r="L2144" s="172" t="str">
        <f t="shared" si="538"/>
        <v>515. Wani daban a Bayyana</v>
      </c>
    </row>
    <row r="2145">
      <c r="A2145" s="253" t="s">
        <v>246</v>
      </c>
      <c r="B2145" s="254" t="s">
        <v>6537</v>
      </c>
      <c r="C2145" s="254" t="s">
        <v>4380</v>
      </c>
      <c r="D2145" s="254" t="s">
        <v>4381</v>
      </c>
      <c r="E2145" s="254" t="s">
        <v>4382</v>
      </c>
      <c r="F2145" s="182">
        <v>516.0</v>
      </c>
      <c r="G2145" s="172" t="str">
        <f>IFERROR(__xludf.DUMMYFUNCTION("TRIM(REGEXREPLACE(C2145, ""[0-9]+[a-f]?\."", """"))"),"How many times did they plan to migrate to ${hoh_failed_country} and fail?")</f>
        <v>How many times did they plan to migrate to ${hoh_failed_country} and fail?</v>
      </c>
      <c r="H2145" s="172" t="str">
        <f>IFERROR(__xludf.DUMMYFUNCTION("TRIM(REGEXREPLACE(D2145, ""[0-9]+[a-f]?\."", """"))"),"Combien de fois ont-ils prévu de migrer vers ${hoh_failed_country} et ont-ils échoué ?")</f>
        <v>Combien de fois ont-ils prévu de migrer vers ${hoh_failed_country} et ont-ils échoué ?</v>
      </c>
      <c r="I2145" s="172" t="str">
        <f>IFERROR(__xludf.DUMMYFUNCTION("TRIM(REGEXREPLACE(E2145, ""[0-9]+[a-f]?\."", """"))"),"Sau nawa ya shirya zuwa ƙasar ${hoh_failed_country} kuma ya kasa?")</f>
        <v>Sau nawa ya shirya zuwa ƙasar ${hoh_failed_country} kuma ya kasa?</v>
      </c>
      <c r="J2145" s="172" t="str">
        <f t="shared" ref="J2145:L2145" si="539">$F2145 &amp; ". " &amp;G2145</f>
        <v>516. How many times did they plan to migrate to ${hoh_failed_country} and fail?</v>
      </c>
      <c r="K2145" s="172" t="str">
        <f t="shared" si="539"/>
        <v>516. Combien de fois ont-ils prévu de migrer vers ${hoh_failed_country} et ont-ils échoué ?</v>
      </c>
      <c r="L2145" s="172" t="str">
        <f t="shared" si="539"/>
        <v>516. Sau nawa ya shirya zuwa ƙasar ${hoh_failed_country} kuma ya kasa?</v>
      </c>
    </row>
    <row r="2146">
      <c r="A2146" s="215" t="s">
        <v>5809</v>
      </c>
      <c r="B2146" s="216" t="s">
        <v>6538</v>
      </c>
      <c r="C2146" s="216" t="s">
        <v>4384</v>
      </c>
      <c r="D2146" s="216" t="s">
        <v>4385</v>
      </c>
      <c r="E2146" s="216" t="s">
        <v>4386</v>
      </c>
      <c r="F2146" s="182">
        <v>517.0</v>
      </c>
      <c r="G2146" s="172" t="str">
        <f>IFERROR(__xludf.DUMMYFUNCTION("TRIM(REGEXREPLACE(C2146, ""[0-9]+[a-f]?\."", """"))"),"Why did they change their plans?")</f>
        <v>Why did they change their plans?</v>
      </c>
      <c r="H2146" s="172" t="str">
        <f>IFERROR(__xludf.DUMMYFUNCTION("TRIM(REGEXREPLACE(D2146, ""[0-9]+[a-f]?\."", """"))"),"Pourquoi a-t-il changé son plan?")</f>
        <v>Pourquoi a-t-il changé son plan?</v>
      </c>
      <c r="I2146" s="172" t="str">
        <f>IFERROR(__xludf.DUMMYFUNCTION("TRIM(REGEXREPLACE(E2146, ""[0-9]+[a-f]?\."", """"))"),"Me yasa ya fasa tafiyar?")</f>
        <v>Me yasa ya fasa tafiyar?</v>
      </c>
      <c r="J2146" s="172" t="str">
        <f t="shared" ref="J2146:L2146" si="540">$F2146 &amp; ". " &amp;G2146</f>
        <v>517. Why did they change their plans?</v>
      </c>
      <c r="K2146" s="172" t="str">
        <f t="shared" si="540"/>
        <v>517. Pourquoi a-t-il changé son plan?</v>
      </c>
      <c r="L2146" s="172" t="str">
        <f t="shared" si="540"/>
        <v>517. Me yasa ya fasa tafiyar?</v>
      </c>
    </row>
    <row r="2147">
      <c r="A2147" s="246" t="s">
        <v>231</v>
      </c>
      <c r="B2147" s="247" t="s">
        <v>6539</v>
      </c>
      <c r="C2147" s="247" t="s">
        <v>4390</v>
      </c>
      <c r="D2147" s="247" t="s">
        <v>4391</v>
      </c>
      <c r="E2147" s="247" t="s">
        <v>4392</v>
      </c>
      <c r="F2147" s="182">
        <v>518.0</v>
      </c>
      <c r="G2147" s="172" t="str">
        <f>IFERROR(__xludf.DUMMYFUNCTION("TRIM(REGEXREPLACE(C2147, ""[0-9]+[a-f]?\."", """"))"),"Specify other reason")</f>
        <v>Specify other reason</v>
      </c>
      <c r="H2147" s="172" t="str">
        <f>IFERROR(__xludf.DUMMYFUNCTION("TRIM(REGEXREPLACE(D2147, ""[0-9]+[a-f]?\."", """"))"),"Précisez une autre raison")</f>
        <v>Précisez une autre raison</v>
      </c>
      <c r="I2147" s="172" t="str">
        <f>IFERROR(__xludf.DUMMYFUNCTION("TRIM(REGEXREPLACE(E2147, ""[0-9]+[a-f]?\."", """"))"),"Baiyana wani dalili daban")</f>
        <v>Baiyana wani dalili daban</v>
      </c>
      <c r="J2147" s="172" t="str">
        <f t="shared" ref="J2147:L2147" si="541">$F2147 &amp; ". " &amp;G2147</f>
        <v>518. Specify other reason</v>
      </c>
      <c r="K2147" s="172" t="str">
        <f t="shared" si="541"/>
        <v>518. Précisez une autre raison</v>
      </c>
      <c r="L2147" s="172" t="str">
        <f t="shared" si="541"/>
        <v>518. Baiyana wani dalili daban</v>
      </c>
    </row>
    <row r="2148" hidden="1">
      <c r="A2148" s="255" t="s">
        <v>1064</v>
      </c>
      <c r="B2148" s="261" t="s">
        <v>6526</v>
      </c>
      <c r="C2148" s="262"/>
      <c r="D2148" s="262"/>
      <c r="E2148" s="262"/>
    </row>
    <row r="2149" hidden="1">
      <c r="A2149" s="211" t="s">
        <v>238</v>
      </c>
      <c r="B2149" s="224" t="s">
        <v>6480</v>
      </c>
      <c r="C2149" s="224" t="s">
        <v>6481</v>
      </c>
      <c r="D2149" s="225"/>
      <c r="E2149" s="225"/>
    </row>
    <row r="2150" hidden="1">
      <c r="A2150" s="188" t="s">
        <v>118</v>
      </c>
      <c r="B2150" s="189" t="s">
        <v>6540</v>
      </c>
      <c r="C2150" s="190"/>
      <c r="D2150" s="190"/>
      <c r="E2150" s="190"/>
    </row>
    <row r="2151" hidden="1">
      <c r="A2151" s="188" t="s">
        <v>68</v>
      </c>
      <c r="B2151" s="189" t="s">
        <v>6541</v>
      </c>
      <c r="C2151" s="190"/>
      <c r="D2151" s="190"/>
      <c r="E2151" s="190"/>
    </row>
    <row r="2152" hidden="1">
      <c r="A2152" s="255" t="s">
        <v>1064</v>
      </c>
      <c r="B2152" s="261" t="s">
        <v>6430</v>
      </c>
      <c r="C2152" s="261" t="s">
        <v>1972</v>
      </c>
      <c r="D2152" s="262"/>
      <c r="E2152" s="262"/>
    </row>
    <row r="2153" hidden="1">
      <c r="A2153" s="172"/>
      <c r="B2153" s="172"/>
      <c r="C2153" s="172"/>
      <c r="D2153" s="172"/>
      <c r="E2153" s="172"/>
    </row>
    <row r="2154" hidden="1">
      <c r="A2154" s="188" t="s">
        <v>68</v>
      </c>
      <c r="B2154" s="279" t="s">
        <v>6542</v>
      </c>
      <c r="C2154" s="217" t="s">
        <v>6543</v>
      </c>
      <c r="D2154" s="217" t="s">
        <v>6544</v>
      </c>
      <c r="E2154" s="217" t="s">
        <v>6545</v>
      </c>
    </row>
    <row r="2155" hidden="1">
      <c r="A2155" s="188" t="s">
        <v>68</v>
      </c>
      <c r="B2155" s="279" t="s">
        <v>6546</v>
      </c>
      <c r="C2155" s="217" t="s">
        <v>6547</v>
      </c>
      <c r="D2155" s="190"/>
      <c r="E2155" s="190"/>
    </row>
    <row r="2156" hidden="1">
      <c r="A2156" s="188" t="s">
        <v>68</v>
      </c>
      <c r="B2156" s="279" t="s">
        <v>6548</v>
      </c>
      <c r="C2156" s="190"/>
      <c r="D2156" s="190"/>
      <c r="E2156" s="190"/>
    </row>
    <row r="2157" hidden="1">
      <c r="A2157" s="188" t="s">
        <v>68</v>
      </c>
      <c r="B2157" s="279" t="s">
        <v>6549</v>
      </c>
      <c r="C2157" s="190"/>
      <c r="D2157" s="190"/>
      <c r="E2157" s="190"/>
    </row>
    <row r="2158" hidden="1">
      <c r="A2158" s="188" t="s">
        <v>68</v>
      </c>
      <c r="B2158" s="279" t="s">
        <v>6550</v>
      </c>
      <c r="C2158" s="190"/>
      <c r="D2158" s="190"/>
      <c r="E2158" s="190"/>
    </row>
    <row r="2159" hidden="1">
      <c r="A2159" s="188" t="s">
        <v>68</v>
      </c>
      <c r="B2159" s="279" t="s">
        <v>6551</v>
      </c>
      <c r="C2159" s="190"/>
      <c r="D2159" s="190"/>
      <c r="E2159" s="190"/>
    </row>
    <row r="2160" hidden="1">
      <c r="A2160" s="188" t="s">
        <v>68</v>
      </c>
      <c r="B2160" s="279" t="s">
        <v>6552</v>
      </c>
      <c r="C2160" s="190"/>
      <c r="D2160" s="190"/>
      <c r="E2160" s="190"/>
    </row>
    <row r="2161" hidden="1">
      <c r="A2161" s="172"/>
      <c r="B2161" s="172"/>
      <c r="C2161" s="174"/>
      <c r="D2161" s="174"/>
      <c r="E2161" s="174"/>
    </row>
    <row r="2162" hidden="1">
      <c r="A2162" s="211" t="s">
        <v>107</v>
      </c>
      <c r="B2162" s="212" t="s">
        <v>6553</v>
      </c>
      <c r="C2162" s="212" t="s">
        <v>6554</v>
      </c>
      <c r="D2162" s="214"/>
      <c r="E2162" s="214"/>
    </row>
    <row r="2163">
      <c r="A2163" s="207" t="s">
        <v>41</v>
      </c>
      <c r="B2163" s="208" t="s">
        <v>6555</v>
      </c>
      <c r="C2163" s="208" t="s">
        <v>6556</v>
      </c>
      <c r="D2163" s="208" t="s">
        <v>6557</v>
      </c>
      <c r="E2163" s="208" t="s">
        <v>6558</v>
      </c>
      <c r="F2163" s="182">
        <v>519.0</v>
      </c>
      <c r="G2163" s="172" t="str">
        <f>IFERROR(__xludf.DUMMYFUNCTION("TRIM(REGEXREPLACE(C2163, ""[0-9]+[a-f]?\."", """"))"),"Now I will ask you about how your household manages its resources.")</f>
        <v>Now I will ask you about how your household manages its resources.</v>
      </c>
      <c r="H2163" s="172" t="str">
        <f>IFERROR(__xludf.DUMMYFUNCTION("TRIM(REGEXREPLACE(D2163, ""[0-9]+[a-f]?\."", """"))"),"Je vais maintenant vous demander comment votre ménage gère ses ressources.")</f>
        <v>Je vais maintenant vous demander comment votre ménage gère ses ressources.</v>
      </c>
      <c r="I2163" s="172" t="str">
        <f>IFERROR(__xludf.DUMMYFUNCTION("TRIM(REGEXREPLACE(E2163, ""[0-9]+[a-f]?\."", """"))"),"Yanzu zan tambaye ku yadda gidanku yake sarrafa dukiyoyinshi.")</f>
        <v>Yanzu zan tambaye ku yadda gidanku yake sarrafa dukiyoyinshi.</v>
      </c>
      <c r="J2163" s="172" t="str">
        <f t="shared" ref="J2163:L2163" si="542">$F2163 &amp; ". " &amp;G2163</f>
        <v>519. Now I will ask you about how your household manages its resources.</v>
      </c>
      <c r="K2163" s="172" t="str">
        <f t="shared" si="542"/>
        <v>519. Je vais maintenant vous demander comment votre ménage gère ses ressources.</v>
      </c>
      <c r="L2163" s="172" t="str">
        <f t="shared" si="542"/>
        <v>519. Yanzu zan tambaye ku yadda gidanku yake sarrafa dukiyoyinshi.</v>
      </c>
    </row>
    <row r="2164">
      <c r="A2164" s="215" t="s">
        <v>3423</v>
      </c>
      <c r="B2164" s="216" t="s">
        <v>6559</v>
      </c>
      <c r="C2164" s="216" t="s">
        <v>4459</v>
      </c>
      <c r="D2164" s="216" t="s">
        <v>4460</v>
      </c>
      <c r="E2164" s="216" t="s">
        <v>4461</v>
      </c>
      <c r="F2164" s="182">
        <v>520.0</v>
      </c>
      <c r="G2164" s="172" t="str">
        <f>IFERROR(__xludf.DUMMYFUNCTION("TRIM(REGEXREPLACE(C2164, ""[0-9]+[a-f]?\."", """"))"),"Do you or another member of the household own this house?")</f>
        <v>Do you or another member of the household own this house?</v>
      </c>
      <c r="H2164" s="172" t="str">
        <f>IFERROR(__xludf.DUMMYFUNCTION("TRIM(REGEXREPLACE(D2164, ""[0-9]+[a-f]?\."", """"))"),"Est-ce que vous ou un autre membre du ménage êtes propriétaire de cette maison ?")</f>
        <v>Est-ce que vous ou un autre membre du ménage êtes propriétaire de cette maison ?</v>
      </c>
      <c r="I2164" s="172" t="str">
        <f>IFERROR(__xludf.DUMMYFUNCTION("TRIM(REGEXREPLACE(E2164, ""[0-9]+[a-f]?\."", """"))"),"Shin wannan gidan mallakarku ne kai ko wani dan cikin gidan ?")</f>
        <v>Shin wannan gidan mallakarku ne kai ko wani dan cikin gidan ?</v>
      </c>
      <c r="J2164" s="172" t="str">
        <f t="shared" ref="J2164:L2164" si="543">$F2164 &amp; ". " &amp;G2164</f>
        <v>520. Do you or another member of the household own this house?</v>
      </c>
      <c r="K2164" s="172" t="str">
        <f t="shared" si="543"/>
        <v>520. Est-ce que vous ou un autre membre du ménage êtes propriétaire de cette maison ?</v>
      </c>
      <c r="L2164" s="172" t="str">
        <f t="shared" si="543"/>
        <v>520. Shin wannan gidan mallakarku ne kai ko wani dan cikin gidan ?</v>
      </c>
    </row>
    <row r="2165">
      <c r="A2165" s="253" t="s">
        <v>246</v>
      </c>
      <c r="B2165" s="254" t="s">
        <v>6560</v>
      </c>
      <c r="C2165" s="254" t="s">
        <v>4465</v>
      </c>
      <c r="D2165" s="254" t="s">
        <v>4466</v>
      </c>
      <c r="E2165" s="254" t="s">
        <v>4467</v>
      </c>
      <c r="F2165" s="182">
        <v>521.0</v>
      </c>
      <c r="G2165" s="172" t="str">
        <f>IFERROR(__xludf.DUMMYFUNCTION("TRIM(REGEXREPLACE(C2165, ""[0-9]+[a-f]?\."", """"))"),"What is your best estimate of the value of your home in CFA?")</f>
        <v>What is your best estimate of the value of your home in CFA?</v>
      </c>
      <c r="H2165" s="172" t="str">
        <f>IFERROR(__xludf.DUMMYFUNCTION("TRIM(REGEXREPLACE(D2165, ""[0-9]+[a-f]?\."", """"))"),"Quelle est votre meilleure estimation de la valeur de votre maison en CFA ?")</f>
        <v>Quelle est votre meilleure estimation de la valeur de votre maison en CFA ?</v>
      </c>
      <c r="I2165" s="172" t="str">
        <f>IFERROR(__xludf.DUMMYFUNCTION("TRIM(REGEXREPLACE(E2165, ""[0-9]+[a-f]?\."", """"))"),"A ganinka wannan gidan aƙalla ya yi nawa a kudin CFA ?")</f>
        <v>A ganinka wannan gidan aƙalla ya yi nawa a kudin CFA ?</v>
      </c>
      <c r="J2165" s="172" t="str">
        <f t="shared" ref="J2165:L2165" si="544">$F2165 &amp; ". " &amp;G2165</f>
        <v>521. What is your best estimate of the value of your home in CFA?</v>
      </c>
      <c r="K2165" s="172" t="str">
        <f t="shared" si="544"/>
        <v>521. Quelle est votre meilleure estimation de la valeur de votre maison en CFA ?</v>
      </c>
      <c r="L2165" s="172" t="str">
        <f t="shared" si="544"/>
        <v>521. A ganinka wannan gidan aƙalla ya yi nawa a kudin CFA ?</v>
      </c>
    </row>
    <row r="2166">
      <c r="A2166" s="215" t="s">
        <v>6561</v>
      </c>
      <c r="B2166" s="216" t="s">
        <v>6562</v>
      </c>
      <c r="C2166" s="216" t="s">
        <v>4471</v>
      </c>
      <c r="D2166" s="216" t="s">
        <v>4472</v>
      </c>
      <c r="E2166" s="216" t="s">
        <v>4473</v>
      </c>
      <c r="F2166" s="182">
        <v>522.0</v>
      </c>
      <c r="G2166" s="172" t="str">
        <f>IFERROR(__xludf.DUMMYFUNCTION("TRIM(REGEXREPLACE(C2166, ""[0-9]+[a-f]?\."", """"))"),"Does your household own the following goods?")</f>
        <v>Does your household own the following goods?</v>
      </c>
      <c r="H2166" s="172" t="str">
        <f>IFERROR(__xludf.DUMMYFUNCTION("TRIM(REGEXREPLACE(D2166, ""[0-9]+[a-f]?\."", """"))"),"Votre ménage possède-t-il les biens suivants ?")</f>
        <v>Votre ménage possède-t-il les biens suivants ?</v>
      </c>
      <c r="I2166" s="172" t="str">
        <f>IFERROR(__xludf.DUMMYFUNCTION("TRIM(REGEXREPLACE(E2166, ""[0-9]+[a-f]?\."", """"))"),"Ko gidanku na da kadarori masu zuwa?")</f>
        <v>Ko gidanku na da kadarori masu zuwa?</v>
      </c>
      <c r="J2166" s="172" t="str">
        <f t="shared" ref="J2166:L2166" si="545">$F2166 &amp; ". " &amp;G2166</f>
        <v>522. Does your household own the following goods?</v>
      </c>
      <c r="K2166" s="172" t="str">
        <f t="shared" si="545"/>
        <v>522. Votre ménage possède-t-il les biens suivants ?</v>
      </c>
      <c r="L2166" s="172" t="str">
        <f t="shared" si="545"/>
        <v>522. Ko gidanku na da kadarori masu zuwa?</v>
      </c>
    </row>
    <row r="2167">
      <c r="A2167" s="215" t="s">
        <v>6563</v>
      </c>
      <c r="B2167" s="216" t="s">
        <v>6564</v>
      </c>
      <c r="C2167" s="216" t="s">
        <v>4475</v>
      </c>
      <c r="D2167" s="216" t="s">
        <v>4476</v>
      </c>
      <c r="E2167" s="216" t="s">
        <v>4477</v>
      </c>
      <c r="F2167" s="182">
        <v>523.0</v>
      </c>
      <c r="G2167" s="172" t="str">
        <f>IFERROR(__xludf.DUMMYFUNCTION("TRIM(REGEXREPLACE(C2167, ""[0-9]+[a-f]?\."", """"))"),"Does your household own any of the following types of livestock?")</f>
        <v>Does your household own any of the following types of livestock?</v>
      </c>
      <c r="H2167" s="172" t="str">
        <f>IFERROR(__xludf.DUMMYFUNCTION("TRIM(REGEXREPLACE(D2167, ""[0-9]+[a-f]?\."", """"))"),"Votre ménage possède-t-il l'un des types de bétail suivants ?")</f>
        <v>Votre ménage possède-t-il l'un des types de bétail suivants ?</v>
      </c>
      <c r="I2167" s="172" t="str">
        <f>IFERROR(__xludf.DUMMYFUNCTION("TRIM(REGEXREPLACE(E2167, ""[0-9]+[a-f]?\."", """"))"),"ko gidanku yana da ɗaya daga cikin irin wadannan dabbobi?")</f>
        <v>ko gidanku yana da ɗaya daga cikin irin wadannan dabbobi?</v>
      </c>
      <c r="J2167" s="172" t="str">
        <f t="shared" ref="J2167:L2167" si="546">$F2167 &amp; ". " &amp;G2167</f>
        <v>523. Does your household own any of the following types of livestock?</v>
      </c>
      <c r="K2167" s="172" t="str">
        <f t="shared" si="546"/>
        <v>523. Votre ménage possède-t-il l'un des types de bétail suivants ?</v>
      </c>
      <c r="L2167" s="172" t="str">
        <f t="shared" si="546"/>
        <v>523. ko gidanku yana da ɗaya daga cikin irin wadannan dabbobi?</v>
      </c>
    </row>
    <row r="2168" hidden="1">
      <c r="A2168" s="188" t="s">
        <v>118</v>
      </c>
      <c r="B2168" s="189" t="s">
        <v>6565</v>
      </c>
      <c r="C2168" s="190"/>
      <c r="D2168" s="190"/>
      <c r="E2168" s="190"/>
    </row>
    <row r="2169" hidden="1">
      <c r="A2169" s="255" t="s">
        <v>1042</v>
      </c>
      <c r="B2169" s="256" t="s">
        <v>6566</v>
      </c>
      <c r="C2169" s="256" t="s">
        <v>6567</v>
      </c>
      <c r="D2169" s="256" t="s">
        <v>6568</v>
      </c>
      <c r="E2169" s="256" t="s">
        <v>6569</v>
      </c>
    </row>
    <row r="2170" hidden="1">
      <c r="A2170" s="188" t="s">
        <v>68</v>
      </c>
      <c r="B2170" s="189" t="s">
        <v>6570</v>
      </c>
      <c r="C2170" s="217" t="s">
        <v>6571</v>
      </c>
      <c r="D2170" s="217" t="s">
        <v>6572</v>
      </c>
      <c r="E2170" s="217" t="s">
        <v>6573</v>
      </c>
    </row>
    <row r="2171">
      <c r="A2171" s="253" t="s">
        <v>246</v>
      </c>
      <c r="B2171" s="254" t="s">
        <v>6574</v>
      </c>
      <c r="C2171" s="254" t="s">
        <v>4490</v>
      </c>
      <c r="D2171" s="254" t="s">
        <v>4491</v>
      </c>
      <c r="E2171" s="254" t="s">
        <v>4492</v>
      </c>
      <c r="F2171" s="182">
        <v>524.0</v>
      </c>
      <c r="G2171" s="172" t="str">
        <f>IFERROR(__xludf.DUMMYFUNCTION("TRIM(REGEXREPLACE(C2171, ""[0-9]+[a-f]?\."", """"))"),"How many ${hoh_livestock_name} does your household own?")</f>
        <v>How many ${hoh_livestock_name} does your household own?</v>
      </c>
      <c r="H2171" s="172" t="str">
        <f>IFERROR(__xludf.DUMMYFUNCTION("TRIM(REGEXREPLACE(D2171, ""[0-9]+[a-f]?\."", """"))"),"Combien de ${hoh_livestock_name} votre ménage possède-t-il ?")</f>
        <v>Combien de ${hoh_livestock_name} votre ménage possède-t-il ?</v>
      </c>
      <c r="I2171" s="172" t="str">
        <f>IFERROR(__xludf.DUMMYFUNCTION("TRIM(REGEXREPLACE(E2171, ""[0-9]+[a-f]?\."", """"))"),"${hoh_livestock_name} Nawa gidan ku ya mallaka ?")</f>
        <v>${hoh_livestock_name} Nawa gidan ku ya mallaka ?</v>
      </c>
      <c r="J2171" s="172" t="str">
        <f t="shared" ref="J2171:L2171" si="547">$F2171 &amp; ". " &amp;G2171</f>
        <v>524. How many ${hoh_livestock_name} does your household own?</v>
      </c>
      <c r="K2171" s="172" t="str">
        <f t="shared" si="547"/>
        <v>524. Combien de ${hoh_livestock_name} votre ménage possède-t-il ?</v>
      </c>
      <c r="L2171" s="172" t="str">
        <f t="shared" si="547"/>
        <v>524. ${hoh_livestock_name} Nawa gidan ku ya mallaka ?</v>
      </c>
    </row>
    <row r="2172">
      <c r="A2172" s="253" t="s">
        <v>246</v>
      </c>
      <c r="B2172" s="254" t="s">
        <v>6575</v>
      </c>
      <c r="C2172" s="254" t="s">
        <v>6576</v>
      </c>
      <c r="D2172" s="254" t="s">
        <v>6577</v>
      </c>
      <c r="E2172" s="254" t="s">
        <v>6578</v>
      </c>
      <c r="F2172" s="182">
        <v>525.0</v>
      </c>
      <c r="G2172" s="172" t="str">
        <f>IFERROR(__xludf.DUMMYFUNCTION("TRIM(REGEXREPLACE(C2172, ""[0-9]+[a-f]?\."", """"))"),"How much is ${hoh_livestock_name} worth in CFA?")</f>
        <v>How much is ${hoh_livestock_name} worth in CFA?</v>
      </c>
      <c r="H2172" s="172" t="str">
        <f>IFERROR(__xludf.DUMMYFUNCTION("TRIM(REGEXREPLACE(D2172, ""[0-9]+[a-f]?\."", """"))"),"Combien vaut ${hoh_livestock_name} en CFA ?")</f>
        <v>Combien vaut ${hoh_livestock_name} en CFA ?</v>
      </c>
      <c r="I2172" s="172" t="str">
        <f>IFERROR(__xludf.DUMMYFUNCTION("TRIM(REGEXREPLACE(E2172, ""[0-9]+[a-f]?\."", """"))"),"Nawa ne kuɗin ${hoh_livestock_name} a sefa?")</f>
        <v>Nawa ne kuɗin ${hoh_livestock_name} a sefa?</v>
      </c>
      <c r="J2172" s="172" t="str">
        <f t="shared" ref="J2172:L2172" si="548">$F2172 &amp; ". " &amp;G2172</f>
        <v>525. How much is ${hoh_livestock_name} worth in CFA?</v>
      </c>
      <c r="K2172" s="172" t="str">
        <f t="shared" si="548"/>
        <v>525. Combien vaut ${hoh_livestock_name} en CFA ?</v>
      </c>
      <c r="L2172" s="172" t="str">
        <f t="shared" si="548"/>
        <v>525. Nawa ne kuɗin ${hoh_livestock_name} a sefa?</v>
      </c>
    </row>
    <row r="2173" hidden="1">
      <c r="A2173" s="255" t="s">
        <v>1064</v>
      </c>
      <c r="B2173" s="261" t="s">
        <v>6566</v>
      </c>
      <c r="C2173" s="261" t="s">
        <v>6567</v>
      </c>
      <c r="D2173" s="261" t="s">
        <v>6568</v>
      </c>
      <c r="E2173" s="261" t="s">
        <v>6569</v>
      </c>
    </row>
    <row r="2174" hidden="1">
      <c r="A2174" s="188" t="s">
        <v>118</v>
      </c>
      <c r="B2174" s="189" t="s">
        <v>6579</v>
      </c>
      <c r="C2174" s="190"/>
      <c r="D2174" s="190"/>
      <c r="E2174" s="190"/>
    </row>
    <row r="2175" hidden="1">
      <c r="A2175" s="188" t="s">
        <v>68</v>
      </c>
      <c r="B2175" s="189" t="s">
        <v>6580</v>
      </c>
      <c r="C2175" s="190"/>
      <c r="D2175" s="190"/>
      <c r="E2175" s="190"/>
    </row>
    <row r="2176" hidden="1">
      <c r="A2176" s="188" t="s">
        <v>118</v>
      </c>
      <c r="B2176" s="189" t="s">
        <v>6581</v>
      </c>
      <c r="C2176" s="190"/>
      <c r="D2176" s="190"/>
      <c r="E2176" s="190"/>
    </row>
    <row r="2177">
      <c r="A2177" s="207" t="s">
        <v>41</v>
      </c>
      <c r="B2177" s="208" t="s">
        <v>6582</v>
      </c>
      <c r="C2177" s="208" t="s">
        <v>6583</v>
      </c>
      <c r="D2177" s="208" t="s">
        <v>6584</v>
      </c>
      <c r="E2177" s="208" t="s">
        <v>6585</v>
      </c>
      <c r="F2177" s="182">
        <v>526.0</v>
      </c>
      <c r="G2177" s="172" t="str">
        <f>IFERROR(__xludf.DUMMYFUNCTION("TRIM(REGEXREPLACE(C2177, ""[0-9]+[a-f]?\."", """"))"),"Now we'll talk about your households' agricultural and and animal husbandry activities. 
 Let's starting with the most recent agricultural season")</f>
        <v>Now we'll talk about your households' agricultural and and animal husbandry activities. 
 Let's starting with the most recent agricultural season</v>
      </c>
      <c r="H2177" s="172" t="str">
        <f>IFERROR(__xludf.DUMMYFUNCTION("TRIM(REGEXREPLACE(D2177, ""[0-9]+[a-f]?\."", """"))"),"Maintenant, nous allons parler des activités agricoles et d'élevage de votre ménage.
 Commençons par la dernière saison agricole")</f>
        <v>Maintenant, nous allons parler des activités agricoles et d'élevage de votre ménage.
 Commençons par la dernière saison agricole</v>
      </c>
      <c r="I2177" s="172" t="str">
        <f>IFERROR(__xludf.DUMMYFUNCTION("TRIM(REGEXREPLACE(E2177, ""[0-9]+[a-f]?\."", """"))"),"Yanzu za mu yi hira bisa aikin noma da kiwo na gidanku.")</f>
        <v>Yanzu za mu yi hira bisa aikin noma da kiwo na gidanku.</v>
      </c>
      <c r="J2177" s="172" t="str">
        <f t="shared" ref="J2177:L2177" si="549">$F2177 &amp; ". " &amp;G2177</f>
        <v>526. Now we'll talk about your households' agricultural and and animal husbandry activities. 
 Let's starting with the most recent agricultural season</v>
      </c>
      <c r="K2177" s="172" t="str">
        <f t="shared" si="549"/>
        <v>526. Maintenant, nous allons parler des activités agricoles et d'élevage de votre ménage.
 Commençons par la dernière saison agricole</v>
      </c>
      <c r="L2177" s="172" t="str">
        <f t="shared" si="549"/>
        <v>526. Yanzu za mu yi hira bisa aikin noma da kiwo na gidanku.</v>
      </c>
    </row>
    <row r="2178">
      <c r="A2178" s="317" t="s">
        <v>264</v>
      </c>
      <c r="B2178" s="318" t="s">
        <v>6586</v>
      </c>
      <c r="C2178" s="318" t="s">
        <v>6587</v>
      </c>
      <c r="D2178" s="318" t="s">
        <v>6588</v>
      </c>
      <c r="E2178" s="318" t="s">
        <v>6589</v>
      </c>
      <c r="F2178" s="182">
        <v>527.0</v>
      </c>
      <c r="G2178" s="172" t="str">
        <f>IFERROR(__xludf.DUMMYFUNCTION("TRIM(REGEXREPLACE(C2178, ""[0-9]+[a-f]?\."", """"))"),"Thinking of all the agricultural land your household owned, rented or and had access to during the last agricultural season, please estimate its total size in hectres")</f>
        <v>Thinking of all the agricultural land your household owned, rented or and had access to during the last agricultural season, please estimate its total size in hectres</v>
      </c>
      <c r="H2178" s="172" t="str">
        <f>IFERROR(__xludf.DUMMYFUNCTION("TRIM(REGEXREPLACE(D2178, ""[0-9]+[a-f]?\."", """"))"),"En pensant à toutes les terres agricoles que votre ménage possédait, louait ou auxquelles il avait accès au cours de la dernière saison agricole, veuillez estimer leur superficie totale en hectares")</f>
        <v>En pensant à toutes les terres agricoles que votre ménage possédait, louait ou auxquelles il avait accès au cours de la dernière saison agricole, veuillez estimer leur superficie totale en hectares</v>
      </c>
      <c r="I2178" s="172" t="str">
        <f>IFERROR(__xludf.DUMMYFUNCTION("TRIM(REGEXREPLACE(E2178, ""[0-9]+[a-f]?\."", """"))"),"A ganinka da gonakan da kuka mallaka da na haya da na aro wanda kuka noma a bana sun kai eka nawa?")</f>
        <v>A ganinka da gonakan da kuka mallaka da na haya da na aro wanda kuka noma a bana sun kai eka nawa?</v>
      </c>
      <c r="J2178" s="172" t="str">
        <f t="shared" ref="J2178:L2178" si="550">$F2178 &amp; ". " &amp;G2178</f>
        <v>527. Thinking of all the agricultural land your household owned, rented or and had access to during the last agricultural season, please estimate its total size in hectres</v>
      </c>
      <c r="K2178" s="172" t="str">
        <f t="shared" si="550"/>
        <v>527. En pensant à toutes les terres agricoles que votre ménage possédait, louait ou auxquelles il avait accès au cours de la dernière saison agricole, veuillez estimer leur superficie totale en hectares</v>
      </c>
      <c r="L2178" s="172" t="str">
        <f t="shared" si="550"/>
        <v>527. A ganinka da gonakan da kuka mallaka da na haya da na aro wanda kuka noma a bana sun kai eka nawa?</v>
      </c>
    </row>
    <row r="2179">
      <c r="A2179" s="317" t="s">
        <v>264</v>
      </c>
      <c r="B2179" s="318" t="s">
        <v>6590</v>
      </c>
      <c r="C2179" s="318" t="s">
        <v>6591</v>
      </c>
      <c r="D2179" s="318" t="s">
        <v>6592</v>
      </c>
      <c r="E2179" s="318" t="s">
        <v>6593</v>
      </c>
      <c r="F2179" s="182">
        <v>528.0</v>
      </c>
      <c r="G2179" s="172" t="str">
        <f>IFERROR(__xludf.DUMMYFUNCTION("TRIM(REGEXREPLACE(C2179, ""[0-9]+[a-f]?\."", """"))"),"How much of this land (in hectares) do you or another member of your household own?")</f>
        <v>How much of this land (in hectares) do you or another member of your household own?</v>
      </c>
      <c r="H2179" s="172" t="str">
        <f>IFERROR(__xludf.DUMMYFUNCTION("TRIM(REGEXREPLACE(D2179, ""[0-9]+[a-f]?\."", """"))"),"Quelle superficie de cette terre (en hectares) vous ou un autre membre de votre ménage possédez?")</f>
        <v>Quelle superficie de cette terre (en hectares) vous ou un autre membre de votre ménage possédez?</v>
      </c>
      <c r="I2179" s="172" t="str">
        <f>IFERROR(__xludf.DUMMYFUNCTION("TRIM(REGEXREPLACE(E2179, ""[0-9]+[a-f]?\."", """"))"),"Eka nawa ne mallakinku cikin wadannan gonakin, ku ko wani ɗan gidanku?")</f>
        <v>Eka nawa ne mallakinku cikin wadannan gonakin, ku ko wani ɗan gidanku?</v>
      </c>
      <c r="J2179" s="172" t="str">
        <f t="shared" ref="J2179:L2179" si="551">$F2179 &amp; ". " &amp;G2179</f>
        <v>528. How much of this land (in hectares) do you or another member of your household own?</v>
      </c>
      <c r="K2179" s="172" t="str">
        <f t="shared" si="551"/>
        <v>528. Quelle superficie de cette terre (en hectares) vous ou un autre membre de votre ménage possédez?</v>
      </c>
      <c r="L2179" s="172" t="str">
        <f t="shared" si="551"/>
        <v>528. Eka nawa ne mallakinku cikin wadannan gonakin, ku ko wani ɗan gidanku?</v>
      </c>
    </row>
    <row r="2180">
      <c r="A2180" s="317" t="s">
        <v>264</v>
      </c>
      <c r="B2180" s="318" t="s">
        <v>6594</v>
      </c>
      <c r="C2180" s="318" t="s">
        <v>6595</v>
      </c>
      <c r="D2180" s="318" t="s">
        <v>6596</v>
      </c>
      <c r="E2180" s="318" t="s">
        <v>6597</v>
      </c>
      <c r="F2180" s="182">
        <v>529.0</v>
      </c>
      <c r="G2180" s="172" t="str">
        <f>IFERROR(__xludf.DUMMYFUNCTION("TRIM(REGEXREPLACE(C2180, ""[0-9]+[a-f]?\."", """"))"),"How much of this land, if any have you sold in the past year?")</f>
        <v>How much of this land, if any have you sold in the past year?</v>
      </c>
      <c r="H2180" s="172" t="str">
        <f>IFERROR(__xludf.DUMMYFUNCTION("TRIM(REGEXREPLACE(D2180, ""[0-9]+[a-f]?\."", """"))"),"Quelle superficie de ce terrain, si c'est déjà arrivé, avez-vous vendu au cours de l'année écoulée ?")</f>
        <v>Quelle superficie de ce terrain, si c'est déjà arrivé, avez-vous vendu au cours de l'année écoulée ?</v>
      </c>
      <c r="I2180" s="172" t="str">
        <f>IFERROR(__xludf.DUMMYFUNCTION("TRIM(REGEXREPLACE(E2180, ""[0-9]+[a-f]?\."", """"))"),"Eka nawa ne kuka saida, idan ya taɓa faruwa, a cikin shekarar da ta gabata?")</f>
        <v>Eka nawa ne kuka saida, idan ya taɓa faruwa, a cikin shekarar da ta gabata?</v>
      </c>
      <c r="J2180" s="172" t="str">
        <f t="shared" ref="J2180:L2180" si="552">$F2180 &amp; ". " &amp;G2180</f>
        <v>529. How much of this land, if any have you sold in the past year?</v>
      </c>
      <c r="K2180" s="172" t="str">
        <f t="shared" si="552"/>
        <v>529. Quelle superficie de ce terrain, si c'est déjà arrivé, avez-vous vendu au cours de l'année écoulée ?</v>
      </c>
      <c r="L2180" s="172" t="str">
        <f t="shared" si="552"/>
        <v>529. Eka nawa ne kuka saida, idan ya taɓa faruwa, a cikin shekarar da ta gabata?</v>
      </c>
    </row>
    <row r="2181">
      <c r="A2181" s="317" t="s">
        <v>264</v>
      </c>
      <c r="B2181" s="318" t="s">
        <v>6598</v>
      </c>
      <c r="C2181" s="318" t="s">
        <v>6599</v>
      </c>
      <c r="D2181" s="318" t="s">
        <v>6600</v>
      </c>
      <c r="E2181" s="318" t="s">
        <v>6601</v>
      </c>
      <c r="F2181" s="182">
        <v>530.0</v>
      </c>
      <c r="G2181" s="172" t="str">
        <f>IFERROR(__xludf.DUMMYFUNCTION("TRIM(REGEXREPLACE(C2181, ""[0-9]+[a-f]?\."", """"))"),"How much of this land, if any have you purchased in the past year?")</f>
        <v>How much of this land, if any have you purchased in the past year?</v>
      </c>
      <c r="H2181" s="172" t="str">
        <f>IFERROR(__xludf.DUMMYFUNCTION("TRIM(REGEXREPLACE(D2181, ""[0-9]+[a-f]?\."", """"))"),"Quelle superficie de ce terrain, si c'est déjà arrivé, avez-vous acheté au cours de la dernière année ?")</f>
        <v>Quelle superficie de ce terrain, si c'est déjà arrivé, avez-vous acheté au cours de la dernière année ?</v>
      </c>
      <c r="I2181" s="172" t="str">
        <f>IFERROR(__xludf.DUMMYFUNCTION("TRIM(REGEXREPLACE(E2181, ""[0-9]+[a-f]?\."", """"))"),"Eka nawa ne kuka saye, idan ya faru, a cikin shekarar da ta gabata?")</f>
        <v>Eka nawa ne kuka saye, idan ya faru, a cikin shekarar da ta gabata?</v>
      </c>
      <c r="J2181" s="172" t="str">
        <f t="shared" ref="J2181:L2181" si="553">$F2181 &amp; ". " &amp;G2181</f>
        <v>530. How much of this land, if any have you purchased in the past year?</v>
      </c>
      <c r="K2181" s="172" t="str">
        <f t="shared" si="553"/>
        <v>530. Quelle superficie de ce terrain, si c'est déjà arrivé, avez-vous acheté au cours de la dernière année ?</v>
      </c>
      <c r="L2181" s="172" t="str">
        <f t="shared" si="553"/>
        <v>530. Eka nawa ne kuka saye, idan ya faru, a cikin shekarar da ta gabata?</v>
      </c>
    </row>
    <row r="2182">
      <c r="A2182" s="317" t="s">
        <v>264</v>
      </c>
      <c r="B2182" s="318" t="s">
        <v>6602</v>
      </c>
      <c r="C2182" s="318" t="s">
        <v>4545</v>
      </c>
      <c r="D2182" s="318" t="s">
        <v>4546</v>
      </c>
      <c r="E2182" s="318" t="s">
        <v>4547</v>
      </c>
      <c r="F2182" s="182">
        <v>531.0</v>
      </c>
      <c r="G2182" s="172" t="str">
        <f>IFERROR(__xludf.DUMMYFUNCTION("TRIM(REGEXREPLACE(C2182, ""[0-9]+[a-f]?\."", """"))"),"How much of this land (in hectares) did you rent during the last agricultural season?")</f>
        <v>How much of this land (in hectares) did you rent during the last agricultural season?</v>
      </c>
      <c r="H2182" s="172" t="str">
        <f>IFERROR(__xludf.DUMMYFUNCTION("TRIM(REGEXREPLACE(D2182, ""[0-9]+[a-f]?\."", """"))"),"Quelle superficie de cette terre (en hectares) avez-vous louée au cours de la dernière saison agricole ?")</f>
        <v>Quelle superficie de cette terre (en hectares) avez-vous louée au cours de la dernière saison agricole ?</v>
      </c>
      <c r="I2182" s="172" t="str">
        <f>IFERROR(__xludf.DUMMYFUNCTION("TRIM(REGEXREPLACE(E2182, ""[0-9]+[a-f]?\."", """"))"),"Eka nawa ne kuka yi haya a lokacin noman da ta wuce?")</f>
        <v>Eka nawa ne kuka yi haya a lokacin noman da ta wuce?</v>
      </c>
      <c r="J2182" s="172" t="str">
        <f t="shared" ref="J2182:L2182" si="554">$F2182 &amp; ". " &amp;G2182</f>
        <v>531. How much of this land (in hectares) did you rent during the last agricultural season?</v>
      </c>
      <c r="K2182" s="172" t="str">
        <f t="shared" si="554"/>
        <v>531. Quelle superficie de cette terre (en hectares) avez-vous louée au cours de la dernière saison agricole ?</v>
      </c>
      <c r="L2182" s="172" t="str">
        <f t="shared" si="554"/>
        <v>531. Eka nawa ne kuka yi haya a lokacin noman da ta wuce?</v>
      </c>
    </row>
    <row r="2183">
      <c r="A2183" s="253" t="s">
        <v>246</v>
      </c>
      <c r="B2183" s="254" t="s">
        <v>6603</v>
      </c>
      <c r="C2183" s="254" t="s">
        <v>4549</v>
      </c>
      <c r="D2183" s="254" t="s">
        <v>4550</v>
      </c>
      <c r="E2183" s="254" t="s">
        <v>4551</v>
      </c>
      <c r="F2183" s="182">
        <v>532.0</v>
      </c>
      <c r="G2183" s="172" t="str">
        <f>IFERROR(__xludf.DUMMYFUNCTION("TRIM(REGEXREPLACE(C2183, ""[0-9]+[a-f]?\."", """"))"),"How much did you pay to rent this land during the last agricultural season (in CFA)?")</f>
        <v>How much did you pay to rent this land during the last agricultural season (in CFA)?</v>
      </c>
      <c r="H2183" s="172" t="str">
        <f>IFERROR(__xludf.DUMMYFUNCTION("TRIM(REGEXREPLACE(D2183, ""[0-9]+[a-f]?\."", """"))"),"A combien avez-vous loué ce terrain (en CFA) au cours de la dernière saison agricole ?")</f>
        <v>A combien avez-vous loué ce terrain (en CFA) au cours de la dernière saison agricole ?</v>
      </c>
      <c r="I2183" s="172" t="str">
        <f>IFERROR(__xludf.DUMMYFUNCTION("TRIM(REGEXREPLACE(E2183, ""[0-9]+[a-f]?\."", """"))"),"A nawa kuka yi hayar wannan gonar a lokacin noman da ta wuce (a sefa)?")</f>
        <v>A nawa kuka yi hayar wannan gonar a lokacin noman da ta wuce (a sefa)?</v>
      </c>
      <c r="J2183" s="172" t="str">
        <f t="shared" ref="J2183:L2183" si="555">$F2183 &amp; ". " &amp;G2183</f>
        <v>532. How much did you pay to rent this land during the last agricultural season (in CFA)?</v>
      </c>
      <c r="K2183" s="172" t="str">
        <f t="shared" si="555"/>
        <v>532. A combien avez-vous loué ce terrain (en CFA) au cours de la dernière saison agricole ?</v>
      </c>
      <c r="L2183" s="172" t="str">
        <f t="shared" si="555"/>
        <v>532. A nawa kuka yi hayar wannan gonar a lokacin noman da ta wuce (a sefa)?</v>
      </c>
    </row>
    <row r="2184" hidden="1">
      <c r="A2184" s="188" t="s">
        <v>118</v>
      </c>
      <c r="B2184" s="189" t="s">
        <v>6604</v>
      </c>
      <c r="C2184" s="190"/>
      <c r="D2184" s="190"/>
      <c r="E2184" s="190"/>
    </row>
    <row r="2185" hidden="1">
      <c r="A2185" s="188" t="s">
        <v>68</v>
      </c>
      <c r="B2185" s="189" t="s">
        <v>6605</v>
      </c>
      <c r="C2185" s="190"/>
      <c r="D2185" s="190"/>
      <c r="E2185" s="190"/>
    </row>
    <row r="2186">
      <c r="A2186" s="207" t="s">
        <v>41</v>
      </c>
      <c r="B2186" s="208" t="s">
        <v>6606</v>
      </c>
      <c r="C2186" s="208" t="s">
        <v>4559</v>
      </c>
      <c r="D2186" s="208" t="s">
        <v>4560</v>
      </c>
      <c r="E2186" s="208" t="s">
        <v>4561</v>
      </c>
      <c r="F2186" s="182">
        <v>533.0</v>
      </c>
      <c r="G2186" s="172" t="str">
        <f>IFERROR(__xludf.DUMMYFUNCTION("TRIM(REGEXREPLACE(C2186, ""[0-9]+[a-f]?\."", """"))"),"Now we will focus on agricultural activities during last agricultural season")</f>
        <v>Now we will focus on agricultural activities during last agricultural season</v>
      </c>
      <c r="H2186" s="172" t="str">
        <f>IFERROR(__xludf.DUMMYFUNCTION("TRIM(REGEXREPLACE(D2186, ""[0-9]+[a-f]?\."", """"))"),"Maintenant, nous allons nous concentrer sur les activités agricoles au cours de la dernière saison agricole")</f>
        <v>Maintenant, nous allons nous concentrer sur les activités agricoles au cours de la dernière saison agricole</v>
      </c>
      <c r="I2186" s="172" t="str">
        <f>IFERROR(__xludf.DUMMYFUNCTION("TRIM(REGEXREPLACE(E2186, ""[0-9]+[a-f]?\."", """"))"),"Yanzu za mu maida hankali kan ayyukan noma a lokacin damanar da ta wuce")</f>
        <v>Yanzu za mu maida hankali kan ayyukan noma a lokacin damanar da ta wuce</v>
      </c>
      <c r="J2186" s="172" t="str">
        <f t="shared" ref="J2186:L2186" si="556">$F2186 &amp; ". " &amp;G2186</f>
        <v>533. Now we will focus on agricultural activities during last agricultural season</v>
      </c>
      <c r="K2186" s="172" t="str">
        <f t="shared" si="556"/>
        <v>533. Maintenant, nous allons nous concentrer sur les activités agricoles au cours de la dernière saison agricole</v>
      </c>
      <c r="L2186" s="172" t="str">
        <f t="shared" si="556"/>
        <v>533. Yanzu za mu maida hankali kan ayyukan noma a lokacin damanar da ta wuce</v>
      </c>
    </row>
    <row r="2187">
      <c r="A2187" s="215" t="s">
        <v>6607</v>
      </c>
      <c r="B2187" s="216" t="s">
        <v>6608</v>
      </c>
      <c r="C2187" s="216" t="s">
        <v>4563</v>
      </c>
      <c r="D2187" s="216" t="s">
        <v>4564</v>
      </c>
      <c r="E2187" s="216" t="s">
        <v>4565</v>
      </c>
      <c r="F2187" s="182">
        <v>534.0</v>
      </c>
      <c r="G2187" s="172" t="str">
        <f>IFERROR(__xludf.DUMMYFUNCTION("TRIM(REGEXREPLACE(C2187, ""[0-9]+[a-f]?\."", """"))"),"Which of the following crops did your household grow during the last agricultural season?")</f>
        <v>Which of the following crops did your household grow during the last agricultural season?</v>
      </c>
      <c r="H2187" s="172" t="str">
        <f>IFERROR(__xludf.DUMMYFUNCTION("TRIM(REGEXREPLACE(D2187, ""[0-9]+[a-f]?\."", """"))"),"Laquelle des cultures suivantes votre ménage a-t-il cultivées au cours de la dernière saison agricole ?")</f>
        <v>Laquelle des cultures suivantes votre ménage a-t-il cultivées au cours de la dernière saison agricole ?</v>
      </c>
      <c r="I2187" s="172" t="str">
        <f>IFERROR(__xludf.DUMMYFUNCTION("TRIM(REGEXREPLACE(E2187, ""[0-9]+[a-f]?\."", """"))"),"Wanne daga cikin waɗannan amfanin gidanku ya noma a damanar da ta gabata?")</f>
        <v>Wanne daga cikin waɗannan amfanin gidanku ya noma a damanar da ta gabata?</v>
      </c>
      <c r="J2187" s="172" t="str">
        <f t="shared" ref="J2187:L2187" si="557">$F2187 &amp; ". " &amp;G2187</f>
        <v>534. Which of the following crops did your household grow during the last agricultural season?</v>
      </c>
      <c r="K2187" s="172" t="str">
        <f t="shared" si="557"/>
        <v>534. Laquelle des cultures suivantes votre ménage a-t-il cultivées au cours de la dernière saison agricole ?</v>
      </c>
      <c r="L2187" s="172" t="str">
        <f t="shared" si="557"/>
        <v>534. Wanne daga cikin waɗannan amfanin gidanku ya noma a damanar da ta gabata?</v>
      </c>
    </row>
    <row r="2188">
      <c r="A2188" s="246" t="s">
        <v>231</v>
      </c>
      <c r="B2188" s="247" t="s">
        <v>6609</v>
      </c>
      <c r="C2188" s="247" t="s">
        <v>4567</v>
      </c>
      <c r="D2188" s="247" t="s">
        <v>4568</v>
      </c>
      <c r="E2188" s="247" t="s">
        <v>4569</v>
      </c>
      <c r="F2188" s="182">
        <v>535.0</v>
      </c>
      <c r="G2188" s="172" t="str">
        <f>IFERROR(__xludf.DUMMYFUNCTION("TRIM(REGEXREPLACE(C2188, ""[0-9]+[a-f]?\."", """"))"),"Specify other:")</f>
        <v>Specify other:</v>
      </c>
      <c r="H2188" s="172" t="str">
        <f>IFERROR(__xludf.DUMMYFUNCTION("TRIM(REGEXREPLACE(D2188, ""[0-9]+[a-f]?\."", """"))"),"Précisez la culture")</f>
        <v>Précisez la culture</v>
      </c>
      <c r="I2188" s="172" t="str">
        <f>IFERROR(__xludf.DUMMYFUNCTION("TRIM(REGEXREPLACE(E2188, ""[0-9]+[a-f]?\."", """"))"),"Baiyana wani abu daban:")</f>
        <v>Baiyana wani abu daban:</v>
      </c>
      <c r="J2188" s="172" t="str">
        <f t="shared" ref="J2188:L2188" si="558">$F2188 &amp; ". " &amp;G2188</f>
        <v>535. Specify other:</v>
      </c>
      <c r="K2188" s="172" t="str">
        <f t="shared" si="558"/>
        <v>535. Précisez la culture</v>
      </c>
      <c r="L2188" s="172" t="str">
        <f t="shared" si="558"/>
        <v>535. Baiyana wani abu daban:</v>
      </c>
    </row>
    <row r="2189" hidden="1">
      <c r="A2189" s="188" t="s">
        <v>118</v>
      </c>
      <c r="B2189" s="189" t="s">
        <v>6610</v>
      </c>
      <c r="C2189" s="190"/>
      <c r="D2189" s="190"/>
      <c r="E2189" s="190"/>
    </row>
    <row r="2190" hidden="1">
      <c r="A2190" s="255" t="s">
        <v>1042</v>
      </c>
      <c r="B2190" s="256" t="s">
        <v>6611</v>
      </c>
      <c r="C2190" s="256" t="s">
        <v>6612</v>
      </c>
      <c r="D2190" s="256" t="s">
        <v>6613</v>
      </c>
      <c r="E2190" s="256" t="s">
        <v>6614</v>
      </c>
    </row>
    <row r="2191" hidden="1">
      <c r="A2191" s="188" t="s">
        <v>68</v>
      </c>
      <c r="B2191" s="189" t="s">
        <v>6615</v>
      </c>
      <c r="C2191" s="217" t="s">
        <v>6616</v>
      </c>
      <c r="D2191" s="217" t="s">
        <v>6617</v>
      </c>
      <c r="E2191" s="217" t="s">
        <v>6618</v>
      </c>
    </row>
    <row r="2192" hidden="1">
      <c r="A2192" s="211" t="s">
        <v>107</v>
      </c>
      <c r="B2192" s="212" t="s">
        <v>6619</v>
      </c>
      <c r="C2192" s="214"/>
      <c r="D2192" s="214"/>
      <c r="E2192" s="214"/>
    </row>
    <row r="2193">
      <c r="A2193" s="317" t="s">
        <v>264</v>
      </c>
      <c r="B2193" s="318" t="s">
        <v>6620</v>
      </c>
      <c r="C2193" s="318" t="s">
        <v>4590</v>
      </c>
      <c r="D2193" s="318" t="s">
        <v>4591</v>
      </c>
      <c r="E2193" s="318" t="s">
        <v>4592</v>
      </c>
      <c r="F2193" s="182">
        <v>536.0</v>
      </c>
      <c r="G2193" s="172" t="str">
        <f>IFERROR(__xludf.DUMMYFUNCTION("TRIM(REGEXREPLACE(C2193, ""[0-9]+[a-f]?\."", """"))"),"How much of ${hoh_crop_name} did your household produce?")</f>
        <v>How much of ${hoh_crop_name} did your household produce?</v>
      </c>
      <c r="H2193" s="172" t="str">
        <f>IFERROR(__xludf.DUMMYFUNCTION("TRIM(REGEXREPLACE(D2193, ""[0-9]+[a-f]?\."", """"))"),"Quelle quantité de ${hoh_crop_name} votre ménage a-t-il produit ?")</f>
        <v>Quelle quantité de ${hoh_crop_name} votre ménage a-t-il produit ?</v>
      </c>
      <c r="I2193" s="172" t="str">
        <f>IFERROR(__xludf.DUMMYFUNCTION("TRIM(REGEXREPLACE(E2193, ""[0-9]+[a-f]?\."", """"))"),"${hoh_crop_name} Nawa gidanku ya samu?")</f>
        <v>${hoh_crop_name} Nawa gidanku ya samu?</v>
      </c>
      <c r="J2193" s="172" t="str">
        <f t="shared" ref="J2193:L2193" si="559">$F2193 &amp; ". " &amp;G2193</f>
        <v>536. How much of ${hoh_crop_name} did your household produce?</v>
      </c>
      <c r="K2193" s="172" t="str">
        <f t="shared" si="559"/>
        <v>536. Quelle quantité de ${hoh_crop_name} votre ménage a-t-il produit ?</v>
      </c>
      <c r="L2193" s="172" t="str">
        <f t="shared" si="559"/>
        <v>536. ${hoh_crop_name} Nawa gidanku ya samu?</v>
      </c>
    </row>
    <row r="2194">
      <c r="A2194" s="215" t="s">
        <v>6621</v>
      </c>
      <c r="B2194" s="216" t="s">
        <v>6622</v>
      </c>
      <c r="C2194" s="216" t="s">
        <v>6623</v>
      </c>
      <c r="D2194" s="216" t="s">
        <v>6624</v>
      </c>
      <c r="E2194" s="216" t="s">
        <v>6625</v>
      </c>
      <c r="F2194" s="182">
        <v>537.0</v>
      </c>
      <c r="G2194" s="172" t="str">
        <f>IFERROR(__xludf.DUMMYFUNCTION("TRIM(REGEXREPLACE(C2194, ""[0-9]+[a-f]?\."", """"))"),"Select crop unit for ${hoh_crop_name}")</f>
        <v>Select crop unit for ${hoh_crop_name}</v>
      </c>
      <c r="H2194" s="172" t="str">
        <f>IFERROR(__xludf.DUMMYFUNCTION("TRIM(REGEXREPLACE(D2194, ""[0-9]+[a-f]?\."", """"))"),"Sélectionnez l'unité de culture pour ${hoh_crop_name}")</f>
        <v>Sélectionnez l'unité de culture pour ${hoh_crop_name}</v>
      </c>
      <c r="I2194" s="172" t="str">
        <f>IFERROR(__xludf.DUMMYFUNCTION("TRIM(REGEXREPLACE(E2194, ""[0-9]+[a-f]?\."", """"))"),"Zaɓi amfanin gonar don ${hoh_crop_name}")</f>
        <v>Zaɓi amfanin gonar don ${hoh_crop_name}</v>
      </c>
      <c r="J2194" s="172" t="str">
        <f t="shared" ref="J2194:L2194" si="560">$F2194 &amp; ". " &amp;G2194</f>
        <v>537. Select crop unit for ${hoh_crop_name}</v>
      </c>
      <c r="K2194" s="172" t="str">
        <f t="shared" si="560"/>
        <v>537. Sélectionnez l'unité de culture pour ${hoh_crop_name}</v>
      </c>
      <c r="L2194" s="172" t="str">
        <f t="shared" si="560"/>
        <v>537. Zaɓi amfanin gonar don ${hoh_crop_name}</v>
      </c>
    </row>
    <row r="2195" hidden="1">
      <c r="A2195" s="211" t="s">
        <v>238</v>
      </c>
      <c r="B2195" s="224" t="s">
        <v>6619</v>
      </c>
      <c r="C2195" s="225"/>
      <c r="D2195" s="225"/>
      <c r="E2195" s="225"/>
    </row>
    <row r="2196">
      <c r="A2196" s="246" t="s">
        <v>231</v>
      </c>
      <c r="B2196" s="247" t="s">
        <v>6626</v>
      </c>
      <c r="C2196" s="247" t="s">
        <v>6627</v>
      </c>
      <c r="D2196" s="247" t="s">
        <v>6628</v>
      </c>
      <c r="E2196" s="247" t="s">
        <v>6629</v>
      </c>
      <c r="F2196" s="182">
        <v>538.0</v>
      </c>
      <c r="G2196" s="172" t="str">
        <f>IFERROR(__xludf.DUMMYFUNCTION("TRIM(REGEXREPLACE(C2196, ""[0-9]+[a-f]?\."", """"))"),"Specify other unit:")</f>
        <v>Specify other unit:</v>
      </c>
      <c r="H2196" s="172" t="str">
        <f>IFERROR(__xludf.DUMMYFUNCTION("TRIM(REGEXREPLACE(D2196, ""[0-9]+[a-f]?\."", """"))"),"Spécifiez une autre unité :")</f>
        <v>Spécifiez une autre unité :</v>
      </c>
      <c r="I2196" s="172" t="str">
        <f>IFERROR(__xludf.DUMMYFUNCTION("TRIM(REGEXREPLACE(E2196, ""[0-9]+[a-f]?\."", """"))"),"Baiyana wani amfanin gonar daban:")</f>
        <v>Baiyana wani amfanin gonar daban:</v>
      </c>
      <c r="J2196" s="172" t="str">
        <f t="shared" ref="J2196:L2196" si="561">$F2196 &amp; ". " &amp;G2196</f>
        <v>538. Specify other unit:</v>
      </c>
      <c r="K2196" s="172" t="str">
        <f t="shared" si="561"/>
        <v>538. Spécifiez une autre unité :</v>
      </c>
      <c r="L2196" s="172" t="str">
        <f t="shared" si="561"/>
        <v>538. Baiyana wani amfanin gonar daban:</v>
      </c>
    </row>
    <row r="2197" hidden="1">
      <c r="A2197" s="188" t="s">
        <v>68</v>
      </c>
      <c r="B2197" s="189" t="s">
        <v>6630</v>
      </c>
      <c r="C2197" s="217" t="s">
        <v>6631</v>
      </c>
      <c r="D2197" s="190"/>
      <c r="E2197" s="190"/>
    </row>
    <row r="2198">
      <c r="A2198" s="317" t="s">
        <v>264</v>
      </c>
      <c r="B2198" s="318" t="s">
        <v>6632</v>
      </c>
      <c r="C2198" s="318" t="s">
        <v>6633</v>
      </c>
      <c r="D2198" s="318" t="s">
        <v>6634</v>
      </c>
      <c r="E2198" s="318" t="s">
        <v>6635</v>
      </c>
      <c r="F2198" s="182">
        <v>539.0</v>
      </c>
      <c r="G2198" s="172" t="str">
        <f>IFERROR(__xludf.DUMMYFUNCTION("TRIM(REGEXREPLACE(C2198, ""[0-9]+[a-f]?\."", """"))"),"What quantity (${hoh_crop_unit_name}) of ${hoh_crop_name} did your household sell since the last harvest?")</f>
        <v>What quantity (${hoh_crop_unit_name}) of ${hoh_crop_name} did your household sell since the last harvest?</v>
      </c>
      <c r="H2198" s="172" t="str">
        <f>IFERROR(__xludf.DUMMYFUNCTION("TRIM(REGEXREPLACE(D2198, ""[0-9]+[a-f]?\."", """"))"),"Quelle quantité (${hoh_crop_unit_name}) de ${hoh_crop_name} votre ménage a-t-il vendu depuis la dernière récolte ?")</f>
        <v>Quelle quantité (${hoh_crop_unit_name}) de ${hoh_crop_name} votre ménage a-t-il vendu depuis la dernière récolte ?</v>
      </c>
      <c r="I2198" s="172" t="str">
        <f>IFERROR(__xludf.DUMMYFUNCTION("TRIM(REGEXREPLACE(E2198, ""[0-9]+[a-f]?\."", """"))"),"Nawa ne yawan (${hoh_crop_unit_name}) na ${hoh_crop_name} gidanku ya saida tun daga kaka na ƙarshe?")</f>
        <v>Nawa ne yawan (${hoh_crop_unit_name}) na ${hoh_crop_name} gidanku ya saida tun daga kaka na ƙarshe?</v>
      </c>
      <c r="J2198" s="172" t="str">
        <f t="shared" ref="J2198:L2198" si="562">$F2198 &amp; ". " &amp;G2198</f>
        <v>539. What quantity (${hoh_crop_unit_name}) of ${hoh_crop_name} did your household sell since the last harvest?</v>
      </c>
      <c r="K2198" s="172" t="str">
        <f t="shared" si="562"/>
        <v>539. Quelle quantité (${hoh_crop_unit_name}) de ${hoh_crop_name} votre ménage a-t-il vendu depuis la dernière récolte ?</v>
      </c>
      <c r="L2198" s="172" t="str">
        <f t="shared" si="562"/>
        <v>539. Nawa ne yawan (${hoh_crop_unit_name}) na ${hoh_crop_name} gidanku ya saida tun daga kaka na ƙarshe?</v>
      </c>
    </row>
    <row r="2199">
      <c r="A2199" s="253" t="s">
        <v>246</v>
      </c>
      <c r="B2199" s="254" t="s">
        <v>6636</v>
      </c>
      <c r="C2199" s="254" t="s">
        <v>6637</v>
      </c>
      <c r="D2199" s="254" t="s">
        <v>6638</v>
      </c>
      <c r="E2199" s="254" t="s">
        <v>6639</v>
      </c>
      <c r="F2199" s="182">
        <v>540.0</v>
      </c>
      <c r="G2199" s="172" t="str">
        <f>IFERROR(__xludf.DUMMYFUNCTION("TRIM(REGEXREPLACE(C2199, ""[0-9]+[a-f]?\."", """"))"),"What was the price per ${hoh_crop_unit_name} of ${hoh_crop_name} you sold in CFA?")</f>
        <v>What was the price per ${hoh_crop_unit_name} of ${hoh_crop_name} you sold in CFA?</v>
      </c>
      <c r="H2199" s="172" t="str">
        <f>IFERROR(__xludf.DUMMYFUNCTION("TRIM(REGEXREPLACE(D2199, ""[0-9]+[a-f]?\."", """"))"),"Quel était le prix unitaire (${hoh_crop_unit_name}) de ${hoh_crop_name} que vous avez vendu en CFA ?")</f>
        <v>Quel était le prix unitaire (${hoh_crop_unit_name}) de ${hoh_crop_name} que vous avez vendu en CFA ?</v>
      </c>
      <c r="I2199" s="172" t="str">
        <f>IFERROR(__xludf.DUMMYFUNCTION("TRIM(REGEXREPLACE(E2199, ""[0-9]+[a-f]?\."", """"))"),"Nawa farashin kowane ${hoh_crop_unit_name} na ${hoh_crop_name} da kuka saida a CFA?")</f>
        <v>Nawa farashin kowane ${hoh_crop_unit_name} na ${hoh_crop_name} da kuka saida a CFA?</v>
      </c>
      <c r="J2199" s="172" t="str">
        <f t="shared" ref="J2199:L2199" si="563">$F2199 &amp; ". " &amp;G2199</f>
        <v>540. What was the price per ${hoh_crop_unit_name} of ${hoh_crop_name} you sold in CFA?</v>
      </c>
      <c r="K2199" s="172" t="str">
        <f t="shared" si="563"/>
        <v>540. Quel était le prix unitaire (${hoh_crop_unit_name}) de ${hoh_crop_name} que vous avez vendu en CFA ?</v>
      </c>
      <c r="L2199" s="172" t="str">
        <f t="shared" si="563"/>
        <v>540. Nawa farashin kowane ${hoh_crop_unit_name} na ${hoh_crop_name} da kuka saida a CFA?</v>
      </c>
    </row>
    <row r="2200">
      <c r="A2200" s="317" t="s">
        <v>264</v>
      </c>
      <c r="B2200" s="318" t="s">
        <v>6640</v>
      </c>
      <c r="C2200" s="318" t="s">
        <v>6641</v>
      </c>
      <c r="D2200" s="318" t="s">
        <v>6642</v>
      </c>
      <c r="E2200" s="318" t="s">
        <v>6643</v>
      </c>
      <c r="F2200" s="182">
        <v>541.0</v>
      </c>
      <c r="G2200" s="172" t="str">
        <f>IFERROR(__xludf.DUMMYFUNCTION("TRIM(REGEXREPLACE(C2200, ""[0-9]+[a-f]?\."", """"))"),"How many ${hoh_crop_unit_name}s of ${hoh_crop_name} did your household consume?")</f>
        <v>How many ${hoh_crop_unit_name}s of ${hoh_crop_name} did your household consume?</v>
      </c>
      <c r="H2200" s="172" t="str">
        <f>IFERROR(__xludf.DUMMYFUNCTION("TRIM(REGEXREPLACE(D2200, ""[0-9]+[a-f]?\."", """"))"),"Quelle quantité (${hoh_crop_unit_name}) de ${hoh_crop_name} votre ménage a-t-il consommé ?")</f>
        <v>Quelle quantité (${hoh_crop_unit_name}) de ${hoh_crop_name} votre ménage a-t-il consommé ?</v>
      </c>
      <c r="I2200" s="172" t="str">
        <f>IFERROR(__xludf.DUMMYFUNCTION("TRIM(REGEXREPLACE(E2200, ""[0-9]+[a-f]?\."", """"))"),"Nawa yawan ${hoh_crop_unit_name} na ${hoh_crop_name} gidanku ya cinye?")</f>
        <v>Nawa yawan ${hoh_crop_unit_name} na ${hoh_crop_name} gidanku ya cinye?</v>
      </c>
      <c r="J2200" s="172" t="str">
        <f t="shared" ref="J2200:L2200" si="564">$F2200 &amp; ". " &amp;G2200</f>
        <v>541. How many ${hoh_crop_unit_name}s of ${hoh_crop_name} did your household consume?</v>
      </c>
      <c r="K2200" s="172" t="str">
        <f t="shared" si="564"/>
        <v>541. Quelle quantité (${hoh_crop_unit_name}) de ${hoh_crop_name} votre ménage a-t-il consommé ?</v>
      </c>
      <c r="L2200" s="172" t="str">
        <f t="shared" si="564"/>
        <v>541. Nawa yawan ${hoh_crop_unit_name} na ${hoh_crop_name} gidanku ya cinye?</v>
      </c>
    </row>
    <row r="2201">
      <c r="A2201" s="253" t="s">
        <v>246</v>
      </c>
      <c r="B2201" s="254" t="s">
        <v>6644</v>
      </c>
      <c r="C2201" s="254" t="s">
        <v>6645</v>
      </c>
      <c r="D2201" s="319"/>
      <c r="E2201" s="319"/>
      <c r="F2201" s="182">
        <v>542.0</v>
      </c>
      <c r="G2201" s="172" t="str">
        <f>IFERROR(__xludf.DUMMYFUNCTION("TRIM(REGEXREPLACE(C2201, ""[0-9]+[a-f]?\."", """"))"),"If you were to sell the ${hoh_crop_name} that you consumed, what would be the price per ${hoh_crop_unit_name} in CFA?")</f>
        <v>If you were to sell the ${hoh_crop_name} that you consumed, what would be the price per ${hoh_crop_unit_name} in CFA?</v>
      </c>
      <c r="H2201" s="172" t="str">
        <f>IFERROR(__xludf.DUMMYFUNCTION("TRIM(REGEXREPLACE(D2201, ""[0-9]+[a-f]?\."", """"))"),"")</f>
        <v/>
      </c>
      <c r="I2201" s="172" t="str">
        <f>IFERROR(__xludf.DUMMYFUNCTION("TRIM(REGEXREPLACE(E2201, ""[0-9]+[a-f]?\."", """"))"),"")</f>
        <v/>
      </c>
      <c r="J2201" s="172" t="str">
        <f t="shared" ref="J2201:L2201" si="565">$F2201 &amp; ". " &amp;G2201</f>
        <v>542. If you were to sell the ${hoh_crop_name} that you consumed, what would be the price per ${hoh_crop_unit_name} in CFA?</v>
      </c>
      <c r="K2201" s="172" t="str">
        <f t="shared" si="565"/>
        <v>542. </v>
      </c>
      <c r="L2201" s="172" t="str">
        <f t="shared" si="565"/>
        <v>542. </v>
      </c>
    </row>
    <row r="2202" hidden="1">
      <c r="A2202" s="188" t="s">
        <v>68</v>
      </c>
      <c r="B2202" s="189" t="s">
        <v>6646</v>
      </c>
      <c r="C2202" s="190"/>
      <c r="D2202" s="190"/>
      <c r="E2202" s="190"/>
    </row>
    <row r="2203" hidden="1">
      <c r="A2203" s="310"/>
      <c r="B2203" s="227"/>
      <c r="C2203" s="174"/>
      <c r="D2203" s="174"/>
      <c r="E2203" s="174"/>
    </row>
    <row r="2204">
      <c r="A2204" s="207" t="s">
        <v>41</v>
      </c>
      <c r="B2204" s="208" t="s">
        <v>6647</v>
      </c>
      <c r="C2204" s="208" t="s">
        <v>4637</v>
      </c>
      <c r="D2204" s="208" t="s">
        <v>4638</v>
      </c>
      <c r="E2204" s="208" t="s">
        <v>4639</v>
      </c>
      <c r="F2204" s="182">
        <v>543.0</v>
      </c>
      <c r="G2204" s="172" t="str">
        <f>IFERROR(__xludf.DUMMYFUNCTION("TRIM(REGEXREPLACE(C2204, ""[0-9]+[a-f]?\."", """"))"),"The amount you have left (${hoh_qty_left}) is negative. Please return and revise your responses.")</f>
        <v>The amount you have left (${hoh_qty_left}) is negative. Please return and revise your responses.</v>
      </c>
      <c r="H2204" s="172" t="str">
        <f>IFERROR(__xludf.DUMMYFUNCTION("TRIM(REGEXREPLACE(D2204, ""[0-9]+[a-f]?\."", """"))"),"Le montant qu'il vous reste (${hoh_qty_left}) est négatif. Veuillez revenir et réviser vos réponses.")</f>
        <v>Le montant qu'il vous reste (${hoh_qty_left}) est négatif. Veuillez revenir et réviser vos réponses.</v>
      </c>
      <c r="I2204" s="172" t="str">
        <f>IFERROR(__xludf.DUMMYFUNCTION("TRIM(REGEXREPLACE(E2204, ""[0-9]+[a-f]?\."", """"))"),"jimillar kuɗin da suka saura (${hoh_qty_left}) maras kyau ne. Da fatan za a dawo a sake duba amsoshin.")</f>
        <v>jimillar kuɗin da suka saura (${hoh_qty_left}) maras kyau ne. Da fatan za a dawo a sake duba amsoshin.</v>
      </c>
      <c r="J2204" s="172" t="str">
        <f t="shared" ref="J2204:L2204" si="566">$F2204 &amp; ". " &amp;G2204</f>
        <v>543. The amount you have left (${hoh_qty_left}) is negative. Please return and revise your responses.</v>
      </c>
      <c r="K2204" s="172" t="str">
        <f t="shared" si="566"/>
        <v>543. Le montant qu'il vous reste (${hoh_qty_left}) est négatif. Veuillez revenir et réviser vos réponses.</v>
      </c>
      <c r="L2204" s="172" t="str">
        <f t="shared" si="566"/>
        <v>543. jimillar kuɗin da suka saura (${hoh_qty_left}) maras kyau ne. Da fatan za a dawo a sake duba amsoshin.</v>
      </c>
    </row>
    <row r="2205">
      <c r="A2205" s="215" t="s">
        <v>3423</v>
      </c>
      <c r="B2205" s="216" t="s">
        <v>6648</v>
      </c>
      <c r="C2205" s="216" t="s">
        <v>6649</v>
      </c>
      <c r="D2205" s="216" t="s">
        <v>6650</v>
      </c>
      <c r="E2205" s="216" t="s">
        <v>6651</v>
      </c>
      <c r="F2205" s="182">
        <v>544.0</v>
      </c>
      <c r="G2205" s="172" t="str">
        <f>IFERROR(__xludf.DUMMYFUNCTION("TRIM(REGEXREPLACE(C2205, ""[0-9]+[a-f]?\."", """"))"),"Based on your responses, you had ${hoh_qty_left} ${hoh_crop_unit_name} left over. Does this sound correct?")</f>
        <v>Based on your responses, you had ${hoh_qty_left} ${hoh_crop_unit_name} left over. Does this sound correct?</v>
      </c>
      <c r="H2205" s="172" t="str">
        <f>IFERROR(__xludf.DUMMYFUNCTION("TRIM(REGEXREPLACE(D2205, ""[0-9]+[a-f]?\."", """"))"),"D'après vos réponses, il vous restait ${hoh_qty_left} ${hoh_crop_unit_name}. Est-ce que cela semble correct ?")</f>
        <v>D'après vos réponses, il vous restait ${hoh_qty_left} ${hoh_crop_unit_name}. Est-ce que cela semble correct ?</v>
      </c>
      <c r="I2205" s="172" t="str">
        <f>IFERROR(__xludf.DUMMYFUNCTION("TRIM(REGEXREPLACE(E2205, ""[0-9]+[a-f]?\."", """"))"),"Dangane da amsoshinku, kuna da sauran ${hoh_qty_left} ${hoh_crop_unit_name}. Ko wannan yayi daidai?")</f>
        <v>Dangane da amsoshinku, kuna da sauran ${hoh_qty_left} ${hoh_crop_unit_name}. Ko wannan yayi daidai?</v>
      </c>
      <c r="J2205" s="172" t="str">
        <f t="shared" ref="J2205:L2205" si="567">$F2205 &amp; ". " &amp;G2205</f>
        <v>544. Based on your responses, you had ${hoh_qty_left} ${hoh_crop_unit_name} left over. Does this sound correct?</v>
      </c>
      <c r="K2205" s="172" t="str">
        <f t="shared" si="567"/>
        <v>544. D'après vos réponses, il vous restait ${hoh_qty_left} ${hoh_crop_unit_name}. Est-ce que cela semble correct ?</v>
      </c>
      <c r="L2205" s="172" t="str">
        <f t="shared" si="567"/>
        <v>544. Dangane da amsoshinku, kuna da sauran ${hoh_qty_left} ${hoh_crop_unit_name}. Ko wannan yayi daidai?</v>
      </c>
    </row>
    <row r="2206" hidden="1">
      <c r="A2206" s="188" t="s">
        <v>68</v>
      </c>
      <c r="B2206" s="189" t="s">
        <v>6652</v>
      </c>
      <c r="C2206" s="190"/>
      <c r="D2206" s="190"/>
      <c r="E2206" s="190"/>
    </row>
    <row r="2207" hidden="1">
      <c r="A2207" s="255" t="s">
        <v>1064</v>
      </c>
      <c r="B2207" s="261" t="s">
        <v>6611</v>
      </c>
      <c r="C2207" s="261" t="s">
        <v>6653</v>
      </c>
      <c r="D2207" s="261" t="s">
        <v>6654</v>
      </c>
      <c r="E2207" s="261" t="s">
        <v>6655</v>
      </c>
    </row>
    <row r="2208" hidden="1">
      <c r="A2208" s="172"/>
      <c r="B2208" s="174"/>
      <c r="C2208" s="174"/>
      <c r="D2208" s="174"/>
      <c r="E2208" s="174"/>
    </row>
    <row r="2209" hidden="1">
      <c r="A2209" s="211" t="s">
        <v>107</v>
      </c>
      <c r="B2209" s="212" t="s">
        <v>6656</v>
      </c>
      <c r="C2209" s="212" t="s">
        <v>6657</v>
      </c>
      <c r="D2209" s="212" t="s">
        <v>6658</v>
      </c>
      <c r="E2209" s="212" t="s">
        <v>6659</v>
      </c>
    </row>
    <row r="2210">
      <c r="A2210" s="207" t="s">
        <v>41</v>
      </c>
      <c r="B2210" s="208" t="s">
        <v>6660</v>
      </c>
      <c r="C2210" s="208" t="s">
        <v>6661</v>
      </c>
      <c r="D2210" s="208" t="s">
        <v>6662</v>
      </c>
      <c r="E2210" s="208" t="s">
        <v>6663</v>
      </c>
      <c r="F2210" s="182">
        <v>545.0</v>
      </c>
      <c r="G2210" s="172" t="str">
        <f>IFERROR(__xludf.DUMMYFUNCTION("TRIM(REGEXREPLACE(C2210, ""[0-9]+[a-f]?\."", """"))"),"How much did your household spend on the following types of expenses during the last agricultural season in CFA?")</f>
        <v>How much did your household spend on the following types of expenses during the last agricultural season in CFA?</v>
      </c>
      <c r="H2210" s="172" t="str">
        <f>IFERROR(__xludf.DUMMYFUNCTION("TRIM(REGEXREPLACE(D2210, ""[0-9]+[a-f]?\."", """"))"),"Combien votre ménage a-t-il dépensé pour les types de dépenses suivantes au cours de la dernière saison agricole (en CFA) ?")</f>
        <v>Combien votre ménage a-t-il dépensé pour les types de dépenses suivantes au cours de la dernière saison agricole (en CFA) ?</v>
      </c>
      <c r="I2210" s="172" t="str">
        <f>IFERROR(__xludf.DUMMYFUNCTION("TRIM(REGEXREPLACE(E2210, ""[0-9]+[a-f]?\."", """"))"),"Nawa ne gidanku ya kashe akan waɗannan abubuwan a lokacin noman da ya wuce (a sefa)?")</f>
        <v>Nawa ne gidanku ya kashe akan waɗannan abubuwan a lokacin noman da ya wuce (a sefa)?</v>
      </c>
      <c r="J2210" s="172" t="str">
        <f t="shared" ref="J2210:L2210" si="568">$F2210 &amp; ". " &amp;G2210</f>
        <v>545. How much did your household spend on the following types of expenses during the last agricultural season in CFA?</v>
      </c>
      <c r="K2210" s="172" t="str">
        <f t="shared" si="568"/>
        <v>545. Combien votre ménage a-t-il dépensé pour les types de dépenses suivantes au cours de la dernière saison agricole (en CFA) ?</v>
      </c>
      <c r="L2210" s="172" t="str">
        <f t="shared" si="568"/>
        <v>545. Nawa ne gidanku ya kashe akan waɗannan abubuwan a lokacin noman da ya wuce (a sefa)?</v>
      </c>
    </row>
    <row r="2211">
      <c r="A2211" s="253" t="s">
        <v>246</v>
      </c>
      <c r="B2211" s="254" t="s">
        <v>6664</v>
      </c>
      <c r="C2211" s="254" t="s">
        <v>6665</v>
      </c>
      <c r="D2211" s="254" t="s">
        <v>6666</v>
      </c>
      <c r="E2211" s="254" t="s">
        <v>6667</v>
      </c>
      <c r="F2211" s="182">
        <v>546.0</v>
      </c>
      <c r="G2211" s="172" t="str">
        <f>IFERROR(__xludf.DUMMYFUNCTION("TRIM(REGEXREPLACE(C2211, ""[0-9]+[a-f]?\."", """"))"),"Seeds")</f>
        <v>Seeds</v>
      </c>
      <c r="H2211" s="172" t="str">
        <f>IFERROR(__xludf.DUMMYFUNCTION("TRIM(REGEXREPLACE(D2211, ""[0-9]+[a-f]?\."", """"))"),"Semences")</f>
        <v>Semences</v>
      </c>
      <c r="I2211" s="172" t="str">
        <f>IFERROR(__xludf.DUMMYFUNCTION("TRIM(REGEXREPLACE(E2211, ""[0-9]+[a-f]?\."", """"))"),"Iri")</f>
        <v>Iri</v>
      </c>
      <c r="J2211" s="172" t="str">
        <f t="shared" ref="J2211:L2211" si="569">$F2211 &amp; ". " &amp;G2211</f>
        <v>546. Seeds</v>
      </c>
      <c r="K2211" s="172" t="str">
        <f t="shared" si="569"/>
        <v>546. Semences</v>
      </c>
      <c r="L2211" s="172" t="str">
        <f t="shared" si="569"/>
        <v>546. Iri</v>
      </c>
    </row>
    <row r="2212">
      <c r="A2212" s="253" t="s">
        <v>246</v>
      </c>
      <c r="B2212" s="254" t="s">
        <v>6668</v>
      </c>
      <c r="C2212" s="254" t="s">
        <v>6669</v>
      </c>
      <c r="D2212" s="254" t="s">
        <v>6670</v>
      </c>
      <c r="E2212" s="254" t="s">
        <v>6671</v>
      </c>
      <c r="F2212" s="182">
        <v>547.0</v>
      </c>
      <c r="G2212" s="172" t="str">
        <f>IFERROR(__xludf.DUMMYFUNCTION("TRIM(REGEXREPLACE(C2212, ""[0-9]+[a-f]?\."", """"))"),"Fertilizer")</f>
        <v>Fertilizer</v>
      </c>
      <c r="H2212" s="172" t="str">
        <f>IFERROR(__xludf.DUMMYFUNCTION("TRIM(REGEXREPLACE(D2212, ""[0-9]+[a-f]?\."", """"))"),"Engrais")</f>
        <v>Engrais</v>
      </c>
      <c r="I2212" s="172" t="str">
        <f>IFERROR(__xludf.DUMMYFUNCTION("TRIM(REGEXREPLACE(E2212, ""[0-9]+[a-f]?\."", """"))"),"Takin zamani")</f>
        <v>Takin zamani</v>
      </c>
      <c r="J2212" s="172" t="str">
        <f t="shared" ref="J2212:L2212" si="570">$F2212 &amp; ". " &amp;G2212</f>
        <v>547. Fertilizer</v>
      </c>
      <c r="K2212" s="172" t="str">
        <f t="shared" si="570"/>
        <v>547. Engrais</v>
      </c>
      <c r="L2212" s="172" t="str">
        <f t="shared" si="570"/>
        <v>547. Takin zamani</v>
      </c>
    </row>
    <row r="2213">
      <c r="A2213" s="253" t="s">
        <v>246</v>
      </c>
      <c r="B2213" s="254" t="s">
        <v>6672</v>
      </c>
      <c r="C2213" s="254" t="s">
        <v>6673</v>
      </c>
      <c r="D2213" s="254" t="s">
        <v>6674</v>
      </c>
      <c r="E2213" s="254" t="s">
        <v>6675</v>
      </c>
      <c r="F2213" s="182">
        <v>548.0</v>
      </c>
      <c r="G2213" s="172" t="str">
        <f>IFERROR(__xludf.DUMMYFUNCTION("TRIM(REGEXREPLACE(C2213, ""[0-9]+[a-f]?\."", """"))"),"Renting machines and tools (i.e. for plowing or spraying)")</f>
        <v>Renting machines and tools (i.e. for plowing or spraying)</v>
      </c>
      <c r="H2213" s="172" t="str">
        <f>IFERROR(__xludf.DUMMYFUNCTION("TRIM(REGEXREPLACE(D2213, ""[0-9]+[a-f]?\."", """"))"),"Location de machines et d'outils (c'est-à-dire pour labourer ou pulvériser)")</f>
        <v>Location de machines et d'outils (c'est-à-dire pour labourer ou pulvériser)</v>
      </c>
      <c r="I2213" s="172" t="str">
        <f>IFERROR(__xludf.DUMMYFUNCTION("TRIM(REGEXREPLACE(E2213, ""[0-9]+[a-f]?\."", """"))"),"Hayar injina da kayan aiki ( don noma ko feshi)")</f>
        <v>Hayar injina da kayan aiki ( don noma ko feshi)</v>
      </c>
      <c r="J2213" s="172" t="str">
        <f t="shared" ref="J2213:L2213" si="571">$F2213 &amp; ". " &amp;G2213</f>
        <v>548. Renting machines and tools (i.e. for plowing or spraying)</v>
      </c>
      <c r="K2213" s="172" t="str">
        <f t="shared" si="571"/>
        <v>548. Location de machines et d'outils (c'est-à-dire pour labourer ou pulvériser)</v>
      </c>
      <c r="L2213" s="172" t="str">
        <f t="shared" si="571"/>
        <v>548. Hayar injina da kayan aiki ( don noma ko feshi)</v>
      </c>
    </row>
    <row r="2214">
      <c r="A2214" s="253" t="s">
        <v>246</v>
      </c>
      <c r="B2214" s="254" t="s">
        <v>6676</v>
      </c>
      <c r="C2214" s="254" t="s">
        <v>6677</v>
      </c>
      <c r="D2214" s="254" t="s">
        <v>6678</v>
      </c>
      <c r="E2214" s="254" t="s">
        <v>6679</v>
      </c>
      <c r="F2214" s="182">
        <v>549.0</v>
      </c>
      <c r="G2214" s="172" t="str">
        <f>IFERROR(__xludf.DUMMYFUNCTION("TRIM(REGEXREPLACE(C2214, ""[0-9]+[a-f]?\."", """"))"),"Water")</f>
        <v>Water</v>
      </c>
      <c r="H2214" s="172" t="str">
        <f>IFERROR(__xludf.DUMMYFUNCTION("TRIM(REGEXREPLACE(D2214, ""[0-9]+[a-f]?\."", """"))"),"Eau")</f>
        <v>Eau</v>
      </c>
      <c r="I2214" s="172" t="str">
        <f>IFERROR(__xludf.DUMMYFUNCTION("TRIM(REGEXREPLACE(E2214, ""[0-9]+[a-f]?\."", """"))"),"Ruwa")</f>
        <v>Ruwa</v>
      </c>
      <c r="J2214" s="172" t="str">
        <f t="shared" ref="J2214:L2214" si="572">$F2214 &amp; ". " &amp;G2214</f>
        <v>549. Water</v>
      </c>
      <c r="K2214" s="172" t="str">
        <f t="shared" si="572"/>
        <v>549. Eau</v>
      </c>
      <c r="L2214" s="172" t="str">
        <f t="shared" si="572"/>
        <v>549. Ruwa</v>
      </c>
    </row>
    <row r="2215" hidden="1">
      <c r="A2215" s="211" t="s">
        <v>238</v>
      </c>
      <c r="B2215" s="224" t="s">
        <v>6656</v>
      </c>
      <c r="C2215" s="224" t="s">
        <v>6657</v>
      </c>
      <c r="D2215" s="224" t="s">
        <v>6680</v>
      </c>
      <c r="E2215" s="224" t="s">
        <v>6681</v>
      </c>
    </row>
    <row r="2216" hidden="1">
      <c r="A2216" s="188" t="s">
        <v>118</v>
      </c>
      <c r="B2216" s="189" t="s">
        <v>6682</v>
      </c>
      <c r="C2216" s="190"/>
      <c r="D2216" s="190"/>
      <c r="E2216" s="190"/>
    </row>
    <row r="2217" hidden="1">
      <c r="A2217" s="188" t="s">
        <v>68</v>
      </c>
      <c r="B2217" s="189" t="s">
        <v>6683</v>
      </c>
      <c r="C2217" s="190"/>
      <c r="D2217" s="190"/>
      <c r="E2217" s="190"/>
    </row>
    <row r="2218" hidden="1">
      <c r="A2218" s="172"/>
      <c r="B2218" s="174"/>
      <c r="C2218" s="174"/>
      <c r="D2218" s="174"/>
      <c r="E2218" s="174"/>
    </row>
    <row r="2219" hidden="1">
      <c r="A2219" s="188" t="s">
        <v>118</v>
      </c>
      <c r="B2219" s="189" t="s">
        <v>6684</v>
      </c>
      <c r="C2219" s="190"/>
      <c r="D2219" s="190"/>
      <c r="E2219" s="190"/>
    </row>
    <row r="2220">
      <c r="A2220" s="207" t="s">
        <v>41</v>
      </c>
      <c r="B2220" s="208" t="s">
        <v>6685</v>
      </c>
      <c r="C2220" s="208" t="s">
        <v>6686</v>
      </c>
      <c r="D2220" s="208" t="s">
        <v>6687</v>
      </c>
      <c r="E2220" s="208" t="s">
        <v>6688</v>
      </c>
      <c r="F2220" s="182">
        <v>550.0</v>
      </c>
      <c r="G2220" s="172" t="str">
        <f>IFERROR(__xludf.DUMMYFUNCTION("TRIM(REGEXREPLACE(C2220, ""[0-9]+[a-f]?\."", """"))"),"We want to understand how many days people worked in your fields and who did this work.")</f>
        <v>We want to understand how many days people worked in your fields and who did this work.</v>
      </c>
      <c r="H2220" s="172" t="str">
        <f>IFERROR(__xludf.DUMMYFUNCTION("TRIM(REGEXREPLACE(D2220, ""[0-9]+[a-f]?\."", """"))"),"Nous voulons comprendre combien de jours des gens ont travaillé dans vos champs et qui a fait ce travail.")</f>
        <v>Nous voulons comprendre combien de jours des gens ont travaillé dans vos champs et qui a fait ce travail.</v>
      </c>
      <c r="I2220" s="172" t="str">
        <f>IFERROR(__xludf.DUMMYFUNCTION("TRIM(REGEXREPLACE(E2220, ""[0-9]+[a-f]?\."", """"))"),"Muna son mu fahimci kwanaki nawa mutane suka yi aiki a gonakinku da kuma wanda ya yi wannan aikin.")</f>
        <v>Muna son mu fahimci kwanaki nawa mutane suka yi aiki a gonakinku da kuma wanda ya yi wannan aikin.</v>
      </c>
      <c r="J2220" s="172" t="str">
        <f t="shared" ref="J2220:L2220" si="573">$F2220 &amp; ". " &amp;G2220</f>
        <v>550. We want to understand how many days people worked in your fields and who did this work.</v>
      </c>
      <c r="K2220" s="172" t="str">
        <f t="shared" si="573"/>
        <v>550. Nous voulons comprendre combien de jours des gens ont travaillé dans vos champs et qui a fait ce travail.</v>
      </c>
      <c r="L2220" s="172" t="str">
        <f t="shared" si="573"/>
        <v>550. Muna son mu fahimci kwanaki nawa mutane suka yi aiki a gonakinku da kuma wanda ya yi wannan aikin.</v>
      </c>
    </row>
    <row r="2221">
      <c r="A2221" s="253" t="s">
        <v>246</v>
      </c>
      <c r="B2221" s="254" t="s">
        <v>6689</v>
      </c>
      <c r="C2221" s="254" t="s">
        <v>6690</v>
      </c>
      <c r="D2221" s="254" t="s">
        <v>6691</v>
      </c>
      <c r="E2221" s="254" t="s">
        <v>6692</v>
      </c>
      <c r="F2221" s="182">
        <v>551.0</v>
      </c>
      <c r="G2221" s="172" t="str">
        <f>IFERROR(__xludf.DUMMYFUNCTION("TRIM(REGEXREPLACE(C2221, ""[0-9]+[a-f]?\."", """"))"),"Think about the last agricultural season. How many weeks were people working in your fields? This includes work by people who are members of your household and those who are not members of your household.")</f>
        <v>Think about the last agricultural season. How many weeks were people working in your fields? This includes work by people who are members of your household and those who are not members of your household.</v>
      </c>
      <c r="H2221" s="172" t="str">
        <f>IFERROR(__xludf.DUMMYFUNCTION("TRIM(REGEXREPLACE(D2221, ""[0-9]+[a-f]?\."", """"))"),"Pensez à la dernière saison agricole. Combien de semaines au total les gens ont-ils travaillé dans vos champs ? Cela inclut le travail des personnes qui sont membres de votre ménage et celles qui ne le sont pas.")</f>
        <v>Pensez à la dernière saison agricole. Combien de semaines au total les gens ont-ils travaillé dans vos champs ? Cela inclut le travail des personnes qui sont membres de votre ménage et celles qui ne le sont pas.</v>
      </c>
      <c r="I2221" s="172" t="str">
        <f>IFERROR(__xludf.DUMMYFUNCTION("TRIM(REGEXREPLACE(E2221, ""[0-9]+[a-f]?\."", """"))"),"Ku tuna da lokacin noma na ƙarshe. Makonni nawa mutane ke aiki a filayenku? Wannan ya haɗa da aikin mutanen da ke cikin gidanku da waɗanda ba ƴan gidanku ba ne.")</f>
        <v>Ku tuna da lokacin noma na ƙarshe. Makonni nawa mutane ke aiki a filayenku? Wannan ya haɗa da aikin mutanen da ke cikin gidanku da waɗanda ba ƴan gidanku ba ne.</v>
      </c>
      <c r="J2221" s="172" t="str">
        <f t="shared" ref="J2221:L2221" si="574">$F2221 &amp; ". " &amp;G2221</f>
        <v>551. Think about the last agricultural season. How many weeks were people working in your fields? This includes work by people who are members of your household and those who are not members of your household.</v>
      </c>
      <c r="K2221" s="172" t="str">
        <f t="shared" si="574"/>
        <v>551. Pensez à la dernière saison agricole. Combien de semaines au total les gens ont-ils travaillé dans vos champs ? Cela inclut le travail des personnes qui sont membres de votre ménage et celles qui ne le sont pas.</v>
      </c>
      <c r="L2221" s="172" t="str">
        <f t="shared" si="574"/>
        <v>551. Ku tuna da lokacin noma na ƙarshe. Makonni nawa mutane ke aiki a filayenku? Wannan ya haɗa da aikin mutanen da ke cikin gidanku da waɗanda ba ƴan gidanku ba ne.</v>
      </c>
    </row>
    <row r="2222">
      <c r="A2222" s="253" t="s">
        <v>246</v>
      </c>
      <c r="B2222" s="254" t="s">
        <v>6693</v>
      </c>
      <c r="C2222" s="254" t="s">
        <v>6694</v>
      </c>
      <c r="D2222" s="254" t="s">
        <v>6695</v>
      </c>
      <c r="E2222" s="254" t="s">
        <v>6696</v>
      </c>
      <c r="F2222" s="182">
        <v>552.0</v>
      </c>
      <c r="G2222" s="172" t="str">
        <f>IFERROR(__xludf.DUMMYFUNCTION("TRIM(REGEXREPLACE(C2222, ""[0-9]+[a-f]?\."", """"))"),"Think about a typical week during the last agricultural season. How many days were people working in your fields? This includes work by people who are members of your household and those who are not members of your household.")</f>
        <v>Think about a typical week during the last agricultural season. How many days were people working in your fields? This includes work by people who are members of your household and those who are not members of your household.</v>
      </c>
      <c r="H2222" s="172" t="str">
        <f>IFERROR(__xludf.DUMMYFUNCTION("TRIM(REGEXREPLACE(D2222, ""[0-9]+[a-f]?\."", """"))"),"Pensez à une semaine typique au cours de la dernière saison agricole. Combien de jours les gens ont-ils travaillé dans vos champs par semaine ? Cela inclut le travail des personnes qui sont membres de votre ménage et celles qui ne le sont pas.")</f>
        <v>Pensez à une semaine typique au cours de la dernière saison agricole. Combien de jours les gens ont-ils travaillé dans vos champs par semaine ? Cela inclut le travail des personnes qui sont membres de votre ménage et celles qui ne le sont pas.</v>
      </c>
      <c r="I2222" s="172" t="str">
        <f>IFERROR(__xludf.DUMMYFUNCTION("TRIM(REGEXREPLACE(E2222, ""[0-9]+[a-f]?\."", """"))"),"Ku tuna da mako guda na lokacin damana ta ƙarshe. Kwanaki nawa mutane suke aiki a gonkinku a cikin kowane sati? Wannan ya haɗa da aikin mutanen da ke cikin gidan ku da waɗanda ba 'yan gidan ku ba ne.")</f>
        <v>Ku tuna da mako guda na lokacin damana ta ƙarshe. Kwanaki nawa mutane suke aiki a gonkinku a cikin kowane sati? Wannan ya haɗa da aikin mutanen da ke cikin gidan ku da waɗanda ba 'yan gidan ku ba ne.</v>
      </c>
      <c r="J2222" s="172" t="str">
        <f t="shared" ref="J2222:L2222" si="575">$F2222 &amp; ". " &amp;G2222</f>
        <v>552. Think about a typical week during the last agricultural season. How many days were people working in your fields? This includes work by people who are members of your household and those who are not members of your household.</v>
      </c>
      <c r="K2222" s="172" t="str">
        <f t="shared" si="575"/>
        <v>552. Pensez à une semaine typique au cours de la dernière saison agricole. Combien de jours les gens ont-ils travaillé dans vos champs par semaine ? Cela inclut le travail des personnes qui sont membres de votre ménage et celles qui ne le sont pas.</v>
      </c>
      <c r="L2222" s="172" t="str">
        <f t="shared" si="575"/>
        <v>552. Ku tuna da mako guda na lokacin damana ta ƙarshe. Kwanaki nawa mutane suke aiki a gonkinku a cikin kowane sati? Wannan ya haɗa da aikin mutanen da ke cikin gidan ku da waɗanda ba 'yan gidan ku ba ne.</v>
      </c>
    </row>
    <row r="2223" hidden="1">
      <c r="A2223" s="172"/>
      <c r="B2223" s="174"/>
      <c r="C2223" s="174"/>
      <c r="D2223" s="174"/>
      <c r="E2223" s="174"/>
    </row>
    <row r="2224" hidden="1">
      <c r="A2224" s="255" t="s">
        <v>1042</v>
      </c>
      <c r="B2224" s="256" t="s">
        <v>6697</v>
      </c>
      <c r="C2224" s="256" t="s">
        <v>6698</v>
      </c>
      <c r="D2224" s="256" t="s">
        <v>6699</v>
      </c>
      <c r="E2224" s="256" t="s">
        <v>6700</v>
      </c>
    </row>
    <row r="2225" hidden="1">
      <c r="A2225" s="188" t="s">
        <v>68</v>
      </c>
      <c r="B2225" s="189" t="s">
        <v>6701</v>
      </c>
      <c r="C2225" s="190"/>
      <c r="D2225" s="190"/>
      <c r="E2225" s="190"/>
    </row>
    <row r="2226" hidden="1">
      <c r="A2226" s="188" t="s">
        <v>68</v>
      </c>
      <c r="B2226" s="189" t="s">
        <v>6702</v>
      </c>
      <c r="C2226" s="217" t="s">
        <v>6703</v>
      </c>
      <c r="D2226" s="217" t="s">
        <v>6704</v>
      </c>
      <c r="E2226" s="217" t="s">
        <v>6705</v>
      </c>
    </row>
    <row r="2227">
      <c r="A2227" s="253" t="s">
        <v>246</v>
      </c>
      <c r="B2227" s="254" t="s">
        <v>6706</v>
      </c>
      <c r="C2227" s="254" t="s">
        <v>6707</v>
      </c>
      <c r="D2227" s="254" t="s">
        <v>6708</v>
      </c>
      <c r="E2227" s="254" t="s">
        <v>6709</v>
      </c>
      <c r="F2227" s="182">
        <v>553.0</v>
      </c>
      <c r="G2227" s="172" t="str">
        <f>IFERROR(__xludf.DUMMYFUNCTION("TRIM(REGEXREPLACE(C2227, ""[0-9]+[a-f]?\."", """"))"),"Can you estimate how many days during the last agricultural season did ${hoh_labor_name} work in field?")</f>
        <v>Can you estimate how many days during the last agricultural season did ${hoh_labor_name} work in field?</v>
      </c>
      <c r="H2227" s="172" t="str">
        <f>IFERROR(__xludf.DUMMYFUNCTION("TRIM(REGEXREPLACE(D2227, ""[0-9]+[a-f]?\."", """"))"),"Pouvez-vous estimer combien de jours au cours de la dernière saison agricole ${hoh_labor_name} a-t-il travaillé dans les champs ?")</f>
        <v>Pouvez-vous estimer combien de jours au cours de la dernière saison agricole ${hoh_labor_name} a-t-il travaillé dans les champs ?</v>
      </c>
      <c r="I2227" s="172" t="str">
        <f>IFERROR(__xludf.DUMMYFUNCTION("TRIM(REGEXREPLACE(E2227, ""[0-9]+[a-f]?\."", """"))"),"Za ku iya ƙiyasin kwanaki nawa a lokacin noman da ya gabata ${hoh_labor_name} ya yi aikin a noma?")</f>
        <v>Za ku iya ƙiyasin kwanaki nawa a lokacin noman da ya gabata ${hoh_labor_name} ya yi aikin a noma?</v>
      </c>
      <c r="J2227" s="172" t="str">
        <f t="shared" ref="J2227:L2227" si="576">$F2227 &amp; ". " &amp;G2227</f>
        <v>553. Can you estimate how many days during the last agricultural season did ${hoh_labor_name} work in field?</v>
      </c>
      <c r="K2227" s="172" t="str">
        <f t="shared" si="576"/>
        <v>553. Pouvez-vous estimer combien de jours au cours de la dernière saison agricole ${hoh_labor_name} a-t-il travaillé dans les champs ?</v>
      </c>
      <c r="L2227" s="172" t="str">
        <f t="shared" si="576"/>
        <v>553. Za ku iya ƙiyasin kwanaki nawa a lokacin noman da ya gabata ${hoh_labor_name} ya yi aikin a noma?</v>
      </c>
    </row>
    <row r="2228" hidden="1">
      <c r="A2228" s="255" t="s">
        <v>1064</v>
      </c>
      <c r="B2228" s="261" t="s">
        <v>6697</v>
      </c>
      <c r="C2228" s="261" t="s">
        <v>6698</v>
      </c>
      <c r="D2228" s="261" t="s">
        <v>6699</v>
      </c>
      <c r="E2228" s="261" t="s">
        <v>6700</v>
      </c>
    </row>
    <row r="2229">
      <c r="A2229" s="207" t="s">
        <v>41</v>
      </c>
      <c r="B2229" s="208" t="s">
        <v>6710</v>
      </c>
      <c r="C2229" s="208" t="s">
        <v>6711</v>
      </c>
      <c r="D2229" s="208" t="s">
        <v>6712</v>
      </c>
      <c r="E2229" s="208" t="s">
        <v>6713</v>
      </c>
      <c r="F2229" s="182">
        <v>554.0</v>
      </c>
      <c r="G2229" s="172" t="str">
        <f>IFERROR(__xludf.DUMMYFUNCTION("TRIM(REGEXREPLACE(C2229, ""[0-9]+[a-f]?\."", """"))"),"The following questions about agricultural labor are for the last agricultural season (last 180 days).")</f>
        <v>The following questions about agricultural labor are for the last agricultural season (last 180 days).</v>
      </c>
      <c r="H2229" s="172" t="str">
        <f>IFERROR(__xludf.DUMMYFUNCTION("TRIM(REGEXREPLACE(D2229, ""[0-9]+[a-f]?\."", """"))"),"Les questions suivantes sur le travail agricole concernent la dernière saison agricole (180 derniers jours).")</f>
        <v>Les questions suivantes sur le travail agricole concernent la dernière saison agricole (180 derniers jours).</v>
      </c>
      <c r="I2229" s="172" t="str">
        <f>IFERROR(__xludf.DUMMYFUNCTION("TRIM(REGEXREPLACE(E2229, ""[0-9]+[a-f]?\."", """"))"),"Tambayoyi masu zuwa game da aikin noma na ƙarshe ne (kwanaki 180 na ƙarshe).")</f>
        <v>Tambayoyi masu zuwa game da aikin noma na ƙarshe ne (kwanaki 180 na ƙarshe).</v>
      </c>
      <c r="J2229" s="172" t="str">
        <f t="shared" ref="J2229:L2229" si="577">$F2229 &amp; ". " &amp;G2229</f>
        <v>554. The following questions about agricultural labor are for the last agricultural season (last 180 days).</v>
      </c>
      <c r="K2229" s="172" t="str">
        <f t="shared" si="577"/>
        <v>554. Les questions suivantes sur le travail agricole concernent la dernière saison agricole (180 derniers jours).</v>
      </c>
      <c r="L2229" s="172" t="str">
        <f t="shared" si="577"/>
        <v>554. Tambayoyi masu zuwa game da aikin noma na ƙarshe ne (kwanaki 180 na ƙarshe).</v>
      </c>
    </row>
    <row r="2230">
      <c r="A2230" s="215" t="s">
        <v>353</v>
      </c>
      <c r="B2230" s="216" t="s">
        <v>6714</v>
      </c>
      <c r="C2230" s="216" t="s">
        <v>6715</v>
      </c>
      <c r="D2230" s="216" t="s">
        <v>6716</v>
      </c>
      <c r="E2230" s="216" t="s">
        <v>6717</v>
      </c>
      <c r="F2230" s="182">
        <v>555.0</v>
      </c>
      <c r="G2230" s="172" t="str">
        <f>IFERROR(__xludf.DUMMYFUNCTION("TRIM(REGEXREPLACE(C2230, ""[0-9]+[a-f]?\."", """"))"),"Did you hire anyone outside of your household to work in your fields?")</f>
        <v>Did you hire anyone outside of your household to work in your fields?</v>
      </c>
      <c r="H2230" s="172" t="str">
        <f>IFERROR(__xludf.DUMMYFUNCTION("TRIM(REGEXREPLACE(D2230, ""[0-9]+[a-f]?\."", """"))"),"Avez-vous embauché quelqu'un en dehors de votre ménage pour travailler dans vos champs ?")</f>
        <v>Avez-vous embauché quelqu'un en dehors de votre ménage pour travailler dans vos champs ?</v>
      </c>
      <c r="I2230" s="172" t="str">
        <f>IFERROR(__xludf.DUMMYFUNCTION("TRIM(REGEXREPLACE(E2230, ""[0-9]+[a-f]?\."", """"))"),"Ko kun ɗauki wani dan barema da ba ɗan gidanku ba don yin aiki a gonakinku?")</f>
        <v>Ko kun ɗauki wani dan barema da ba ɗan gidanku ba don yin aiki a gonakinku?</v>
      </c>
      <c r="J2230" s="172" t="str">
        <f t="shared" ref="J2230:L2230" si="578">$F2230 &amp; ". " &amp;G2230</f>
        <v>555. Did you hire anyone outside of your household to work in your fields?</v>
      </c>
      <c r="K2230" s="172" t="str">
        <f t="shared" si="578"/>
        <v>555. Avez-vous embauché quelqu'un en dehors de votre ménage pour travailler dans vos champs ?</v>
      </c>
      <c r="L2230" s="172" t="str">
        <f t="shared" si="578"/>
        <v>555. Ko kun ɗauki wani dan barema da ba ɗan gidanku ba don yin aiki a gonakinku?</v>
      </c>
    </row>
    <row r="2231">
      <c r="A2231" s="253" t="s">
        <v>246</v>
      </c>
      <c r="B2231" s="254" t="s">
        <v>6718</v>
      </c>
      <c r="C2231" s="254" t="s">
        <v>6719</v>
      </c>
      <c r="D2231" s="254" t="s">
        <v>6720</v>
      </c>
      <c r="E2231" s="254" t="s">
        <v>6721</v>
      </c>
      <c r="F2231" s="182">
        <v>556.0</v>
      </c>
      <c r="G2231" s="172" t="str">
        <f>IFERROR(__xludf.DUMMYFUNCTION("TRIM(REGEXREPLACE(C2231, ""[0-9]+[a-f]?\."", """"))"),"How many different people did you hire people to work in your fields?")</f>
        <v>How many different people did you hire people to work in your fields?</v>
      </c>
      <c r="H2231" s="172" t="str">
        <f>IFERROR(__xludf.DUMMYFUNCTION("TRIM(REGEXREPLACE(D2231, ""[0-9]+[a-f]?\."", """"))"),"Combien de personnes avez-vous embauchées pour travailler dans vos champs ?")</f>
        <v>Combien de personnes avez-vous embauchées pour travailler dans vos champs ?</v>
      </c>
      <c r="I2231" s="172" t="str">
        <f>IFERROR(__xludf.DUMMYFUNCTION("TRIM(REGEXREPLACE(E2231, ""[0-9]+[a-f]?\."", """"))"),"Mutane nawa kuka ɗauka don yin aiki a gonakinku?")</f>
        <v>Mutane nawa kuka ɗauka don yin aiki a gonakinku?</v>
      </c>
      <c r="J2231" s="172" t="str">
        <f t="shared" ref="J2231:L2231" si="579">$F2231 &amp; ". " &amp;G2231</f>
        <v>556. How many different people did you hire people to work in your fields?</v>
      </c>
      <c r="K2231" s="172" t="str">
        <f t="shared" si="579"/>
        <v>556. Combien de personnes avez-vous embauchées pour travailler dans vos champs ?</v>
      </c>
      <c r="L2231" s="172" t="str">
        <f t="shared" si="579"/>
        <v>556. Mutane nawa kuka ɗauka don yin aiki a gonakinku?</v>
      </c>
    </row>
    <row r="2232">
      <c r="A2232" s="253" t="s">
        <v>246</v>
      </c>
      <c r="B2232" s="254" t="s">
        <v>6722</v>
      </c>
      <c r="C2232" s="254" t="s">
        <v>4740</v>
      </c>
      <c r="D2232" s="254" t="s">
        <v>4741</v>
      </c>
      <c r="E2232" s="254" t="s">
        <v>4742</v>
      </c>
      <c r="F2232" s="182">
        <v>557.0</v>
      </c>
      <c r="G2232" s="172" t="str">
        <f>IFERROR(__xludf.DUMMYFUNCTION("TRIM(REGEXREPLACE(C2232, ""[0-9]+[a-f]?\."", """"))"),"How many days did each laborer work in your fields?")</f>
        <v>How many days did each laborer work in your fields?</v>
      </c>
      <c r="H2232" s="172" t="str">
        <f>IFERROR(__xludf.DUMMYFUNCTION("TRIM(REGEXREPLACE(D2232, ""[0-9]+[a-f]?\."", """"))"),"Combien de jours chaque ouvrier a-t-il travaillé dans vos champs ?")</f>
        <v>Combien de jours chaque ouvrier a-t-il travaillé dans vos champs ?</v>
      </c>
      <c r="I2232" s="172" t="str">
        <f>IFERROR(__xludf.DUMMYFUNCTION("TRIM(REGEXREPLACE(E2232, ""[0-9]+[a-f]?\."", """"))"),"Kwanaki nawa kowane ma'aikaci yayi aiki a gonakinku?")</f>
        <v>Kwanaki nawa kowane ma'aikaci yayi aiki a gonakinku?</v>
      </c>
      <c r="J2232" s="172" t="str">
        <f t="shared" ref="J2232:L2232" si="580">$F2232 &amp; ". " &amp;G2232</f>
        <v>557. How many days did each laborer work in your fields?</v>
      </c>
      <c r="K2232" s="172" t="str">
        <f t="shared" si="580"/>
        <v>557. Combien de jours chaque ouvrier a-t-il travaillé dans vos champs ?</v>
      </c>
      <c r="L2232" s="172" t="str">
        <f t="shared" si="580"/>
        <v>557. Kwanaki nawa kowane ma'aikaci yayi aiki a gonakinku?</v>
      </c>
    </row>
    <row r="2233">
      <c r="A2233" s="253" t="s">
        <v>246</v>
      </c>
      <c r="B2233" s="254" t="s">
        <v>6723</v>
      </c>
      <c r="C2233" s="254" t="s">
        <v>4745</v>
      </c>
      <c r="D2233" s="254" t="s">
        <v>4747</v>
      </c>
      <c r="E2233" s="254" t="s">
        <v>4749</v>
      </c>
      <c r="F2233" s="182">
        <v>558.0</v>
      </c>
      <c r="G2233" s="172" t="str">
        <f>IFERROR(__xludf.DUMMYFUNCTION("TRIM(REGEXREPLACE(C2233, ""[0-9]+[a-f]?\."", """"))"),"What was the daily wage you paid for people to work in your fields, or how much would you pay in CFA?")</f>
        <v>What was the daily wage you paid for people to work in your fields, or how much would you pay in CFA?</v>
      </c>
      <c r="H2233" s="172" t="str">
        <f>IFERROR(__xludf.DUMMYFUNCTION("TRIM(REGEXREPLACE(D2233, ""[0-9]+[a-f]?\."", """"))"),"Quel était le salaire journalier que vous payiez pour que les gens travaillent dans vos champs, ou combien paieriez-vous en CFA ?")</f>
        <v>Quel était le salaire journalier que vous payiez pour que les gens travaillent dans vos champs, ou combien paieriez-vous en CFA ?</v>
      </c>
      <c r="I2233" s="172" t="str">
        <f>IFERROR(__xludf.DUMMYFUNCTION("TRIM(REGEXREPLACE(E2233, ""[0-9]+[a-f]?\."", """"))"),"Nawa ne kuke biyan waɗanda suka yi aiki a gonakinku a dukkan wuni a sefa ?")</f>
        <v>Nawa ne kuke biyan waɗanda suka yi aiki a gonakinku a dukkan wuni a sefa ?</v>
      </c>
      <c r="J2233" s="172" t="str">
        <f t="shared" ref="J2233:L2233" si="581">$F2233 &amp; ". " &amp;G2233</f>
        <v>558. What was the daily wage you paid for people to work in your fields, or how much would you pay in CFA?</v>
      </c>
      <c r="K2233" s="172" t="str">
        <f t="shared" si="581"/>
        <v>558. Quel était le salaire journalier que vous payiez pour que les gens travaillent dans vos champs, ou combien paieriez-vous en CFA ?</v>
      </c>
      <c r="L2233" s="172" t="str">
        <f t="shared" si="581"/>
        <v>558. Nawa ne kuke biyan waɗanda suka yi aiki a gonakinku a dukkan wuni a sefa ?</v>
      </c>
    </row>
    <row r="2234" hidden="1">
      <c r="A2234" s="188" t="s">
        <v>68</v>
      </c>
      <c r="B2234" s="189" t="s">
        <v>6724</v>
      </c>
      <c r="C2234" s="217" t="s">
        <v>6725</v>
      </c>
      <c r="D2234" s="217" t="s">
        <v>6726</v>
      </c>
      <c r="E2234" s="217" t="s">
        <v>6727</v>
      </c>
    </row>
    <row r="2235">
      <c r="A2235" s="215" t="s">
        <v>353</v>
      </c>
      <c r="B2235" s="216" t="s">
        <v>6728</v>
      </c>
      <c r="C2235" s="216" t="s">
        <v>6729</v>
      </c>
      <c r="D2235" s="216" t="s">
        <v>6730</v>
      </c>
      <c r="E2235" s="216" t="s">
        <v>6731</v>
      </c>
      <c r="F2235" s="182">
        <v>559.0</v>
      </c>
      <c r="G2235" s="172" t="str">
        <f>IFERROR(__xludf.DUMMYFUNCTION("TRIM(REGEXREPLACE(C2235, ""[0-9]+[a-f]?\."", """"))"),"Thinking of your expenses related to labor and investment in your fields during the last agricultural season, you spent a total of ${hoh_total_paid} in CFA, is this correct?")</f>
        <v>Thinking of your expenses related to labor and investment in your fields during the last agricultural season, you spent a total of ${hoh_total_paid} in CFA, is this correct?</v>
      </c>
      <c r="H2235" s="172" t="str">
        <f>IFERROR(__xludf.DUMMYFUNCTION("TRIM(REGEXREPLACE(D2235, ""[0-9]+[a-f]?\."", """"))"),"Pour toutes les dépenses pour vos champs dont nous avons parlé, vous avez payé ${hoh_total_paid} en CFA, est-ce correct ?")</f>
        <v>Pour toutes les dépenses pour vos champs dont nous avons parlé, vous avez payé ${hoh_total_paid} en CFA, est-ce correct ?</v>
      </c>
      <c r="I2235" s="172" t="str">
        <f>IFERROR(__xludf.DUMMYFUNCTION("TRIM(REGEXREPLACE(E2235, ""[0-9]+[a-f]?\."", """"))"),"Ku tuna da dukkan kuɗaɗen da kuka kashe a kan aikin gona a lokacin aikin noma na ƙarshe, kun kashe jimillar ${hoh_total_paid} a CFA, wannan daidai ne?")</f>
        <v>Ku tuna da dukkan kuɗaɗen da kuka kashe a kan aikin gona a lokacin aikin noma na ƙarshe, kun kashe jimillar ${hoh_total_paid} a CFA, wannan daidai ne?</v>
      </c>
      <c r="J2235" s="172" t="str">
        <f t="shared" ref="J2235:L2235" si="582">$F2235 &amp; ". " &amp;G2235</f>
        <v>559. Thinking of your expenses related to labor and investment in your fields during the last agricultural season, you spent a total of ${hoh_total_paid} in CFA, is this correct?</v>
      </c>
      <c r="K2235" s="172" t="str">
        <f t="shared" si="582"/>
        <v>559. Pour toutes les dépenses pour vos champs dont nous avons parlé, vous avez payé ${hoh_total_paid} en CFA, est-ce correct ?</v>
      </c>
      <c r="L2235" s="172" t="str">
        <f t="shared" si="582"/>
        <v>559. Ku tuna da dukkan kuɗaɗen da kuka kashe a kan aikin gona a lokacin aikin noma na ƙarshe, kun kashe jimillar ${hoh_total_paid} a CFA, wannan daidai ne?</v>
      </c>
    </row>
    <row r="2236">
      <c r="A2236" s="207" t="s">
        <v>41</v>
      </c>
      <c r="B2236" s="208" t="s">
        <v>6732</v>
      </c>
      <c r="C2236" s="208" t="s">
        <v>6733</v>
      </c>
      <c r="D2236" s="208" t="s">
        <v>6734</v>
      </c>
      <c r="E2236" s="208" t="s">
        <v>6735</v>
      </c>
      <c r="F2236" s="182">
        <v>560.0</v>
      </c>
      <c r="G2236" s="172" t="str">
        <f>IFERROR(__xludf.DUMMYFUNCTION("TRIM(REGEXREPLACE(C2236, ""[0-9]+[a-f]?\."", """"))"),"Now we'll ask about any work by members of your household in fields owned by other people.")</f>
        <v>Now we'll ask about any work by members of your household in fields owned by other people.</v>
      </c>
      <c r="H2236" s="172" t="str">
        <f>IFERROR(__xludf.DUMMYFUNCTION("TRIM(REGEXREPLACE(D2236, ""[0-9]+[a-f]?\."", """"))"),"Nous allons maintenant poser des questions sur tout travail effectué par des membres de votre ménage dans des champs appartenant à d'autres personnes.")</f>
        <v>Nous allons maintenant poser des questions sur tout travail effectué par des membres de votre ménage dans des champs appartenant à d'autres personnes.</v>
      </c>
      <c r="I2236" s="172" t="str">
        <f>IFERROR(__xludf.DUMMYFUNCTION("TRIM(REGEXREPLACE(E2236, ""[0-9]+[a-f]?\."", """"))"),"Yanzu za mu yi tambayoyi game da duk wani aiki da ƴan gidanku suka yi a gonakin wasu mutane.")</f>
        <v>Yanzu za mu yi tambayoyi game da duk wani aiki da ƴan gidanku suka yi a gonakin wasu mutane.</v>
      </c>
      <c r="J2236" s="172" t="str">
        <f t="shared" ref="J2236:L2236" si="583">$F2236 &amp; ". " &amp;G2236</f>
        <v>560. Now we'll ask about any work by members of your household in fields owned by other people.</v>
      </c>
      <c r="K2236" s="172" t="str">
        <f t="shared" si="583"/>
        <v>560. Nous allons maintenant poser des questions sur tout travail effectué par des membres de votre ménage dans des champs appartenant à d'autres personnes.</v>
      </c>
      <c r="L2236" s="172" t="str">
        <f t="shared" si="583"/>
        <v>560. Yanzu za mu yi tambayoyi game da duk wani aiki da ƴan gidanku suka yi a gonakin wasu mutane.</v>
      </c>
    </row>
    <row r="2237">
      <c r="A2237" s="215" t="s">
        <v>353</v>
      </c>
      <c r="B2237" s="216" t="s">
        <v>6736</v>
      </c>
      <c r="C2237" s="216" t="s">
        <v>6737</v>
      </c>
      <c r="D2237" s="216" t="s">
        <v>6738</v>
      </c>
      <c r="E2237" s="216" t="s">
        <v>6739</v>
      </c>
      <c r="F2237" s="182">
        <v>561.0</v>
      </c>
      <c r="G2237" s="172" t="str">
        <f>IFERROR(__xludf.DUMMYFUNCTION("TRIM(REGEXREPLACE(C2237, ""[0-9]+[a-f]?\."", """"))"),"Have any family members worked as a day labor in fields for someone else?")</f>
        <v>Have any family members worked as a day labor in fields for someone else?</v>
      </c>
      <c r="H2237" s="172" t="str">
        <f>IFERROR(__xludf.DUMMYFUNCTION("TRIM(REGEXREPLACE(D2237, ""[0-9]+[a-f]?\."", """"))"),"Pensez à tout membre de votre ménage, y-a t-il des membres de votre ménage qui ont travaillé comme journaliers dans le champs de quelqu'un d'autre ?")</f>
        <v>Pensez à tout membre de votre ménage, y-a t-il des membres de votre ménage qui ont travaillé comme journaliers dans le champs de quelqu'un d'autre ?</v>
      </c>
      <c r="I2237" s="172" t="str">
        <f>IFERROR(__xludf.DUMMYFUNCTION("TRIM(REGEXREPLACE(E2237, ""[0-9]+[a-f]?\."", """"))"),"Ko wani ɗan gidanku ya yi aiki a matsayin ɗan barema a gonar wani?")</f>
        <v>Ko wani ɗan gidanku ya yi aiki a matsayin ɗan barema a gonar wani?</v>
      </c>
      <c r="J2237" s="172" t="str">
        <f t="shared" ref="J2237:L2237" si="584">$F2237 &amp; ". " &amp;G2237</f>
        <v>561. Have any family members worked as a day labor in fields for someone else?</v>
      </c>
      <c r="K2237" s="172" t="str">
        <f t="shared" si="584"/>
        <v>561. Pensez à tout membre de votre ménage, y-a t-il des membres de votre ménage qui ont travaillé comme journaliers dans le champs de quelqu'un d'autre ?</v>
      </c>
      <c r="L2237" s="172" t="str">
        <f t="shared" si="584"/>
        <v>561. Ko wani ɗan gidanku ya yi aiki a matsayin ɗan barema a gonar wani?</v>
      </c>
    </row>
    <row r="2238" hidden="1">
      <c r="A2238" s="188" t="s">
        <v>118</v>
      </c>
      <c r="B2238" s="189" t="s">
        <v>6740</v>
      </c>
      <c r="C2238" s="190"/>
      <c r="D2238" s="190"/>
      <c r="E2238" s="190"/>
    </row>
    <row r="2239" hidden="1">
      <c r="A2239" s="188" t="s">
        <v>68</v>
      </c>
      <c r="B2239" s="189" t="s">
        <v>6741</v>
      </c>
      <c r="C2239" s="190"/>
      <c r="D2239" s="190"/>
      <c r="E2239" s="190"/>
    </row>
    <row r="2240" hidden="1">
      <c r="A2240" s="188" t="s">
        <v>118</v>
      </c>
      <c r="B2240" s="189" t="s">
        <v>6742</v>
      </c>
      <c r="C2240" s="190"/>
      <c r="D2240" s="190"/>
      <c r="E2240" s="190"/>
    </row>
    <row r="2241" hidden="1">
      <c r="A2241" s="255" t="s">
        <v>1042</v>
      </c>
      <c r="B2241" s="256" t="s">
        <v>6743</v>
      </c>
      <c r="C2241" s="256" t="s">
        <v>6744</v>
      </c>
      <c r="D2241" s="256" t="s">
        <v>6745</v>
      </c>
      <c r="E2241" s="256" t="s">
        <v>6746</v>
      </c>
    </row>
    <row r="2242" hidden="1">
      <c r="A2242" s="188" t="s">
        <v>68</v>
      </c>
      <c r="B2242" s="189" t="s">
        <v>6747</v>
      </c>
      <c r="C2242" s="190"/>
      <c r="D2242" s="190"/>
      <c r="E2242" s="190"/>
    </row>
    <row r="2243" hidden="1">
      <c r="A2243" s="188" t="s">
        <v>68</v>
      </c>
      <c r="B2243" s="189" t="s">
        <v>6748</v>
      </c>
      <c r="C2243" s="190"/>
      <c r="D2243" s="190"/>
      <c r="E2243" s="190"/>
    </row>
    <row r="2244">
      <c r="A2244" s="253" t="s">
        <v>246</v>
      </c>
      <c r="B2244" s="254" t="s">
        <v>6749</v>
      </c>
      <c r="C2244" s="254" t="s">
        <v>6750</v>
      </c>
      <c r="D2244" s="254" t="s">
        <v>6751</v>
      </c>
      <c r="E2244" s="254" t="s">
        <v>6752</v>
      </c>
      <c r="F2244" s="182">
        <v>562.0</v>
      </c>
      <c r="G2244" s="172" t="str">
        <f>IFERROR(__xludf.DUMMYFUNCTION("TRIM(REGEXREPLACE(C2244, ""[0-9]+[a-f]?\."", """"))"),"Can you estimate how many days ${hoh_paid_name} worked as a day laborer in the fields for someone else?")</f>
        <v>Can you estimate how many days ${hoh_paid_name} worked as a day laborer in the fields for someone else?</v>
      </c>
      <c r="H2244" s="172" t="str">
        <f>IFERROR(__xludf.DUMMYFUNCTION("TRIM(REGEXREPLACE(D2244, ""[0-9]+[a-f]?\."", """"))"),"Pouvez-vous estimer combien de jours ${hoh_paid_name} a travaillé comme journalier dans les champs d'autres personnes ?")</f>
        <v>Pouvez-vous estimer combien de jours ${hoh_paid_name} a travaillé comme journalier dans les champs d'autres personnes ?</v>
      </c>
      <c r="I2244" s="172" t="str">
        <f>IFERROR(__xludf.DUMMYFUNCTION("TRIM(REGEXREPLACE(E2244, ""[0-9]+[a-f]?\."", """"))"),"Za ku iya misalta ko wuni nawa ${hoh_paid_name} yayi aiki a matsayin ma'aikacin barema a gonar wasu mutane?")</f>
        <v>Za ku iya misalta ko wuni nawa ${hoh_paid_name} yayi aiki a matsayin ma'aikacin barema a gonar wasu mutane?</v>
      </c>
      <c r="J2244" s="172" t="str">
        <f t="shared" ref="J2244:L2244" si="585">$F2244 &amp; ". " &amp;G2244</f>
        <v>562. Can you estimate how many days ${hoh_paid_name} worked as a day laborer in the fields for someone else?</v>
      </c>
      <c r="K2244" s="172" t="str">
        <f t="shared" si="585"/>
        <v>562. Pouvez-vous estimer combien de jours ${hoh_paid_name} a travaillé comme journalier dans les champs d'autres personnes ?</v>
      </c>
      <c r="L2244" s="172" t="str">
        <f t="shared" si="585"/>
        <v>562. Za ku iya misalta ko wuni nawa ${hoh_paid_name} yayi aiki a matsayin ma'aikacin barema a gonar wasu mutane?</v>
      </c>
    </row>
    <row r="2245">
      <c r="A2245" s="253" t="s">
        <v>246</v>
      </c>
      <c r="B2245" s="254" t="s">
        <v>6753</v>
      </c>
      <c r="C2245" s="254" t="s">
        <v>6754</v>
      </c>
      <c r="D2245" s="254" t="s">
        <v>6755</v>
      </c>
      <c r="E2245" s="254" t="s">
        <v>6756</v>
      </c>
      <c r="F2245" s="182">
        <v>563.0</v>
      </c>
      <c r="G2245" s="172" t="str">
        <f>IFERROR(__xludf.DUMMYFUNCTION("TRIM(REGEXREPLACE(C2245, ""[0-9]+[a-f]?\."", """"))"),"What was the daily wage paid to ${hoh_paid_name} working as a day laborer for someone else in CFA?")</f>
        <v>What was the daily wage paid to ${hoh_paid_name} working as a day laborer for someone else in CFA?</v>
      </c>
      <c r="H2245" s="172" t="str">
        <f>IFERROR(__xludf.DUMMYFUNCTION("TRIM(REGEXREPLACE(D2245, ""[0-9]+[a-f]?\."", """"))"),"Quel était le salaire journalier payé à ${hoh_paid_name} travaillant comme journalier pour quelqu'un d'autre en CFA ?")</f>
        <v>Quel était le salaire journalier payé à ${hoh_paid_name} travaillant comme journalier pour quelqu'un d'autre en CFA ?</v>
      </c>
      <c r="I2245" s="172" t="str">
        <f>IFERROR(__xludf.DUMMYFUNCTION("TRIM(REGEXREPLACE(E2245, ""[0-9]+[a-f]?\."", """"))"),"Nawa biyan ${hoh_paid_name} na wuni a lokacin da yake barema a gonar wani a sefa?")</f>
        <v>Nawa biyan ${hoh_paid_name} na wuni a lokacin da yake barema a gonar wani a sefa?</v>
      </c>
      <c r="J2245" s="172" t="str">
        <f t="shared" ref="J2245:L2245" si="586">$F2245 &amp; ". " &amp;G2245</f>
        <v>563. What was the daily wage paid to ${hoh_paid_name} working as a day laborer for someone else in CFA?</v>
      </c>
      <c r="K2245" s="172" t="str">
        <f t="shared" si="586"/>
        <v>563. Quel était le salaire journalier payé à ${hoh_paid_name} travaillant comme journalier pour quelqu'un d'autre en CFA ?</v>
      </c>
      <c r="L2245" s="172" t="str">
        <f t="shared" si="586"/>
        <v>563. Nawa biyan ${hoh_paid_name} na wuni a lokacin da yake barema a gonar wani a sefa?</v>
      </c>
    </row>
    <row r="2246" hidden="1">
      <c r="A2246" s="188" t="s">
        <v>68</v>
      </c>
      <c r="B2246" s="189" t="s">
        <v>6757</v>
      </c>
      <c r="C2246" s="217" t="s">
        <v>6758</v>
      </c>
      <c r="D2246" s="217" t="s">
        <v>6759</v>
      </c>
      <c r="E2246" s="217" t="s">
        <v>6760</v>
      </c>
    </row>
    <row r="2247" hidden="1">
      <c r="A2247" s="255" t="s">
        <v>1064</v>
      </c>
      <c r="B2247" s="261" t="s">
        <v>6743</v>
      </c>
      <c r="C2247" s="262"/>
      <c r="D2247" s="262"/>
      <c r="E2247" s="262"/>
    </row>
    <row r="2248" hidden="1">
      <c r="A2248" s="188" t="s">
        <v>118</v>
      </c>
      <c r="B2248" s="189" t="s">
        <v>6761</v>
      </c>
      <c r="C2248" s="190"/>
      <c r="D2248" s="190"/>
      <c r="E2248" s="190"/>
    </row>
    <row r="2249" hidden="1">
      <c r="A2249" s="188" t="s">
        <v>68</v>
      </c>
      <c r="B2249" s="189" t="s">
        <v>6762</v>
      </c>
      <c r="C2249" s="190"/>
      <c r="D2249" s="190"/>
      <c r="E2249" s="190"/>
    </row>
    <row r="2250">
      <c r="A2250" s="215" t="s">
        <v>353</v>
      </c>
      <c r="B2250" s="216" t="s">
        <v>6763</v>
      </c>
      <c r="C2250" s="216" t="s">
        <v>4798</v>
      </c>
      <c r="D2250" s="216" t="s">
        <v>4799</v>
      </c>
      <c r="E2250" s="216" t="s">
        <v>4800</v>
      </c>
      <c r="F2250" s="182">
        <v>564.0</v>
      </c>
      <c r="G2250" s="172" t="str">
        <f>IFERROR(__xludf.DUMMYFUNCTION("TRIM(REGEXREPLACE(C2250, ""[0-9]+[a-f]?\."", """"))"),"Thinking about the last agricultural season, did you need to pay other expenses we did not ask you about?")</f>
        <v>Thinking about the last agricultural season, did you need to pay other expenses we did not ask you about?</v>
      </c>
      <c r="H2250" s="172" t="str">
        <f>IFERROR(__xludf.DUMMYFUNCTION("TRIM(REGEXREPLACE(D2250, ""[0-9]+[a-f]?\."", """"))"),"En pensant à la dernière saison agricole, avez-vous dû faire d'autres dépenses dont nous n'avons pas parlé ?")</f>
        <v>En pensant à la dernière saison agricole, avez-vous dû faire d'autres dépenses dont nous n'avons pas parlé ?</v>
      </c>
      <c r="I2250" s="172" t="str">
        <f>IFERROR(__xludf.DUMMYFUNCTION("TRIM(REGEXREPLACE(E2250, ""[0-9]+[a-f]?\."", """"))"),"A tunaninka a lokacin noman da ya gabata, akwai wasu kashe kashen kuɗi da kuka yi wanda ba mu yi zancen su ba?")</f>
        <v>A tunaninka a lokacin noman da ya gabata, akwai wasu kashe kashen kuɗi da kuka yi wanda ba mu yi zancen su ba?</v>
      </c>
      <c r="J2250" s="172" t="str">
        <f t="shared" ref="J2250:L2250" si="587">$F2250 &amp; ". " &amp;G2250</f>
        <v>564. Thinking about the last agricultural season, did you need to pay other expenses we did not ask you about?</v>
      </c>
      <c r="K2250" s="172" t="str">
        <f t="shared" si="587"/>
        <v>564. En pensant à la dernière saison agricole, avez-vous dû faire d'autres dépenses dont nous n'avons pas parlé ?</v>
      </c>
      <c r="L2250" s="172" t="str">
        <f t="shared" si="587"/>
        <v>564. A tunaninka a lokacin noman da ya gabata, akwai wasu kashe kashen kuɗi da kuka yi wanda ba mu yi zancen su ba?</v>
      </c>
    </row>
    <row r="2251">
      <c r="A2251" s="246" t="s">
        <v>231</v>
      </c>
      <c r="B2251" s="247" t="s">
        <v>6764</v>
      </c>
      <c r="C2251" s="247" t="s">
        <v>4805</v>
      </c>
      <c r="D2251" s="247" t="s">
        <v>4806</v>
      </c>
      <c r="E2251" s="247" t="s">
        <v>4807</v>
      </c>
      <c r="F2251" s="182">
        <v>565.0</v>
      </c>
      <c r="G2251" s="172" t="str">
        <f>IFERROR(__xludf.DUMMYFUNCTION("TRIM(REGEXREPLACE(C2251, ""[0-9]+[a-f]?\."", """"))"),"What was the expense?")</f>
        <v>What was the expense?</v>
      </c>
      <c r="H2251" s="172" t="str">
        <f>IFERROR(__xludf.DUMMYFUNCTION("TRIM(REGEXREPLACE(D2251, ""[0-9]+[a-f]?\."", """"))"),"Quelle était la dépense ?")</f>
        <v>Quelle était la dépense ?</v>
      </c>
      <c r="I2251" s="172" t="str">
        <f>IFERROR(__xludf.DUMMYFUNCTION("TRIM(REGEXREPLACE(E2251, ""[0-9]+[a-f]?\."", """"))"),"wane kashe kuɗi ne ?")</f>
        <v>wane kashe kuɗi ne ?</v>
      </c>
      <c r="J2251" s="172" t="str">
        <f t="shared" ref="J2251:L2251" si="588">$F2251 &amp; ". " &amp;G2251</f>
        <v>565. What was the expense?</v>
      </c>
      <c r="K2251" s="172" t="str">
        <f t="shared" si="588"/>
        <v>565. Quelle était la dépense ?</v>
      </c>
      <c r="L2251" s="172" t="str">
        <f t="shared" si="588"/>
        <v>565. wane kashe kuɗi ne ?</v>
      </c>
    </row>
    <row r="2252">
      <c r="A2252" s="253" t="s">
        <v>246</v>
      </c>
      <c r="B2252" s="254" t="s">
        <v>6765</v>
      </c>
      <c r="C2252" s="254" t="s">
        <v>6766</v>
      </c>
      <c r="D2252" s="254" t="s">
        <v>6767</v>
      </c>
      <c r="E2252" s="254" t="s">
        <v>6768</v>
      </c>
      <c r="F2252" s="182">
        <v>566.0</v>
      </c>
      <c r="G2252" s="172" t="str">
        <f>IFERROR(__xludf.DUMMYFUNCTION("TRIM(REGEXREPLACE(C2252, ""[0-9]+[a-f]?\."", """"))"),"What was the approximate value of ${hoh_ag_exp_other_name} in CFA?")</f>
        <v>What was the approximate value of ${hoh_ag_exp_other_name} in CFA?</v>
      </c>
      <c r="H2252" s="172" t="str">
        <f>IFERROR(__xludf.DUMMYFUNCTION("TRIM(REGEXREPLACE(D2252, ""[0-9]+[a-f]?\."", """"))"),"Quelle était la valeur approximative de ${hoh_ag_exp_other_name} en CFA ?")</f>
        <v>Quelle était la valeur approximative de ${hoh_ag_exp_other_name} en CFA ?</v>
      </c>
      <c r="I2252" s="172" t="str">
        <f>IFERROR(__xludf.DUMMYFUNCTION("TRIM(REGEXREPLACE(E2252, ""[0-9]+[a-f]?\."", """"))"),"Nawa farashin ${hoh_ag_exp_other_name} a wacan lokacin a sefa?")</f>
        <v>Nawa farashin ${hoh_ag_exp_other_name} a wacan lokacin a sefa?</v>
      </c>
      <c r="J2252" s="172" t="str">
        <f t="shared" ref="J2252:L2252" si="589">$F2252 &amp; ". " &amp;G2252</f>
        <v>566. What was the approximate value of ${hoh_ag_exp_other_name} in CFA?</v>
      </c>
      <c r="K2252" s="172" t="str">
        <f t="shared" si="589"/>
        <v>566. Quelle était la valeur approximative de ${hoh_ag_exp_other_name} en CFA ?</v>
      </c>
      <c r="L2252" s="172" t="str">
        <f t="shared" si="589"/>
        <v>566. Nawa farashin ${hoh_ag_exp_other_name} a wacan lokacin a sefa?</v>
      </c>
    </row>
    <row r="2253" hidden="1">
      <c r="A2253" s="188" t="s">
        <v>68</v>
      </c>
      <c r="B2253" s="189" t="s">
        <v>6769</v>
      </c>
      <c r="C2253" s="217" t="s">
        <v>6770</v>
      </c>
      <c r="D2253" s="190"/>
      <c r="E2253" s="190"/>
    </row>
    <row r="2254" hidden="1">
      <c r="A2254" s="188" t="s">
        <v>68</v>
      </c>
      <c r="B2254" s="189" t="s">
        <v>6771</v>
      </c>
      <c r="C2254" s="217" t="s">
        <v>6772</v>
      </c>
      <c r="D2254" s="190"/>
      <c r="E2254" s="190"/>
    </row>
    <row r="2255" hidden="1">
      <c r="A2255" s="188" t="s">
        <v>68</v>
      </c>
      <c r="B2255" s="189" t="s">
        <v>6773</v>
      </c>
      <c r="C2255" s="217" t="s">
        <v>6774</v>
      </c>
      <c r="D2255" s="190"/>
      <c r="E2255" s="190"/>
    </row>
    <row r="2256" hidden="1">
      <c r="A2256" s="188" t="s">
        <v>68</v>
      </c>
      <c r="B2256" s="189" t="s">
        <v>6775</v>
      </c>
      <c r="C2256" s="217" t="s">
        <v>6776</v>
      </c>
      <c r="D2256" s="190"/>
      <c r="E2256" s="190"/>
    </row>
    <row r="2257" hidden="1">
      <c r="A2257" s="188" t="s">
        <v>68</v>
      </c>
      <c r="B2257" s="189" t="s">
        <v>6777</v>
      </c>
      <c r="C2257" s="217" t="s">
        <v>6778</v>
      </c>
      <c r="D2257" s="190"/>
      <c r="E2257" s="190"/>
    </row>
    <row r="2258" hidden="1">
      <c r="A2258" s="188" t="s">
        <v>68</v>
      </c>
      <c r="B2258" s="189" t="s">
        <v>6779</v>
      </c>
      <c r="C2258" s="217" t="s">
        <v>6780</v>
      </c>
      <c r="D2258" s="190"/>
      <c r="E2258" s="190"/>
    </row>
    <row r="2259" hidden="1">
      <c r="A2259" s="188" t="s">
        <v>68</v>
      </c>
      <c r="B2259" s="189" t="s">
        <v>6781</v>
      </c>
      <c r="C2259" s="217" t="s">
        <v>6782</v>
      </c>
      <c r="D2259" s="190"/>
      <c r="E2259" s="190"/>
    </row>
    <row r="2260" hidden="1">
      <c r="A2260" s="188" t="s">
        <v>68</v>
      </c>
      <c r="B2260" s="189" t="s">
        <v>6783</v>
      </c>
      <c r="C2260" s="217" t="s">
        <v>6784</v>
      </c>
      <c r="D2260" s="190"/>
      <c r="E2260" s="190"/>
    </row>
    <row r="2261" hidden="1">
      <c r="A2261" s="188" t="s">
        <v>68</v>
      </c>
      <c r="B2261" s="189" t="s">
        <v>6785</v>
      </c>
      <c r="C2261" s="190"/>
      <c r="D2261" s="190"/>
      <c r="E2261" s="190"/>
    </row>
    <row r="2262">
      <c r="A2262" s="215" t="s">
        <v>353</v>
      </c>
      <c r="B2262" s="216" t="s">
        <v>6786</v>
      </c>
      <c r="C2262" s="216" t="s">
        <v>6787</v>
      </c>
      <c r="D2262" s="216" t="s">
        <v>6788</v>
      </c>
      <c r="E2262" s="216" t="s">
        <v>6789</v>
      </c>
      <c r="F2262" s="182">
        <v>567.0</v>
      </c>
      <c r="G2262" s="172" t="str">
        <f>IFERROR(__xludf.DUMMYFUNCTION("TRIM(REGEXREPLACE(C2262, ""[0-9]+[a-f]?\."", """"))"),"Total income: ${hoh_total_income}
 Does this seem right?")</f>
        <v>Total income: ${hoh_total_income}
 Does this seem right?</v>
      </c>
      <c r="H2262" s="172" t="str">
        <f>IFERROR(__xludf.DUMMYFUNCTION("TRIM(REGEXREPLACE(D2262, ""[0-9]+[a-f]?\."", """"))"),"Revenu total : ${hoh_total_income}
 Cela vous semble-t-il juste ?")</f>
        <v>Revenu total : ${hoh_total_income}
 Cela vous semble-t-il juste ?</v>
      </c>
      <c r="I2262" s="172" t="str">
        <f>IFERROR(__xludf.DUMMYFUNCTION("TRIM(REGEXREPLACE(E2262, ""[0-9]+[a-f]?\."", """"))"),"Jimillar kuɗin shiga: ${hoh_total_income}
 ko kuna ganin hakan yayi daidai?")</f>
        <v>Jimillar kuɗin shiga: ${hoh_total_income}
 ko kuna ganin hakan yayi daidai?</v>
      </c>
      <c r="J2262" s="172" t="str">
        <f t="shared" ref="J2262:L2262" si="590">$F2262 &amp; ". " &amp;G2262</f>
        <v>567. Total income: ${hoh_total_income}
 Does this seem right?</v>
      </c>
      <c r="K2262" s="172" t="str">
        <f t="shared" si="590"/>
        <v>567. Revenu total : ${hoh_total_income}
 Cela vous semble-t-il juste ?</v>
      </c>
      <c r="L2262" s="172" t="str">
        <f t="shared" si="590"/>
        <v>567. Jimillar kuɗin shiga: ${hoh_total_income}
 ko kuna ganin hakan yayi daidai?</v>
      </c>
    </row>
    <row r="2263">
      <c r="A2263" s="207" t="s">
        <v>41</v>
      </c>
      <c r="B2263" s="208" t="s">
        <v>6790</v>
      </c>
      <c r="C2263" s="208" t="s">
        <v>6791</v>
      </c>
      <c r="D2263" s="208" t="s">
        <v>6792</v>
      </c>
      <c r="E2263" s="208" t="s">
        <v>6793</v>
      </c>
      <c r="F2263" s="182">
        <v>568.0</v>
      </c>
      <c r="G2263" s="172" t="str">
        <f>IFERROR(__xludf.DUMMYFUNCTION("TRIM(REGEXREPLACE(C2263, ""[0-9]+[a-f]?\."", """"))"),"Now we'll ask about income generating activity from animal husbandry in the past three months")</f>
        <v>Now we'll ask about income generating activity from animal husbandry in the past three months</v>
      </c>
      <c r="H2263" s="172" t="str">
        <f>IFERROR(__xludf.DUMMYFUNCTION("TRIM(REGEXREPLACE(D2263, ""[0-9]+[a-f]?\."", """"))"),"Maintenant, nous allons poser des questions sur l'activité génératrice de revenus liée à l'élevage au cours des trois derniers mois")</f>
        <v>Maintenant, nous allons poser des questions sur l'activité génératrice de revenus liée à l'élevage au cours des trois derniers mois</v>
      </c>
      <c r="I2263" s="172" t="str">
        <f>IFERROR(__xludf.DUMMYFUNCTION("TRIM(REGEXREPLACE(E2263, ""[0-9]+[a-f]?\."", """"))"),"Yanzu za mu yi hira game da ayyukan samar da kuɗaɗen shiga na kiwo a cikin watanni uku da suka gabata")</f>
        <v>Yanzu za mu yi hira game da ayyukan samar da kuɗaɗen shiga na kiwo a cikin watanni uku da suka gabata</v>
      </c>
      <c r="J2263" s="172" t="str">
        <f t="shared" ref="J2263:L2263" si="591">$F2263 &amp; ". " &amp;G2263</f>
        <v>568. Now we'll ask about income generating activity from animal husbandry in the past three months</v>
      </c>
      <c r="K2263" s="172" t="str">
        <f t="shared" si="591"/>
        <v>568. Maintenant, nous allons poser des questions sur l'activité génératrice de revenus liée à l'élevage au cours des trois derniers mois</v>
      </c>
      <c r="L2263" s="172" t="str">
        <f t="shared" si="591"/>
        <v>568. Yanzu za mu yi hira game da ayyukan samar da kuɗaɗen shiga na kiwo a cikin watanni uku da suka gabata</v>
      </c>
    </row>
    <row r="2264" hidden="1">
      <c r="A2264" s="188" t="s">
        <v>118</v>
      </c>
      <c r="B2264" s="189" t="s">
        <v>6794</v>
      </c>
      <c r="C2264" s="280"/>
      <c r="D2264" s="190"/>
      <c r="E2264" s="190"/>
    </row>
    <row r="2265" hidden="1">
      <c r="A2265" s="255" t="s">
        <v>1042</v>
      </c>
      <c r="B2265" s="256" t="s">
        <v>6795</v>
      </c>
      <c r="C2265" s="256" t="s">
        <v>6796</v>
      </c>
      <c r="D2265" s="256" t="s">
        <v>6797</v>
      </c>
      <c r="E2265" s="256" t="s">
        <v>6798</v>
      </c>
    </row>
    <row r="2266" hidden="1">
      <c r="A2266" s="188" t="s">
        <v>68</v>
      </c>
      <c r="B2266" s="189" t="s">
        <v>6799</v>
      </c>
      <c r="C2266" s="280"/>
      <c r="D2266" s="190"/>
      <c r="E2266" s="190"/>
    </row>
    <row r="2267">
      <c r="A2267" s="253" t="s">
        <v>246</v>
      </c>
      <c r="B2267" s="254" t="s">
        <v>6800</v>
      </c>
      <c r="C2267" s="254" t="s">
        <v>6801</v>
      </c>
      <c r="D2267" s="254" t="s">
        <v>6802</v>
      </c>
      <c r="E2267" s="254" t="s">
        <v>6803</v>
      </c>
      <c r="F2267" s="182">
        <v>569.0</v>
      </c>
      <c r="G2267" s="172" t="str">
        <f>IFERROR(__xludf.DUMMYFUNCTION("TRIM(REGEXREPLACE(C2267, ""[0-9]+[a-f]?\."", """"))"),"How many ${hoh_livestock_act_name} did you buy?")</f>
        <v>How many ${hoh_livestock_act_name} did you buy?</v>
      </c>
      <c r="H2267" s="172" t="str">
        <f>IFERROR(__xludf.DUMMYFUNCTION("TRIM(REGEXREPLACE(D2267, ""[0-9]+[a-f]?\."", """"))"),"Au cours des trois derniers mois, combien de ${hoh_livestock_act_name} avez-vous acheté ?")</f>
        <v>Au cours des trois derniers mois, combien de ${hoh_livestock_act_name} avez-vous acheté ?</v>
      </c>
      <c r="I2267" s="172" t="str">
        <f>IFERROR(__xludf.DUMMYFUNCTION("TRIM(REGEXREPLACE(E2267, ""[0-9]+[a-f]?\."", """"))"),"${hoh_livestock_act_name} Nawa kuka saye?")</f>
        <v>${hoh_livestock_act_name} Nawa kuka saye?</v>
      </c>
      <c r="J2267" s="172" t="str">
        <f t="shared" ref="J2267:L2267" si="592">$F2267 &amp; ". " &amp;G2267</f>
        <v>569. How many ${hoh_livestock_act_name} did you buy?</v>
      </c>
      <c r="K2267" s="172" t="str">
        <f t="shared" si="592"/>
        <v>569. Au cours des trois derniers mois, combien de ${hoh_livestock_act_name} avez-vous acheté ?</v>
      </c>
      <c r="L2267" s="172" t="str">
        <f t="shared" si="592"/>
        <v>569. ${hoh_livestock_act_name} Nawa kuka saye?</v>
      </c>
    </row>
    <row r="2268">
      <c r="A2268" s="253" t="s">
        <v>246</v>
      </c>
      <c r="B2268" s="254" t="s">
        <v>6804</v>
      </c>
      <c r="C2268" s="254" t="s">
        <v>6805</v>
      </c>
      <c r="D2268" s="319"/>
      <c r="E2268" s="319"/>
      <c r="F2268" s="182">
        <v>570.0</v>
      </c>
      <c r="G2268" s="172" t="str">
        <f>IFERROR(__xludf.DUMMYFUNCTION("TRIM(REGEXREPLACE(C2268, ""[0-9]+[a-f]?\."", """"))"),"How much did you buy ${hoh_livestock_act_name} for in CFA?")</f>
        <v>How much did you buy ${hoh_livestock_act_name} for in CFA?</v>
      </c>
      <c r="H2268" s="172" t="str">
        <f>IFERROR(__xludf.DUMMYFUNCTION("TRIM(REGEXREPLACE(D2268, ""[0-9]+[a-f]?\."", """"))"),"")</f>
        <v/>
      </c>
      <c r="I2268" s="172" t="str">
        <f>IFERROR(__xludf.DUMMYFUNCTION("TRIM(REGEXREPLACE(E2268, ""[0-9]+[a-f]?\."", """"))"),"")</f>
        <v/>
      </c>
      <c r="J2268" s="172" t="str">
        <f t="shared" ref="J2268:L2268" si="593">$F2268 &amp; ". " &amp;G2268</f>
        <v>570. How much did you buy ${hoh_livestock_act_name} for in CFA?</v>
      </c>
      <c r="K2268" s="172" t="str">
        <f t="shared" si="593"/>
        <v>570. </v>
      </c>
      <c r="L2268" s="172" t="str">
        <f t="shared" si="593"/>
        <v>570. </v>
      </c>
    </row>
    <row r="2269">
      <c r="A2269" s="253" t="s">
        <v>246</v>
      </c>
      <c r="B2269" s="254" t="s">
        <v>6806</v>
      </c>
      <c r="C2269" s="254" t="s">
        <v>6807</v>
      </c>
      <c r="D2269" s="254" t="s">
        <v>6808</v>
      </c>
      <c r="E2269" s="254" t="s">
        <v>6809</v>
      </c>
      <c r="F2269" s="182">
        <v>571.0</v>
      </c>
      <c r="G2269" s="172" t="str">
        <f>IFERROR(__xludf.DUMMYFUNCTION("TRIM(REGEXREPLACE(C2269, ""[0-9]+[a-f]?\."", """"))"),"How many ${hoh_livestock_act_name} did you sell?")</f>
        <v>How many ${hoh_livestock_act_name} did you sell?</v>
      </c>
      <c r="H2269" s="172" t="str">
        <f>IFERROR(__xludf.DUMMYFUNCTION("TRIM(REGEXREPLACE(D2269, ""[0-9]+[a-f]?\."", """"))"),"Au cours des trois derniers mois, combien de ${hoh_livestock_act_name} avez-vous vendu ?")</f>
        <v>Au cours des trois derniers mois, combien de ${hoh_livestock_act_name} avez-vous vendu ?</v>
      </c>
      <c r="I2269" s="172" t="str">
        <f>IFERROR(__xludf.DUMMYFUNCTION("TRIM(REGEXREPLACE(E2269, ""[0-9]+[a-f]?\."", """"))"),"${hoh_livestock_act_name} nawa kuka saida?")</f>
        <v>${hoh_livestock_act_name} nawa kuka saida?</v>
      </c>
      <c r="J2269" s="172" t="str">
        <f t="shared" ref="J2269:L2269" si="594">$F2269 &amp; ". " &amp;G2269</f>
        <v>571. How many ${hoh_livestock_act_name} did you sell?</v>
      </c>
      <c r="K2269" s="172" t="str">
        <f t="shared" si="594"/>
        <v>571. Au cours des trois derniers mois, combien de ${hoh_livestock_act_name} avez-vous vendu ?</v>
      </c>
      <c r="L2269" s="172" t="str">
        <f t="shared" si="594"/>
        <v>571. ${hoh_livestock_act_name} nawa kuka saida?</v>
      </c>
    </row>
    <row r="2270">
      <c r="A2270" s="253" t="s">
        <v>246</v>
      </c>
      <c r="B2270" s="254" t="s">
        <v>6810</v>
      </c>
      <c r="C2270" s="254" t="s">
        <v>6811</v>
      </c>
      <c r="D2270" s="319"/>
      <c r="E2270" s="319"/>
      <c r="F2270" s="182">
        <v>572.0</v>
      </c>
      <c r="G2270" s="172" t="str">
        <f>IFERROR(__xludf.DUMMYFUNCTION("TRIM(REGEXREPLACE(C2270, ""[0-9]+[a-f]?\."", """"))"),"How much did you sell ${hoh_livestock_act_name} for in CFA?")</f>
        <v>How much did you sell ${hoh_livestock_act_name} for in CFA?</v>
      </c>
      <c r="H2270" s="172" t="str">
        <f>IFERROR(__xludf.DUMMYFUNCTION("TRIM(REGEXREPLACE(D2270, ""[0-9]+[a-f]?\."", """"))"),"")</f>
        <v/>
      </c>
      <c r="I2270" s="172" t="str">
        <f>IFERROR(__xludf.DUMMYFUNCTION("TRIM(REGEXREPLACE(E2270, ""[0-9]+[a-f]?\."", """"))"),"")</f>
        <v/>
      </c>
      <c r="J2270" s="172" t="str">
        <f t="shared" ref="J2270:L2270" si="595">$F2270 &amp; ". " &amp;G2270</f>
        <v>572. How much did you sell ${hoh_livestock_act_name} for in CFA?</v>
      </c>
      <c r="K2270" s="172" t="str">
        <f t="shared" si="595"/>
        <v>572. </v>
      </c>
      <c r="L2270" s="172" t="str">
        <f t="shared" si="595"/>
        <v>572. </v>
      </c>
    </row>
    <row r="2271">
      <c r="A2271" s="253" t="s">
        <v>246</v>
      </c>
      <c r="B2271" s="254" t="s">
        <v>6812</v>
      </c>
      <c r="C2271" s="254" t="s">
        <v>6813</v>
      </c>
      <c r="D2271" s="254" t="s">
        <v>6814</v>
      </c>
      <c r="E2271" s="254" t="s">
        <v>6815</v>
      </c>
      <c r="F2271" s="182">
        <v>573.0</v>
      </c>
      <c r="G2271" s="172" t="str">
        <f>IFERROR(__xludf.DUMMYFUNCTION("TRIM(REGEXREPLACE(C2271, ""[0-9]+[a-f]?\."", """"))"),"How many ${hoh_livestock_act_name} did you consume?")</f>
        <v>How many ${hoh_livestock_act_name} did you consume?</v>
      </c>
      <c r="H2271" s="172" t="str">
        <f>IFERROR(__xludf.DUMMYFUNCTION("TRIM(REGEXREPLACE(D2271, ""[0-9]+[a-f]?\."", """"))"),"Au cours des trois derniers mois, combien de ${hoh_livestock_act_name} avez-vous consommé ?")</f>
        <v>Au cours des trois derniers mois, combien de ${hoh_livestock_act_name} avez-vous consommé ?</v>
      </c>
      <c r="I2271" s="172" t="str">
        <f>IFERROR(__xludf.DUMMYFUNCTION("TRIM(REGEXREPLACE(E2271, ""[0-9]+[a-f]?\."", """"))"),"${hoh_livestock_act_name} Nawa kuka cinye ?")</f>
        <v>${hoh_livestock_act_name} Nawa kuka cinye ?</v>
      </c>
      <c r="J2271" s="172" t="str">
        <f t="shared" ref="J2271:L2271" si="596">$F2271 &amp; ". " &amp;G2271</f>
        <v>573. How many ${hoh_livestock_act_name} did you consume?</v>
      </c>
      <c r="K2271" s="172" t="str">
        <f t="shared" si="596"/>
        <v>573. Au cours des trois derniers mois, combien de ${hoh_livestock_act_name} avez-vous consommé ?</v>
      </c>
      <c r="L2271" s="172" t="str">
        <f t="shared" si="596"/>
        <v>573. ${hoh_livestock_act_name} Nawa kuka cinye ?</v>
      </c>
    </row>
    <row r="2272">
      <c r="A2272" s="253" t="s">
        <v>246</v>
      </c>
      <c r="B2272" s="254" t="s">
        <v>6816</v>
      </c>
      <c r="C2272" s="254" t="s">
        <v>6817</v>
      </c>
      <c r="D2272" s="319"/>
      <c r="E2272" s="319"/>
      <c r="F2272" s="182">
        <v>574.0</v>
      </c>
      <c r="G2272" s="172" t="str">
        <f>IFERROR(__xludf.DUMMYFUNCTION("TRIM(REGEXREPLACE(C2272, ""[0-9]+[a-f]?\."", """"))"),"If you were to sell the ${hoh_livestock_act_name} you consumed, how much would you sell them for in CFA?")</f>
        <v>If you were to sell the ${hoh_livestock_act_name} you consumed, how much would you sell them for in CFA?</v>
      </c>
      <c r="H2272" s="172" t="str">
        <f>IFERROR(__xludf.DUMMYFUNCTION("TRIM(REGEXREPLACE(D2272, ""[0-9]+[a-f]?\."", """"))"),"")</f>
        <v/>
      </c>
      <c r="I2272" s="172" t="str">
        <f>IFERROR(__xludf.DUMMYFUNCTION("TRIM(REGEXREPLACE(E2272, ""[0-9]+[a-f]?\."", """"))"),"")</f>
        <v/>
      </c>
      <c r="J2272" s="172" t="str">
        <f t="shared" ref="J2272:L2272" si="597">$F2272 &amp; ". " &amp;G2272</f>
        <v>574. If you were to sell the ${hoh_livestock_act_name} you consumed, how much would you sell them for in CFA?</v>
      </c>
      <c r="K2272" s="172" t="str">
        <f t="shared" si="597"/>
        <v>574. </v>
      </c>
      <c r="L2272" s="172" t="str">
        <f t="shared" si="597"/>
        <v>574. </v>
      </c>
    </row>
    <row r="2273" hidden="1">
      <c r="A2273" s="255" t="s">
        <v>1064</v>
      </c>
      <c r="B2273" s="261" t="s">
        <v>6795</v>
      </c>
      <c r="C2273" s="261" t="s">
        <v>6796</v>
      </c>
      <c r="D2273" s="261" t="s">
        <v>6797</v>
      </c>
      <c r="E2273" s="261" t="s">
        <v>6798</v>
      </c>
    </row>
    <row r="2274" hidden="1">
      <c r="A2274" s="172"/>
      <c r="B2274" s="174"/>
      <c r="C2274" s="174"/>
      <c r="D2274" s="174"/>
      <c r="E2274" s="174"/>
    </row>
    <row r="2275">
      <c r="A2275" s="253" t="s">
        <v>246</v>
      </c>
      <c r="B2275" s="254" t="s">
        <v>6818</v>
      </c>
      <c r="C2275" s="254" t="s">
        <v>4876</v>
      </c>
      <c r="D2275" s="254" t="s">
        <v>4877</v>
      </c>
      <c r="E2275" s="254" t="s">
        <v>4878</v>
      </c>
      <c r="F2275" s="182">
        <v>575.0</v>
      </c>
      <c r="G2275" s="172" t="str">
        <f>IFERROR(__xludf.DUMMYFUNCTION("TRIM(REGEXREPLACE(C2275, ""[0-9]+[a-f]?\."", """"))"),"In the past three months, how much did you spend on food and health expense for all of your animals (in CFA)?")</f>
        <v>In the past three months, how much did you spend on food and health expense for all of your animals (in CFA)?</v>
      </c>
      <c r="H2275" s="172" t="str">
        <f>IFERROR(__xludf.DUMMYFUNCTION("TRIM(REGEXREPLACE(D2275, ""[0-9]+[a-f]?\."", """"))"),"Au cours des trois derniers mois, combien avez-vous dépensé en frais de nourriture et de santé pour tous vos animaux (en CFA) ?")</f>
        <v>Au cours des trois derniers mois, combien avez-vous dépensé en frais de nourriture et de santé pour tous vos animaux (en CFA) ?</v>
      </c>
      <c r="I2275" s="172" t="str">
        <f>IFERROR(__xludf.DUMMYFUNCTION("TRIM(REGEXREPLACE(E2275, ""[0-9]+[a-f]?\."", """"))"),"Nawa kuka kashe akan abinci da kiwon lafiyar dukkan dabbobinku (a sefa) ?")</f>
        <v>Nawa kuka kashe akan abinci da kiwon lafiyar dukkan dabbobinku (a sefa) ?</v>
      </c>
      <c r="J2275" s="172" t="str">
        <f t="shared" ref="J2275:L2275" si="598">$F2275 &amp; ". " &amp;G2275</f>
        <v>575. In the past three months, how much did you spend on food and health expense for all of your animals (in CFA)?</v>
      </c>
      <c r="K2275" s="172" t="str">
        <f t="shared" si="598"/>
        <v>575. Au cours des trois derniers mois, combien avez-vous dépensé en frais de nourriture et de santé pour tous vos animaux (en CFA) ?</v>
      </c>
      <c r="L2275" s="172" t="str">
        <f t="shared" si="598"/>
        <v>575. Nawa kuka kashe akan abinci da kiwon lafiyar dukkan dabbobinku (a sefa) ?</v>
      </c>
    </row>
    <row r="2276">
      <c r="A2276" s="207" t="s">
        <v>41</v>
      </c>
      <c r="B2276" s="208" t="s">
        <v>6819</v>
      </c>
      <c r="C2276" s="208" t="s">
        <v>4880</v>
      </c>
      <c r="D2276" s="208" t="s">
        <v>4881</v>
      </c>
      <c r="E2276" s="208" t="s">
        <v>4882</v>
      </c>
      <c r="F2276" s="182">
        <v>576.0</v>
      </c>
      <c r="G2276" s="172" t="str">
        <f>IFERROR(__xludf.DUMMYFUNCTION("TRIM(REGEXREPLACE(C2276, ""[0-9]+[a-f]?\."", """"))"),"When thinking about the past three months, I would like to ask you about how many days a typical week people in your household worked. We know people may work more during some weeks rather than others, please think about what happens during most weeks.")</f>
        <v>When thinking about the past three months, I would like to ask you about how many days a typical week people in your household worked. We know people may work more during some weeks rather than others, please think about what happens during most weeks.</v>
      </c>
      <c r="H2276" s="172" t="str">
        <f>IFERROR(__xludf.DUMMYFUNCTION("TRIM(REGEXREPLACE(D2276, ""[0-9]+[a-f]?\."", """"))"),"En pensant aux trois derniers mois, j'aimerais vous demander combien de jours par semaine normale les membres de votre ménage ont travaillé. Nous savons que les gens peuvent travailler plus pendant certaines semaines plutôt que d'autres, veuillez penser à"&amp;" ce qui se passe pendant la plupart des semaines.")</f>
        <v>En pensant aux trois derniers mois, j'aimerais vous demander combien de jours par semaine normale les membres de votre ménage ont travaillé. Nous savons que les gens peuvent travailler plus pendant certaines semaines plutôt que d'autres, veuillez penser à ce qui se passe pendant la plupart des semaines.</v>
      </c>
      <c r="I2276" s="172" t="str">
        <f>IFERROR(__xludf.DUMMYFUNCTION("TRIM(REGEXREPLACE(E2276, ""[0-9]+[a-f]?\."", """"))"),"Tuna da watanni uku da suka wuce. Ina son in tambaye ku game da yawan kwanaki da ƴan gidanku ke yin aiki a cikin sati na yau da kullun. Mun san da mutane na iya yin aiki a cikin wani sati fiye da wani satin, amma yi tunanin abinda ke kasancewa a yawancin "&amp;"makonni.")</f>
        <v>Tuna da watanni uku da suka wuce. Ina son in tambaye ku game da yawan kwanaki da ƴan gidanku ke yin aiki a cikin sati na yau da kullun. Mun san da mutane na iya yin aiki a cikin wani sati fiye da wani satin, amma yi tunanin abinda ke kasancewa a yawancin makonni.</v>
      </c>
      <c r="J2276" s="172" t="str">
        <f t="shared" ref="J2276:L2276" si="599">$F2276 &amp; ". " &amp;G2276</f>
        <v>576. When thinking about the past three months, I would like to ask you about how many days a typical week people in your household worked. We know people may work more during some weeks rather than others, please think about what happens during most weeks.</v>
      </c>
      <c r="K2276" s="172" t="str">
        <f t="shared" si="599"/>
        <v>576. En pensant aux trois derniers mois, j'aimerais vous demander combien de jours par semaine normale les membres de votre ménage ont travaillé. Nous savons que les gens peuvent travailler plus pendant certaines semaines plutôt que d'autres, veuillez penser à ce qui se passe pendant la plupart des semaines.</v>
      </c>
      <c r="L2276" s="172" t="str">
        <f t="shared" si="599"/>
        <v>576. Tuna da watanni uku da suka wuce. Ina son in tambaye ku game da yawan kwanaki da ƴan gidanku ke yin aiki a cikin sati na yau da kullun. Mun san da mutane na iya yin aiki a cikin wani sati fiye da wani satin, amma yi tunanin abinda ke kasancewa a yawancin makonni.</v>
      </c>
    </row>
    <row r="2277">
      <c r="A2277" s="253" t="s">
        <v>246</v>
      </c>
      <c r="B2277" s="254" t="s">
        <v>6820</v>
      </c>
      <c r="C2277" s="254" t="s">
        <v>4884</v>
      </c>
      <c r="D2277" s="254" t="s">
        <v>4885</v>
      </c>
      <c r="E2277" s="254" t="s">
        <v>4886</v>
      </c>
      <c r="F2277" s="182">
        <v>577.0</v>
      </c>
      <c r="G2277" s="172" t="str">
        <f>IFERROR(__xludf.DUMMYFUNCTION("TRIM(REGEXREPLACE(C2277, ""[0-9]+[a-f]?\."", """"))"),"How many days did people in your household work to care for your animals in a typical week in the past three months?")</f>
        <v>How many days did people in your household work to care for your animals in a typical week in the past three months?</v>
      </c>
      <c r="H2277" s="172" t="str">
        <f>IFERROR(__xludf.DUMMYFUNCTION("TRIM(REGEXREPLACE(D2277, ""[0-9]+[a-f]?\."", """"))"),"Dans les trois derniers mois, au cours d'une semaine normale, combien de jours les membres de votre ménage ont-ils travaillé pour s'occuper de vos animaux ?")</f>
        <v>Dans les trois derniers mois, au cours d'une semaine normale, combien de jours les membres de votre ménage ont-ils travaillé pour s'occuper de vos animaux ?</v>
      </c>
      <c r="I2277" s="172" t="str">
        <f>IFERROR(__xludf.DUMMYFUNCTION("TRIM(REGEXREPLACE(E2277, ""[0-9]+[a-f]?\."", """"))"),"A cikin watanni uku da suka wuce, kwana nawa a cikin sati mutanen gidanku suka yi aiki don kula da bisashenku?")</f>
        <v>A cikin watanni uku da suka wuce, kwana nawa a cikin sati mutanen gidanku suka yi aiki don kula da bisashenku?</v>
      </c>
      <c r="J2277" s="172" t="str">
        <f t="shared" ref="J2277:L2277" si="600">$F2277 &amp; ". " &amp;G2277</f>
        <v>577. How many days did people in your household work to care for your animals in a typical week in the past three months?</v>
      </c>
      <c r="K2277" s="172" t="str">
        <f t="shared" si="600"/>
        <v>577. Dans les trois derniers mois, au cours d'une semaine normale, combien de jours les membres de votre ménage ont-ils travaillé pour s'occuper de vos animaux ?</v>
      </c>
      <c r="L2277" s="172" t="str">
        <f t="shared" si="600"/>
        <v>577. A cikin watanni uku da suka wuce, kwana nawa a cikin sati mutanen gidanku suka yi aiki don kula da bisashenku?</v>
      </c>
    </row>
    <row r="2278">
      <c r="A2278" s="215" t="s">
        <v>353</v>
      </c>
      <c r="B2278" s="216" t="s">
        <v>6821</v>
      </c>
      <c r="C2278" s="216" t="s">
        <v>4890</v>
      </c>
      <c r="D2278" s="216" t="s">
        <v>4891</v>
      </c>
      <c r="E2278" s="216" t="s">
        <v>4892</v>
      </c>
      <c r="F2278" s="182">
        <v>578.0</v>
      </c>
      <c r="G2278" s="172" t="str">
        <f>IFERROR(__xludf.DUMMYFUNCTION("TRIM(REGEXREPLACE(C2278, ""[0-9]+[a-f]?\."", """"))"),"In the past three months, did you hire anyone outside your household to care for your animals?")</f>
        <v>In the past three months, did you hire anyone outside your household to care for your animals?</v>
      </c>
      <c r="H2278" s="172" t="str">
        <f>IFERROR(__xludf.DUMMYFUNCTION("TRIM(REGEXREPLACE(D2278, ""[0-9]+[a-f]?\."", """"))"),"Au cours des trois derniers mois, avez-vous embauché quelqu'un en dehors de votre ménage pour s'occuper de vos animaux ?")</f>
        <v>Au cours des trois derniers mois, avez-vous embauché quelqu'un en dehors de votre ménage pour s'occuper de vos animaux ?</v>
      </c>
      <c r="I2278" s="172" t="str">
        <f>IFERROR(__xludf.DUMMYFUNCTION("TRIM(REGEXREPLACE(E2278, ""[0-9]+[a-f]?\."", """"))"),"A cikin watanni uku da suka wuce, Ko kun ɗauki wani wanda ba ɗan gidanku ba don kula da dabbobinku?")</f>
        <v>A cikin watanni uku da suka wuce, Ko kun ɗauki wani wanda ba ɗan gidanku ba don kula da dabbobinku?</v>
      </c>
      <c r="J2278" s="172" t="str">
        <f t="shared" ref="J2278:L2278" si="601">$F2278 &amp; ". " &amp;G2278</f>
        <v>578. In the past three months, did you hire anyone outside your household to care for your animals?</v>
      </c>
      <c r="K2278" s="172" t="str">
        <f t="shared" si="601"/>
        <v>578. Au cours des trois derniers mois, avez-vous embauché quelqu'un en dehors de votre ménage pour s'occuper de vos animaux ?</v>
      </c>
      <c r="L2278" s="172" t="str">
        <f t="shared" si="601"/>
        <v>578. A cikin watanni uku da suka wuce, Ko kun ɗauki wani wanda ba ɗan gidanku ba don kula da dabbobinku?</v>
      </c>
    </row>
    <row r="2279">
      <c r="A2279" s="253" t="s">
        <v>246</v>
      </c>
      <c r="B2279" s="254" t="s">
        <v>6822</v>
      </c>
      <c r="C2279" s="254" t="s">
        <v>4894</v>
      </c>
      <c r="D2279" s="254" t="s">
        <v>4895</v>
      </c>
      <c r="E2279" s="254" t="s">
        <v>4896</v>
      </c>
      <c r="F2279" s="182">
        <v>579.0</v>
      </c>
      <c r="G2279" s="172" t="str">
        <f>IFERROR(__xludf.DUMMYFUNCTION("TRIM(REGEXREPLACE(C2279, ""[0-9]+[a-f]?\."", """"))"),"In the last 3 months, for how many weeks did you hire people to care for your livestock?")</f>
        <v>In the last 3 months, for how many weeks did you hire people to care for your livestock?</v>
      </c>
      <c r="H2279" s="172" t="str">
        <f>IFERROR(__xludf.DUMMYFUNCTION("TRIM(REGEXREPLACE(D2279, ""[0-9]+[a-f]?\."", """"))"),"Au cours des trois derniers mois, combien de semaines avez-vous embauché des personnes pour s'occuper de votre bétail ?")</f>
        <v>Au cours des trois derniers mois, combien de semaines avez-vous embauché des personnes pour s'occuper de votre bétail ?</v>
      </c>
      <c r="I2279" s="172" t="str">
        <f>IFERROR(__xludf.DUMMYFUNCTION("TRIM(REGEXREPLACE(E2279, ""[0-9]+[a-f]?\."", """"))"),"A cikin watanni 3 da suka wuce, sati nawa kuka dauki ƴan aiki don kula da dabbobinku?")</f>
        <v>A cikin watanni 3 da suka wuce, sati nawa kuka dauki ƴan aiki don kula da dabbobinku?</v>
      </c>
      <c r="J2279" s="172" t="str">
        <f t="shared" ref="J2279:L2279" si="602">$F2279 &amp; ". " &amp;G2279</f>
        <v>579. In the last 3 months, for how many weeks did you hire people to care for your livestock?</v>
      </c>
      <c r="K2279" s="172" t="str">
        <f t="shared" si="602"/>
        <v>579. Au cours des trois derniers mois, combien de semaines avez-vous embauché des personnes pour s'occuper de votre bétail ?</v>
      </c>
      <c r="L2279" s="172" t="str">
        <f t="shared" si="602"/>
        <v>579. A cikin watanni 3 da suka wuce, sati nawa kuka dauki ƴan aiki don kula da dabbobinku?</v>
      </c>
    </row>
    <row r="2280">
      <c r="A2280" s="253" t="s">
        <v>246</v>
      </c>
      <c r="B2280" s="254" t="s">
        <v>6823</v>
      </c>
      <c r="C2280" s="254" t="s">
        <v>4900</v>
      </c>
      <c r="D2280" s="254" t="s">
        <v>4901</v>
      </c>
      <c r="E2280" s="254" t="s">
        <v>4902</v>
      </c>
      <c r="F2280" s="182">
        <v>580.0</v>
      </c>
      <c r="G2280" s="172" t="str">
        <f>IFERROR(__xludf.DUMMYFUNCTION("TRIM(REGEXREPLACE(C2280, ""[0-9]+[a-f]?\."", """"))"),"What was the weekly wage paid to people who care for your animals, or how much would you pay in CFA?")</f>
        <v>What was the weekly wage paid to people who care for your animals, or how much would you pay in CFA?</v>
      </c>
      <c r="H2280" s="172" t="str">
        <f>IFERROR(__xludf.DUMMYFUNCTION("TRIM(REGEXREPLACE(D2280, ""[0-9]+[a-f]?\."", """"))"),"Quel était les frais hebdomadaire payés aux personnes qui s'occupent de vos animaux, ou combien paieriez-vous en CFA ?")</f>
        <v>Quel était les frais hebdomadaire payés aux personnes qui s'occupent de vos animaux, ou combien paieriez-vous en CFA ?</v>
      </c>
      <c r="I2280" s="172" t="str">
        <f>IFERROR(__xludf.DUMMYFUNCTION("TRIM(REGEXREPLACE(E2280, ""[0-9]+[a-f]?\."", """"))"),"105 a. Nawa albashin mako-mako na wannan mutanen da ke kula da dabbobinku a CFA?")</f>
        <v>105 a. Nawa albashin mako-mako na wannan mutanen da ke kula da dabbobinku a CFA?</v>
      </c>
      <c r="J2280" s="172" t="str">
        <f t="shared" ref="J2280:L2280" si="603">$F2280 &amp; ". " &amp;G2280</f>
        <v>580. What was the weekly wage paid to people who care for your animals, or how much would you pay in CFA?</v>
      </c>
      <c r="K2280" s="172" t="str">
        <f t="shared" si="603"/>
        <v>580. Quel était les frais hebdomadaire payés aux personnes qui s'occupent de vos animaux, ou combien paieriez-vous en CFA ?</v>
      </c>
      <c r="L2280" s="172" t="str">
        <f t="shared" si="603"/>
        <v>580. 105 a. Nawa albashin mako-mako na wannan mutanen da ke kula da dabbobinku a CFA?</v>
      </c>
    </row>
    <row r="2281" hidden="1">
      <c r="A2281" s="188" t="s">
        <v>68</v>
      </c>
      <c r="B2281" s="189" t="s">
        <v>6824</v>
      </c>
      <c r="C2281" s="280"/>
      <c r="D2281" s="190"/>
      <c r="E2281" s="190"/>
    </row>
    <row r="2282">
      <c r="A2282" s="215" t="s">
        <v>353</v>
      </c>
      <c r="B2282" s="216" t="s">
        <v>6825</v>
      </c>
      <c r="C2282" s="216" t="s">
        <v>4907</v>
      </c>
      <c r="D2282" s="216" t="s">
        <v>4908</v>
      </c>
      <c r="E2282" s="216" t="s">
        <v>4909</v>
      </c>
      <c r="F2282" s="182">
        <v>581.0</v>
      </c>
      <c r="G2282" s="172" t="str">
        <f>IFERROR(__xludf.DUMMYFUNCTION("TRIM(REGEXREPLACE(C2282, ""[0-9]+[a-f]?\."", """"))"),"You paid ${hoh_hire_livestock_total} in CFA for people to care for your animals, is this correct?")</f>
        <v>You paid ${hoh_hire_livestock_total} in CFA for people to care for your animals, is this correct?</v>
      </c>
      <c r="H2282" s="172" t="str">
        <f>IFERROR(__xludf.DUMMYFUNCTION("TRIM(REGEXREPLACE(D2282, ""[0-9]+[a-f]?\."", """"))"),"Vous avez payé ${hoh_hire_livestock_total} (en CFA) aux personnes qui s'occupent de vos animaux, est-ce exact ?")</f>
        <v>Vous avez payé ${hoh_hire_livestock_total} (en CFA) aux personnes qui s'occupent de vos animaux, est-ce exact ?</v>
      </c>
      <c r="I2282" s="172" t="str">
        <f>IFERROR(__xludf.DUMMYFUNCTION("TRIM(REGEXREPLACE(E2282, ""[0-9]+[a-f]?\."", """"))"),"${hoh_hire_livestock_total} (a sefa) kuka biya, ko daidai ne?")</f>
        <v>${hoh_hire_livestock_total} (a sefa) kuka biya, ko daidai ne?</v>
      </c>
      <c r="J2282" s="172" t="str">
        <f t="shared" ref="J2282:L2282" si="604">$F2282 &amp; ". " &amp;G2282</f>
        <v>581. You paid ${hoh_hire_livestock_total} in CFA for people to care for your animals, is this correct?</v>
      </c>
      <c r="K2282" s="172" t="str">
        <f t="shared" si="604"/>
        <v>581. Vous avez payé ${hoh_hire_livestock_total} (en CFA) aux personnes qui s'occupent de vos animaux, est-ce exact ?</v>
      </c>
      <c r="L2282" s="172" t="str">
        <f t="shared" si="604"/>
        <v>581. ${hoh_hire_livestock_total} (a sefa) kuka biya, ko daidai ne?</v>
      </c>
    </row>
    <row r="2283">
      <c r="A2283" s="215" t="s">
        <v>353</v>
      </c>
      <c r="B2283" s="216" t="s">
        <v>6826</v>
      </c>
      <c r="C2283" s="216" t="s">
        <v>6827</v>
      </c>
      <c r="D2283" s="216" t="s">
        <v>6828</v>
      </c>
      <c r="E2283" s="216" t="s">
        <v>6829</v>
      </c>
      <c r="F2283" s="182">
        <v>582.0</v>
      </c>
      <c r="G2283" s="172" t="str">
        <f>IFERROR(__xludf.DUMMYFUNCTION("TRIM(REGEXREPLACE(C2283, ""[0-9]+[a-f]?\."", """"))"),"In the past three months, did any member of your household care for livestock owned by other people?")</f>
        <v>In the past three months, did any member of your household care for livestock owned by other people?</v>
      </c>
      <c r="H2283" s="172" t="str">
        <f>IFERROR(__xludf.DUMMYFUNCTION("TRIM(REGEXREPLACE(D2283, ""[0-9]+[a-f]?\."", """"))"),"Au cours des trois derniers mois, un membre de votre ménage s'est-il occupé du bétail appartenant à d'autres personnes ?")</f>
        <v>Au cours des trois derniers mois, un membre de votre ménage s'est-il occupé du bétail appartenant à d'autres personnes ?</v>
      </c>
      <c r="I2283" s="172" t="str">
        <f>IFERROR(__xludf.DUMMYFUNCTION("TRIM(REGEXREPLACE(E2283, ""[0-9]+[a-f]?\."", """"))"),"A cikin watanni uku da suka wuce, akwai wani ɗan gidanku da ya kula da dabbobin wasu mutane?")</f>
        <v>A cikin watanni uku da suka wuce, akwai wani ɗan gidanku da ya kula da dabbobin wasu mutane?</v>
      </c>
      <c r="J2283" s="172" t="str">
        <f t="shared" ref="J2283:L2283" si="605">$F2283 &amp; ". " &amp;G2283</f>
        <v>582. In the past three months, did any member of your household care for livestock owned by other people?</v>
      </c>
      <c r="K2283" s="172" t="str">
        <f t="shared" si="605"/>
        <v>582. Au cours des trois derniers mois, un membre de votre ménage s'est-il occupé du bétail appartenant à d'autres personnes ?</v>
      </c>
      <c r="L2283" s="172" t="str">
        <f t="shared" si="605"/>
        <v>582. A cikin watanni uku da suka wuce, akwai wani ɗan gidanku da ya kula da dabbobin wasu mutane?</v>
      </c>
    </row>
    <row r="2284">
      <c r="A2284" s="253" t="s">
        <v>246</v>
      </c>
      <c r="B2284" s="254" t="s">
        <v>6830</v>
      </c>
      <c r="C2284" s="254" t="s">
        <v>4918</v>
      </c>
      <c r="D2284" s="254" t="s">
        <v>4919</v>
      </c>
      <c r="E2284" s="254" t="s">
        <v>4920</v>
      </c>
      <c r="F2284" s="182">
        <v>583.0</v>
      </c>
      <c r="G2284" s="172" t="str">
        <f>IFERROR(__xludf.DUMMYFUNCTION("TRIM(REGEXREPLACE(C2284, ""[0-9]+[a-f]?\."", """"))"),"In a typical week, how many days did they do this job?")</f>
        <v>In a typical week, how many days did they do this job?</v>
      </c>
      <c r="H2284" s="172" t="str">
        <f>IFERROR(__xludf.DUMMYFUNCTION("TRIM(REGEXREPLACE(D2284, ""[0-9]+[a-f]?\."", """"))"),"Au cours d'une semaine normale, combien de jours ont-ils fait ce travail ?")</f>
        <v>Au cours d'une semaine normale, combien de jours ont-ils fait ce travail ?</v>
      </c>
      <c r="I2284" s="172" t="str">
        <f>IFERROR(__xludf.DUMMYFUNCTION("TRIM(REGEXREPLACE(E2284, ""[0-9]+[a-f]?\."", """"))"),"A cikin mako, kwana nawa suka yi wannan aikin?")</f>
        <v>A cikin mako, kwana nawa suka yi wannan aikin?</v>
      </c>
      <c r="J2284" s="172" t="str">
        <f t="shared" ref="J2284:L2284" si="606">$F2284 &amp; ". " &amp;G2284</f>
        <v>583. In a typical week, how many days did they do this job?</v>
      </c>
      <c r="K2284" s="172" t="str">
        <f t="shared" si="606"/>
        <v>583. Au cours d'une semaine normale, combien de jours ont-ils fait ce travail ?</v>
      </c>
      <c r="L2284" s="172" t="str">
        <f t="shared" si="606"/>
        <v>583. A cikin mako, kwana nawa suka yi wannan aikin?</v>
      </c>
    </row>
    <row r="2285">
      <c r="A2285" s="253" t="s">
        <v>246</v>
      </c>
      <c r="B2285" s="254" t="s">
        <v>6831</v>
      </c>
      <c r="C2285" s="254" t="s">
        <v>4922</v>
      </c>
      <c r="D2285" s="254" t="s">
        <v>4923</v>
      </c>
      <c r="E2285" s="254" t="s">
        <v>4924</v>
      </c>
      <c r="F2285" s="182">
        <v>584.0</v>
      </c>
      <c r="G2285" s="172" t="str">
        <f>IFERROR(__xludf.DUMMYFUNCTION("TRIM(REGEXREPLACE(C2285, ""[0-9]+[a-f]?\."", """"))"),"What was the daily wage paid to household members who cared for livestock owned by other people?")</f>
        <v>What was the daily wage paid to household members who cared for livestock owned by other people?</v>
      </c>
      <c r="H2285" s="172" t="str">
        <f>IFERROR(__xludf.DUMMYFUNCTION("TRIM(REGEXREPLACE(D2285, ""[0-9]+[a-f]?\."", """"))"),"Quel étaient les frais journaliers payés aux membres de votre ménage qui s'occupent des animaux du bétail appartenant à d'autres personnes en CFA ?")</f>
        <v>Quel étaient les frais journaliers payés aux membres de votre ménage qui s'occupent des animaux du bétail appartenant à d'autres personnes en CFA ?</v>
      </c>
      <c r="I2285" s="172" t="str">
        <f>IFERROR(__xludf.DUMMYFUNCTION("TRIM(REGEXREPLACE(E2285, ""[0-9]+[a-f]?\."", """"))"),"Nawa ne biyan wuni na ƴan gida masu kula da dabbobin wasu mutane (a kuɗin CFA)?")</f>
        <v>Nawa ne biyan wuni na ƴan gida masu kula da dabbobin wasu mutane (a kuɗin CFA)?</v>
      </c>
      <c r="J2285" s="172" t="str">
        <f t="shared" ref="J2285:L2285" si="607">$F2285 &amp; ". " &amp;G2285</f>
        <v>584. What was the daily wage paid to household members who cared for livestock owned by other people?</v>
      </c>
      <c r="K2285" s="172" t="str">
        <f t="shared" si="607"/>
        <v>584. Quel étaient les frais journaliers payés aux membres de votre ménage qui s'occupent des animaux du bétail appartenant à d'autres personnes en CFA ?</v>
      </c>
      <c r="L2285" s="172" t="str">
        <f t="shared" si="607"/>
        <v>584. Nawa ne biyan wuni na ƴan gida masu kula da dabbobin wasu mutane (a kuɗin CFA)?</v>
      </c>
    </row>
    <row r="2286">
      <c r="A2286" s="207" t="s">
        <v>41</v>
      </c>
      <c r="B2286" s="208" t="s">
        <v>6832</v>
      </c>
      <c r="C2286" s="208" t="s">
        <v>4926</v>
      </c>
      <c r="D2286" s="208" t="s">
        <v>4927</v>
      </c>
      <c r="E2286" s="208" t="s">
        <v>4928</v>
      </c>
      <c r="F2286" s="182">
        <v>585.0</v>
      </c>
      <c r="G2286" s="172" t="str">
        <f>IFERROR(__xludf.DUMMYFUNCTION("TRIM(REGEXREPLACE(C2286, ""[0-9]+[a-f]?\."", """"))"),"Now we will ask about other forms of income people in your household may have earned in the past three months.")</f>
        <v>Now we will ask about other forms of income people in your household may have earned in the past three months.</v>
      </c>
      <c r="H2286" s="172" t="str">
        <f>IFERROR(__xludf.DUMMYFUNCTION("TRIM(REGEXREPLACE(D2286, ""[0-9]+[a-f]?\."", """"))"),"Nous allons maintenant poser des questions sur les autres formes de revenus que les membres de votre ménage ont pu gagner au cours des trois derniers mois.")</f>
        <v>Nous allons maintenant poser des questions sur les autres formes de revenus que les membres de votre ménage ont pu gagner au cours des trois derniers mois.</v>
      </c>
      <c r="I2286" s="172" t="str">
        <f>IFERROR(__xludf.DUMMYFUNCTION("TRIM(REGEXREPLACE(E2286, ""[0-9]+[a-f]?\."", """"))"),"Yanzu za mu yi tambayoyi bisa wasu hanyoyin samun kuɗin shiga da yan gidanku a cikin watanni uku da suka gabata.")</f>
        <v>Yanzu za mu yi tambayoyi bisa wasu hanyoyin samun kuɗin shiga da yan gidanku a cikin watanni uku da suka gabata.</v>
      </c>
      <c r="J2286" s="172" t="str">
        <f t="shared" ref="J2286:L2286" si="608">$F2286 &amp; ". " &amp;G2286</f>
        <v>585. Now we will ask about other forms of income people in your household may have earned in the past three months.</v>
      </c>
      <c r="K2286" s="172" t="str">
        <f t="shared" si="608"/>
        <v>585. Nous allons maintenant poser des questions sur les autres formes de revenus que les membres de votre ménage ont pu gagner au cours des trois derniers mois.</v>
      </c>
      <c r="L2286" s="172" t="str">
        <f t="shared" si="608"/>
        <v>585. Yanzu za mu yi tambayoyi bisa wasu hanyoyin samun kuɗin shiga da yan gidanku a cikin watanni uku da suka gabata.</v>
      </c>
    </row>
    <row r="2287">
      <c r="A2287" s="215" t="s">
        <v>353</v>
      </c>
      <c r="B2287" s="216" t="s">
        <v>6833</v>
      </c>
      <c r="C2287" s="216" t="s">
        <v>4933</v>
      </c>
      <c r="D2287" s="216" t="s">
        <v>4934</v>
      </c>
      <c r="E2287" s="216" t="s">
        <v>4935</v>
      </c>
      <c r="F2287" s="182">
        <v>586.0</v>
      </c>
      <c r="G2287" s="172" t="str">
        <f>IFERROR(__xludf.DUMMYFUNCTION("TRIM(REGEXREPLACE(C2287, ""[0-9]+[a-f]?\."", """"))"),"Do you or another member of your household own land that is currently not used for agriculture, outside of your current home?")</f>
        <v>Do you or another member of your household own land that is currently not used for agriculture, outside of your current home?</v>
      </c>
      <c r="H2287" s="172" t="str">
        <f>IFERROR(__xludf.DUMMYFUNCTION("TRIM(REGEXREPLACE(D2287, ""[0-9]+[a-f]?\."", """"))"),"Est-ce que vous ou un autre membre de votre ménage possédez des terres qui ne sont actuellement pas utilisées pour l'agriculture, en dehors de votre domicile actuel ?")</f>
        <v>Est-ce que vous ou un autre membre de votre ménage possédez des terres qui ne sont actuellement pas utilisées pour l'agriculture, en dehors de votre domicile actuel ?</v>
      </c>
      <c r="I2287" s="172" t="str">
        <f>IFERROR(__xludf.DUMMYFUNCTION("TRIM(REGEXREPLACE(E2287, ""[0-9]+[a-f]?\."", """"))"),"Shin kai ko wani na gidanku kuna da wasu hilaye wanda ba na noma ba bancin gidanku da kuke ciki a halin yanzu?")</f>
        <v>Shin kai ko wani na gidanku kuna da wasu hilaye wanda ba na noma ba bancin gidanku da kuke ciki a halin yanzu?</v>
      </c>
      <c r="J2287" s="172" t="str">
        <f t="shared" ref="J2287:L2287" si="609">$F2287 &amp; ". " &amp;G2287</f>
        <v>586. Do you or another member of your household own land that is currently not used for agriculture, outside of your current home?</v>
      </c>
      <c r="K2287" s="172" t="str">
        <f t="shared" si="609"/>
        <v>586. Est-ce que vous ou un autre membre de votre ménage possédez des terres qui ne sont actuellement pas utilisées pour l'agriculture, en dehors de votre domicile actuel ?</v>
      </c>
      <c r="L2287" s="172" t="str">
        <f t="shared" si="609"/>
        <v>586. Shin kai ko wani na gidanku kuna da wasu hilaye wanda ba na noma ba bancin gidanku da kuke ciki a halin yanzu?</v>
      </c>
    </row>
    <row r="2288">
      <c r="A2288" s="253" t="s">
        <v>246</v>
      </c>
      <c r="B2288" s="254" t="s">
        <v>6834</v>
      </c>
      <c r="C2288" s="254" t="s">
        <v>4938</v>
      </c>
      <c r="D2288" s="254" t="s">
        <v>4939</v>
      </c>
      <c r="E2288" s="254" t="s">
        <v>4940</v>
      </c>
      <c r="F2288" s="182">
        <v>587.0</v>
      </c>
      <c r="G2288" s="172" t="str">
        <f>IFERROR(__xludf.DUMMYFUNCTION("TRIM(REGEXREPLACE(C2288, ""[0-9]+[a-f]?\."", """"))"),"In the past three months, what is the total revenue from rent of land or other property in CFA?")</f>
        <v>In the past three months, what is the total revenue from rent of land or other property in CFA?</v>
      </c>
      <c r="H2288" s="172" t="str">
        <f>IFERROR(__xludf.DUMMYFUNCTION("TRIM(REGEXREPLACE(D2288, ""[0-9]+[a-f]?\."", """"))"),"Au cours des trois derniers mois, quel a été le revenu total provenant de la location d'un terrain ou d'une autre propriété en CFA?")</f>
        <v>Au cours des trois derniers mois, quel a été le revenu total provenant de la location d'un terrain ou d'une autre propriété en CFA?</v>
      </c>
      <c r="I2288" s="172" t="str">
        <f>IFERROR(__xludf.DUMMYFUNCTION("TRIM(REGEXREPLACE(E2288, ""[0-9]+[a-f]?\."", """"))"),"A cikin watanni uku da suka gabata, menene jimillar kuɗin da aka samu ta hanyar hayan filaye ko wasu kadarori (a sefa)?")</f>
        <v>A cikin watanni uku da suka gabata, menene jimillar kuɗin da aka samu ta hanyar hayan filaye ko wasu kadarori (a sefa)?</v>
      </c>
      <c r="J2288" s="172" t="str">
        <f t="shared" ref="J2288:L2288" si="610">$F2288 &amp; ". " &amp;G2288</f>
        <v>587. In the past three months, what is the total revenue from rent of land or other property in CFA?</v>
      </c>
      <c r="K2288" s="172" t="str">
        <f t="shared" si="610"/>
        <v>587. Au cours des trois derniers mois, quel a été le revenu total provenant de la location d'un terrain ou d'une autre propriété en CFA?</v>
      </c>
      <c r="L2288" s="172" t="str">
        <f t="shared" si="610"/>
        <v>587. A cikin watanni uku da suka gabata, menene jimillar kuɗin da aka samu ta hanyar hayan filaye ko wasu kadarori (a sefa)?</v>
      </c>
    </row>
    <row r="2289">
      <c r="A2289" s="253" t="s">
        <v>246</v>
      </c>
      <c r="B2289" s="254" t="s">
        <v>6835</v>
      </c>
      <c r="C2289" s="254" t="s">
        <v>4942</v>
      </c>
      <c r="D2289" s="254" t="s">
        <v>4944</v>
      </c>
      <c r="E2289" s="254" t="s">
        <v>4946</v>
      </c>
      <c r="F2289" s="182">
        <v>588.0</v>
      </c>
      <c r="G2289" s="172" t="str">
        <f>IFERROR(__xludf.DUMMYFUNCTION("TRIM(REGEXREPLACE(C2289, ""[0-9]+[a-f]?\."", """"))"),"In the past three months, what is the total value of interest from loans you have given to others in CFA?")</f>
        <v>In the past three months, what is the total value of interest from loans you have given to others in CFA?</v>
      </c>
      <c r="H2289" s="172" t="str">
        <f>IFERROR(__xludf.DUMMYFUNCTION("TRIM(REGEXREPLACE(D2289, ""[0-9]+[a-f]?\."", """"))"),"Au cours des trois derniers mois, quelle est la valeur totale des intérêts des prêts que vous avez accordés à d'autres en CFA?")</f>
        <v>Au cours des trois derniers mois, quelle est la valeur totale des intérêts des prêts que vous avez accordés à d'autres en CFA?</v>
      </c>
      <c r="I2289" s="172" t="str">
        <f>IFERROR(__xludf.DUMMYFUNCTION("TRIM(REGEXREPLACE(E2289, ""[0-9]+[a-f]?\."", """"))"),"A cikin watanni uku da suka gabata, nawa ne jimillar kudin ruwan basussuka da kuka baiwa wasu (a sefa)?")</f>
        <v>A cikin watanni uku da suka gabata, nawa ne jimillar kudin ruwan basussuka da kuka baiwa wasu (a sefa)?</v>
      </c>
      <c r="J2289" s="172" t="str">
        <f t="shared" ref="J2289:L2289" si="611">$F2289 &amp; ". " &amp;G2289</f>
        <v>588. In the past three months, what is the total value of interest from loans you have given to others in CFA?</v>
      </c>
      <c r="K2289" s="172" t="str">
        <f t="shared" si="611"/>
        <v>588. Au cours des trois derniers mois, quelle est la valeur totale des intérêts des prêts que vous avez accordés à d'autres en CFA?</v>
      </c>
      <c r="L2289" s="172" t="str">
        <f t="shared" si="611"/>
        <v>588. A cikin watanni uku da suka gabata, nawa ne jimillar kudin ruwan basussuka da kuka baiwa wasu (a sefa)?</v>
      </c>
    </row>
    <row r="2290" hidden="1">
      <c r="A2290" s="188" t="s">
        <v>118</v>
      </c>
      <c r="B2290" s="189" t="s">
        <v>6836</v>
      </c>
      <c r="C2290" s="190"/>
      <c r="D2290" s="190"/>
      <c r="E2290" s="190"/>
    </row>
    <row r="2291" hidden="1">
      <c r="A2291" s="188" t="s">
        <v>68</v>
      </c>
      <c r="B2291" s="189" t="s">
        <v>6837</v>
      </c>
      <c r="C2291" s="190"/>
      <c r="D2291" s="190"/>
      <c r="E2291" s="190"/>
    </row>
    <row r="2292" hidden="1">
      <c r="A2292" s="172"/>
      <c r="B2292" s="174"/>
      <c r="C2292" s="174"/>
      <c r="D2292" s="174"/>
      <c r="E2292" s="174"/>
    </row>
    <row r="2293" hidden="1">
      <c r="A2293" s="188" t="s">
        <v>118</v>
      </c>
      <c r="B2293" s="189" t="s">
        <v>6838</v>
      </c>
      <c r="C2293" s="190"/>
      <c r="D2293" s="190"/>
      <c r="E2293" s="190"/>
    </row>
    <row r="2294">
      <c r="A2294" s="215" t="s">
        <v>353</v>
      </c>
      <c r="B2294" s="216" t="s">
        <v>6839</v>
      </c>
      <c r="C2294" s="216" t="s">
        <v>4965</v>
      </c>
      <c r="D2294" s="216" t="s">
        <v>4966</v>
      </c>
      <c r="E2294" s="216" t="s">
        <v>4967</v>
      </c>
      <c r="F2294" s="182">
        <v>589.0</v>
      </c>
      <c r="G2294" s="172" t="str">
        <f>IFERROR(__xludf.DUMMYFUNCTION("TRIM(REGEXREPLACE(C2294, ""[0-9]+[a-f]?\."", """"))"),"Does anyone in the household fully, or partly own and operate an income generating activity that is not farming or herding? (i.e. a shop where you sell goods, restaurant, butcher shop)?")</f>
        <v>Does anyone in the household fully, or partly own and operate an income generating activity that is not farming or herding? (i.e. a shop where you sell goods, restaurant, butcher shop)?</v>
      </c>
      <c r="H2294" s="172" t="str">
        <f>IFERROR(__xludf.DUMMYFUNCTION("TRIM(REGEXREPLACE(D2294, ""[0-9]+[a-f]?\."", """"))"),"Quelqu'un dans le ménage possède-t-il entièrement ou partiellement une activité génératrice de revenus autre que l'agriculture ou l'élevage ? (C'est-à-dire un magasin où vous vendez des marchandises, un restaurant, une boucherie) ?")</f>
        <v>Quelqu'un dans le ménage possède-t-il entièrement ou partiellement une activité génératrice de revenus autre que l'agriculture ou l'élevage ? (C'est-à-dire un magasin où vous vendez des marchandises, un restaurant, une boucherie) ?</v>
      </c>
      <c r="I2294" s="172" t="str">
        <f>IFERROR(__xludf.DUMMYFUNCTION("TRIM(REGEXREPLACE(E2294, ""[0-9]+[a-f]?\."", """"))"),"Ko akwai wani ɗan gidanku mai sana'a wanda jarin gaba daya nashi ko na hadin gwiwa ne banda noma da kiyo? ( kantin saida kaya, gidan abinci, fawa)?")</f>
        <v>Ko akwai wani ɗan gidanku mai sana'a wanda jarin gaba daya nashi ko na hadin gwiwa ne banda noma da kiyo? ( kantin saida kaya, gidan abinci, fawa)?</v>
      </c>
      <c r="J2294" s="172" t="str">
        <f t="shared" ref="J2294:L2294" si="612">$F2294 &amp; ". " &amp;G2294</f>
        <v>589. Does anyone in the household fully, or partly own and operate an income generating activity that is not farming or herding? (i.e. a shop where you sell goods, restaurant, butcher shop)?</v>
      </c>
      <c r="K2294" s="172" t="str">
        <f t="shared" si="612"/>
        <v>589. Quelqu'un dans le ménage possède-t-il entièrement ou partiellement une activité génératrice de revenus autre que l'agriculture ou l'élevage ? (C'est-à-dire un magasin où vous vendez des marchandises, un restaurant, une boucherie) ?</v>
      </c>
      <c r="L2294" s="172" t="str">
        <f t="shared" si="612"/>
        <v>589. Ko akwai wani ɗan gidanku mai sana'a wanda jarin gaba daya nashi ko na hadin gwiwa ne banda noma da kiyo? ( kantin saida kaya, gidan abinci, fawa)?</v>
      </c>
    </row>
    <row r="2295">
      <c r="A2295" s="215" t="s">
        <v>5061</v>
      </c>
      <c r="B2295" s="216" t="s">
        <v>6840</v>
      </c>
      <c r="C2295" s="216" t="s">
        <v>4969</v>
      </c>
      <c r="D2295" s="216" t="s">
        <v>4970</v>
      </c>
      <c r="E2295" s="216" t="s">
        <v>4971</v>
      </c>
      <c r="F2295" s="182">
        <v>590.0</v>
      </c>
      <c r="G2295" s="172" t="str">
        <f>IFERROR(__xludf.DUMMYFUNCTION("TRIM(REGEXREPLACE(C2295, ""[0-9]+[a-f]?\."", """"))"),"What type of business is this?")</f>
        <v>What type of business is this?</v>
      </c>
      <c r="H2295" s="172" t="str">
        <f>IFERROR(__xludf.DUMMYFUNCTION("TRIM(REGEXREPLACE(D2295, ""[0-9]+[a-f]?\."", """"))"),"Quel type d'entreprise est-ce?")</f>
        <v>Quel type d'entreprise est-ce?</v>
      </c>
      <c r="I2295" s="172" t="str">
        <f>IFERROR(__xludf.DUMMYFUNCTION("TRIM(REGEXREPLACE(E2295, ""[0-9]+[a-f]?\."", """"))"),"Wane irin kasuwanci ne?")</f>
        <v>Wane irin kasuwanci ne?</v>
      </c>
      <c r="J2295" s="172" t="str">
        <f t="shared" ref="J2295:L2295" si="613">$F2295 &amp; ". " &amp;G2295</f>
        <v>590. What type of business is this?</v>
      </c>
      <c r="K2295" s="172" t="str">
        <f t="shared" si="613"/>
        <v>590. Quel type d'entreprise est-ce?</v>
      </c>
      <c r="L2295" s="172" t="str">
        <f t="shared" si="613"/>
        <v>590. Wane irin kasuwanci ne?</v>
      </c>
    </row>
    <row r="2296">
      <c r="A2296" s="246" t="s">
        <v>231</v>
      </c>
      <c r="B2296" s="247" t="s">
        <v>6841</v>
      </c>
      <c r="C2296" s="247" t="s">
        <v>4975</v>
      </c>
      <c r="D2296" s="247" t="s">
        <v>4976</v>
      </c>
      <c r="E2296" s="247" t="s">
        <v>4977</v>
      </c>
      <c r="F2296" s="182">
        <v>591.0</v>
      </c>
      <c r="G2296" s="172" t="str">
        <f>IFERROR(__xludf.DUMMYFUNCTION("TRIM(REGEXREPLACE(C2296, ""[0-9]+[a-f]?\."", """"))"),"Specify other")</f>
        <v>Specify other</v>
      </c>
      <c r="H2296" s="172" t="str">
        <f>IFERROR(__xludf.DUMMYFUNCTION("TRIM(REGEXREPLACE(D2296, ""[0-9]+[a-f]?\."", """"))"),"Autre à préciser :")</f>
        <v>Autre à préciser :</v>
      </c>
      <c r="I2296" s="172" t="str">
        <f>IFERROR(__xludf.DUMMYFUNCTION("TRIM(REGEXREPLACE(E2296, ""[0-9]+[a-f]?\."", """"))"),"Baiyana wani abu daban:")</f>
        <v>Baiyana wani abu daban:</v>
      </c>
      <c r="J2296" s="172" t="str">
        <f t="shared" ref="J2296:L2296" si="614">$F2296 &amp; ". " &amp;G2296</f>
        <v>591. Specify other</v>
      </c>
      <c r="K2296" s="172" t="str">
        <f t="shared" si="614"/>
        <v>591. Autre à préciser :</v>
      </c>
      <c r="L2296" s="172" t="str">
        <f t="shared" si="614"/>
        <v>591. Baiyana wani abu daban:</v>
      </c>
    </row>
    <row r="2297" hidden="1">
      <c r="A2297" s="188" t="s">
        <v>68</v>
      </c>
      <c r="B2297" s="189" t="s">
        <v>6842</v>
      </c>
      <c r="C2297" s="190"/>
      <c r="D2297" s="190"/>
      <c r="E2297" s="190"/>
    </row>
    <row r="2298">
      <c r="A2298" s="215" t="s">
        <v>353</v>
      </c>
      <c r="B2298" s="216" t="s">
        <v>6843</v>
      </c>
      <c r="C2298" s="216" t="s">
        <v>6844</v>
      </c>
      <c r="D2298" s="216" t="s">
        <v>6845</v>
      </c>
      <c r="E2298" s="216" t="s">
        <v>6846</v>
      </c>
      <c r="F2298" s="182">
        <v>592.0</v>
      </c>
      <c r="G2298" s="172" t="str">
        <f>IFERROR(__xludf.DUMMYFUNCTION("TRIM(REGEXREPLACE(C2298, ""[0-9]+[a-f]?\."", """"))"),"Do you have a permanent location (i.e. building)?")</f>
        <v>Do you have a permanent location (i.e. building)?</v>
      </c>
      <c r="H2298" s="172" t="str">
        <f>IFERROR(__xludf.DUMMYFUNCTION("TRIM(REGEXREPLACE(D2298, ""[0-9]+[a-f]?\."", """"))"),"Avez-vous un emplacement permanent (c'est-à-dire un bâtiment) ?")</f>
        <v>Avez-vous un emplacement permanent (c'est-à-dire un bâtiment) ?</v>
      </c>
      <c r="I2298" s="172" t="str">
        <f>IFERROR(__xludf.DUMMYFUNCTION("TRIM(REGEXREPLACE(E2298, ""[0-9]+[a-f]?\."", """"))"),"Kuna da wurin dindindin (kamar gini)?")</f>
        <v>Kuna da wurin dindindin (kamar gini)?</v>
      </c>
      <c r="J2298" s="172" t="str">
        <f t="shared" ref="J2298:L2298" si="615">$F2298 &amp; ". " &amp;G2298</f>
        <v>592. Do you have a permanent location (i.e. building)?</v>
      </c>
      <c r="K2298" s="172" t="str">
        <f t="shared" si="615"/>
        <v>592. Avez-vous un emplacement permanent (c'est-à-dire un bâtiment) ?</v>
      </c>
      <c r="L2298" s="172" t="str">
        <f t="shared" si="615"/>
        <v>592. Kuna da wurin dindindin (kamar gini)?</v>
      </c>
    </row>
    <row r="2299">
      <c r="A2299" s="253" t="s">
        <v>246</v>
      </c>
      <c r="B2299" s="254" t="s">
        <v>6847</v>
      </c>
      <c r="C2299" s="254" t="s">
        <v>6848</v>
      </c>
      <c r="D2299" s="254" t="s">
        <v>6849</v>
      </c>
      <c r="E2299" s="254" t="s">
        <v>6850</v>
      </c>
      <c r="F2299" s="182">
        <v>593.0</v>
      </c>
      <c r="G2299" s="172" t="str">
        <f>IFERROR(__xludf.DUMMYFUNCTION("TRIM(REGEXREPLACE(C2299, ""[0-9]+[a-f]?\."", """"))"),"How many people outside of your household do you employ in this business?")</f>
        <v>How many people outside of your household do you employ in this business?</v>
      </c>
      <c r="H2299" s="172" t="str">
        <f>IFERROR(__xludf.DUMMYFUNCTION("TRIM(REGEXREPLACE(D2299, ""[0-9]+[a-f]?\."", """"))"),"Combien de personnes en dehors de votre ménage employez-vous dans cette entreprise ?")</f>
        <v>Combien de personnes en dehors de votre ménage employez-vous dans cette entreprise ?</v>
      </c>
      <c r="I2299" s="172" t="str">
        <f>IFERROR(__xludf.DUMMYFUNCTION("TRIM(REGEXREPLACE(E2299, ""[0-9]+[a-f]?\."", """"))"),"Mutane nawa ne kuka dauka aiki banda ƴan gidan a wannan kasuwancin?")</f>
        <v>Mutane nawa ne kuka dauka aiki banda ƴan gidan a wannan kasuwancin?</v>
      </c>
      <c r="J2299" s="172" t="str">
        <f t="shared" ref="J2299:L2299" si="616">$F2299 &amp; ". " &amp;G2299</f>
        <v>593. How many people outside of your household do you employ in this business?</v>
      </c>
      <c r="K2299" s="172" t="str">
        <f t="shared" si="616"/>
        <v>593. Combien de personnes en dehors de votre ménage employez-vous dans cette entreprise ?</v>
      </c>
      <c r="L2299" s="172" t="str">
        <f t="shared" si="616"/>
        <v>593. Mutane nawa ne kuka dauka aiki banda ƴan gidan a wannan kasuwancin?</v>
      </c>
    </row>
    <row r="2300">
      <c r="A2300" s="253" t="s">
        <v>246</v>
      </c>
      <c r="B2300" s="254" t="s">
        <v>6851</v>
      </c>
      <c r="C2300" s="254" t="s">
        <v>6852</v>
      </c>
      <c r="D2300" s="254" t="s">
        <v>6853</v>
      </c>
      <c r="E2300" s="254" t="s">
        <v>6854</v>
      </c>
      <c r="F2300" s="182">
        <v>594.0</v>
      </c>
      <c r="G2300" s="172" t="str">
        <f>IFERROR(__xludf.DUMMYFUNCTION("TRIM(REGEXREPLACE(C2300, ""[0-9]+[a-f]?\."", """"))"),"How much do you pay per day for people to work in this business in CFA?")</f>
        <v>How much do you pay per day for people to work in this business in CFA?</v>
      </c>
      <c r="H2300" s="172" t="str">
        <f>IFERROR(__xludf.DUMMYFUNCTION("TRIM(REGEXREPLACE(D2300, ""[0-9]+[a-f]?\."", """"))"),"Combien payez-vous par jour pour que les gens travaillent dans cette entreprise (en CFA) ?")</f>
        <v>Combien payez-vous par jour pour que les gens travaillent dans cette entreprise (en CFA) ?</v>
      </c>
      <c r="I2300" s="172" t="str">
        <f>IFERROR(__xludf.DUMMYFUNCTION("TRIM(REGEXREPLACE(E2300, ""[0-9]+[a-f]?\."", """"))"),"Nawa kuke biyan su a wuni (a sefa) ?")</f>
        <v>Nawa kuke biyan su a wuni (a sefa) ?</v>
      </c>
      <c r="J2300" s="172" t="str">
        <f t="shared" ref="J2300:L2300" si="617">$F2300 &amp; ". " &amp;G2300</f>
        <v>594. How much do you pay per day for people to work in this business in CFA?</v>
      </c>
      <c r="K2300" s="172" t="str">
        <f t="shared" si="617"/>
        <v>594. Combien payez-vous par jour pour que les gens travaillent dans cette entreprise (en CFA) ?</v>
      </c>
      <c r="L2300" s="172" t="str">
        <f t="shared" si="617"/>
        <v>594. Nawa kuke biyan su a wuni (a sefa) ?</v>
      </c>
    </row>
    <row r="2301" hidden="1">
      <c r="A2301" s="172"/>
      <c r="B2301" s="174"/>
      <c r="C2301" s="174"/>
      <c r="D2301" s="174"/>
      <c r="E2301" s="174"/>
    </row>
    <row r="2302" hidden="1">
      <c r="A2302" s="255" t="s">
        <v>1042</v>
      </c>
      <c r="B2302" s="256" t="s">
        <v>6855</v>
      </c>
      <c r="C2302" s="256" t="s">
        <v>6856</v>
      </c>
      <c r="D2302" s="257"/>
      <c r="E2302" s="257"/>
    </row>
    <row r="2303" hidden="1">
      <c r="A2303" s="188" t="s">
        <v>68</v>
      </c>
      <c r="B2303" s="189" t="s">
        <v>6857</v>
      </c>
      <c r="C2303" s="190"/>
      <c r="D2303" s="190"/>
      <c r="E2303" s="190"/>
    </row>
    <row r="2304" hidden="1">
      <c r="A2304" s="188" t="s">
        <v>68</v>
      </c>
      <c r="B2304" s="189" t="s">
        <v>6858</v>
      </c>
      <c r="C2304" s="190"/>
      <c r="D2304" s="190"/>
      <c r="E2304" s="190"/>
    </row>
    <row r="2305" hidden="1">
      <c r="A2305" s="188" t="s">
        <v>68</v>
      </c>
      <c r="B2305" s="189" t="s">
        <v>6859</v>
      </c>
      <c r="C2305" s="190"/>
      <c r="D2305" s="190"/>
      <c r="E2305" s="190"/>
    </row>
    <row r="2306">
      <c r="A2306" s="253" t="s">
        <v>246</v>
      </c>
      <c r="B2306" s="254" t="s">
        <v>6860</v>
      </c>
      <c r="C2306" s="254" t="s">
        <v>6861</v>
      </c>
      <c r="D2306" s="254" t="s">
        <v>6862</v>
      </c>
      <c r="E2306" s="254" t="s">
        <v>6863</v>
      </c>
      <c r="F2306" s="182">
        <v>595.0</v>
      </c>
      <c r="G2306" s="172" t="str">
        <f>IFERROR(__xludf.DUMMYFUNCTION("TRIM(REGEXREPLACE(C2306, ""[0-9]+[a-f]?\."", """"))"),"In a typical week during the past three months, how many days did ${hoh_biz_name} work in the household business?")</f>
        <v>In a typical week during the past three months, how many days did ${hoh_biz_name} work in the household business?</v>
      </c>
      <c r="H2306" s="172" t="str">
        <f>IFERROR(__xludf.DUMMYFUNCTION("TRIM(REGEXREPLACE(D2306, ""[0-9]+[a-f]?\."", """"))"),"Au cours d'une semaine normale au cours des trois derniers mois, combien de jours ${hoh_biz_name} a-t-il travaillé dans l'entreprise familiale ?")</f>
        <v>Au cours d'une semaine normale au cours des trois derniers mois, combien de jours ${hoh_biz_name} a-t-il travaillé dans l'entreprise familiale ?</v>
      </c>
      <c r="I2306" s="172" t="str">
        <f>IFERROR(__xludf.DUMMYFUNCTION("TRIM(REGEXREPLACE(E2306, ""[0-9]+[a-f]?\."", """"))"),"Kwanaki nawa a cikin kowane mako guda a cikin watanni uku da suka gabata, ${hoh_biz_name} yayi aiki a cikin kasuwancin gida?")</f>
        <v>Kwanaki nawa a cikin kowane mako guda a cikin watanni uku da suka gabata, ${hoh_biz_name} yayi aiki a cikin kasuwancin gida?</v>
      </c>
      <c r="J2306" s="172" t="str">
        <f t="shared" ref="J2306:L2306" si="618">$F2306 &amp; ". " &amp;G2306</f>
        <v>595. In a typical week during the past three months, how many days did ${hoh_biz_name} work in the household business?</v>
      </c>
      <c r="K2306" s="172" t="str">
        <f t="shared" si="618"/>
        <v>595. Au cours d'une semaine normale au cours des trois derniers mois, combien de jours ${hoh_biz_name} a-t-il travaillé dans l'entreprise familiale ?</v>
      </c>
      <c r="L2306" s="172" t="str">
        <f t="shared" si="618"/>
        <v>595. Kwanaki nawa a cikin kowane mako guda a cikin watanni uku da suka gabata, ${hoh_biz_name} yayi aiki a cikin kasuwancin gida?</v>
      </c>
    </row>
    <row r="2307" hidden="1">
      <c r="A2307" s="255" t="s">
        <v>1064</v>
      </c>
      <c r="B2307" s="261" t="s">
        <v>6855</v>
      </c>
      <c r="C2307" s="261" t="s">
        <v>6856</v>
      </c>
      <c r="D2307" s="262"/>
      <c r="E2307" s="262"/>
    </row>
    <row r="2308" hidden="1">
      <c r="A2308" s="188" t="s">
        <v>118</v>
      </c>
      <c r="B2308" s="189" t="s">
        <v>6864</v>
      </c>
      <c r="C2308" s="190"/>
      <c r="D2308" s="190"/>
      <c r="E2308" s="190"/>
    </row>
    <row r="2309" hidden="1">
      <c r="A2309" s="188" t="s">
        <v>68</v>
      </c>
      <c r="B2309" s="189" t="s">
        <v>6865</v>
      </c>
      <c r="C2309" s="190"/>
      <c r="D2309" s="190"/>
      <c r="E2309" s="190"/>
    </row>
    <row r="2310">
      <c r="A2310" s="253" t="s">
        <v>246</v>
      </c>
      <c r="B2310" s="254" t="s">
        <v>6866</v>
      </c>
      <c r="C2310" s="254" t="s">
        <v>6867</v>
      </c>
      <c r="D2310" s="254" t="s">
        <v>6868</v>
      </c>
      <c r="E2310" s="254" t="s">
        <v>6869</v>
      </c>
      <c r="F2310" s="182">
        <v>596.0</v>
      </c>
      <c r="G2310" s="172" t="str">
        <f>IFERROR(__xludf.DUMMYFUNCTION("TRIM(REGEXREPLACE(C2310, ""[0-9]+[a-f]?\."", """"))"),"Thinking about all of the revenues from this business in the past three months, what was the total amount of money coming in from this business in the last three months?")</f>
        <v>Thinking about all of the revenues from this business in the past three months, what was the total amount of money coming in from this business in the last three months?</v>
      </c>
      <c r="H2310" s="172" t="str">
        <f>IFERROR(__xludf.DUMMYFUNCTION("TRIM(REGEXREPLACE(D2310, ""[0-9]+[a-f]?\."", """"))"),"Pense à tous les revenus de cette entreprise au cours des trois derniers mois, quel a été le montant total provenant de cette entreprise au cours des trois derniers mois ?")</f>
        <v>Pense à tous les revenus de cette entreprise au cours des trois derniers mois, quel a été le montant total provenant de cette entreprise au cours des trois derniers mois ?</v>
      </c>
      <c r="I2310" s="172" t="str">
        <f>IFERROR(__xludf.DUMMYFUNCTION("TRIM(REGEXREPLACE(E2310, ""[0-9]+[a-f]?\."", """"))"),"Tuna da dukkan kuɗaɗen shiga na wannan kasuwancin a cikin watanni uku da suka wuce, nawa ne yawan kuɗin da aka samu daga wannan kasuwancin a cikin watanni uku da suka wuce?")</f>
        <v>Tuna da dukkan kuɗaɗen shiga na wannan kasuwancin a cikin watanni uku da suka wuce, nawa ne yawan kuɗin da aka samu daga wannan kasuwancin a cikin watanni uku da suka wuce?</v>
      </c>
      <c r="J2310" s="172" t="str">
        <f t="shared" ref="J2310:L2310" si="619">$F2310 &amp; ". " &amp;G2310</f>
        <v>596. Thinking about all of the revenues from this business in the past three months, what was the total amount of money coming in from this business in the last three months?</v>
      </c>
      <c r="K2310" s="172" t="str">
        <f t="shared" si="619"/>
        <v>596. Pense à tous les revenus de cette entreprise au cours des trois derniers mois, quel a été le montant total provenant de cette entreprise au cours des trois derniers mois ?</v>
      </c>
      <c r="L2310" s="172" t="str">
        <f t="shared" si="619"/>
        <v>596. Tuna da dukkan kuɗaɗen shiga na wannan kasuwancin a cikin watanni uku da suka wuce, nawa ne yawan kuɗin da aka samu daga wannan kasuwancin a cikin watanni uku da suka wuce?</v>
      </c>
    </row>
    <row r="2311">
      <c r="A2311" s="253" t="s">
        <v>246</v>
      </c>
      <c r="B2311" s="254" t="s">
        <v>6870</v>
      </c>
      <c r="C2311" s="254" t="s">
        <v>6871</v>
      </c>
      <c r="D2311" s="254" t="s">
        <v>6872</v>
      </c>
      <c r="E2311" s="254" t="s">
        <v>6873</v>
      </c>
      <c r="F2311" s="182">
        <v>597.0</v>
      </c>
      <c r="G2311" s="172" t="str">
        <f>IFERROR(__xludf.DUMMYFUNCTION("TRIM(REGEXREPLACE(C2311, ""[0-9]+[a-f]?\."", """"))"),"Thinking about all of the the expenses from this business, what was the total amount of money you spent on costs related to this business in the last three months?")</f>
        <v>Thinking about all of the the expenses from this business, what was the total amount of money you spent on costs related to this business in the last three months?</v>
      </c>
      <c r="H2311" s="172" t="str">
        <f>IFERROR(__xludf.DUMMYFUNCTION("TRIM(REGEXREPLACE(D2311, ""[0-9]+[a-f]?\."", """"))"),"Pense à toutes les dépenses de cette entreprise, quel a été le montant total que vous avez dépensé pour les coûts liés à cette entreprise au cours des trois derniers mois ?")</f>
        <v>Pense à toutes les dépenses de cette entreprise, quel a été le montant total que vous avez dépensé pour les coûts liés à cette entreprise au cours des trois derniers mois ?</v>
      </c>
      <c r="I2311" s="172" t="str">
        <f>IFERROR(__xludf.DUMMYFUNCTION("TRIM(REGEXREPLACE(E2311, ""[0-9]+[a-f]?\."", """"))"),"Tuna da dukkan kuɗin da aka kashe don wannan kasuwancin, nawa ne jimillar kuɗin da kuka kashe a kan wannan kasuwancin a cikin watanni uku da suka wuce?")</f>
        <v>Tuna da dukkan kuɗin da aka kashe don wannan kasuwancin, nawa ne jimillar kuɗin da kuka kashe a kan wannan kasuwancin a cikin watanni uku da suka wuce?</v>
      </c>
      <c r="J2311" s="172" t="str">
        <f t="shared" ref="J2311:L2311" si="620">$F2311 &amp; ". " &amp;G2311</f>
        <v>597. Thinking about all of the the expenses from this business, what was the total amount of money you spent on costs related to this business in the last three months?</v>
      </c>
      <c r="K2311" s="172" t="str">
        <f t="shared" si="620"/>
        <v>597. Pense à toutes les dépenses de cette entreprise, quel a été le montant total que vous avez dépensé pour les coûts liés à cette entreprise au cours des trois derniers mois ?</v>
      </c>
      <c r="L2311" s="172" t="str">
        <f t="shared" si="620"/>
        <v>597. Tuna da dukkan kuɗin da aka kashe don wannan kasuwancin, nawa ne jimillar kuɗin da kuka kashe a kan wannan kasuwancin a cikin watanni uku da suka wuce?</v>
      </c>
    </row>
    <row r="2312" hidden="1">
      <c r="A2312" s="188" t="s">
        <v>68</v>
      </c>
      <c r="B2312" s="189" t="s">
        <v>6874</v>
      </c>
      <c r="C2312" s="190"/>
      <c r="D2312" s="190"/>
      <c r="E2312" s="190"/>
    </row>
    <row r="2313">
      <c r="A2313" s="215" t="s">
        <v>353</v>
      </c>
      <c r="B2313" s="216" t="s">
        <v>6875</v>
      </c>
      <c r="C2313" s="216" t="s">
        <v>5034</v>
      </c>
      <c r="D2313" s="216" t="s">
        <v>5035</v>
      </c>
      <c r="E2313" s="216" t="s">
        <v>5036</v>
      </c>
      <c r="F2313" s="182">
        <v>598.0</v>
      </c>
      <c r="G2313" s="172" t="str">
        <f>IFERROR(__xludf.DUMMYFUNCTION("TRIM(REGEXREPLACE(C2313, ""[0-9]+[a-f]?\."", """"))"),"Thinking about all the revenue and expense related to this business during the past three months, you said that the net income from this business for your household is ${hoh_biz_income}. Is that correct?")</f>
        <v>Thinking about all the revenue and expense related to this business during the past three months, you said that the net income from this business for your household is ${hoh_biz_income}. Is that correct?</v>
      </c>
      <c r="H2313" s="172" t="str">
        <f>IFERROR(__xludf.DUMMYFUNCTION("TRIM(REGEXREPLACE(D2313, ""[0-9]+[a-f]?\."", """"))"),"En pensant à tous les revenus de cette entreprise et à toutes les dépenses, vous dites que la bénéfice net de cette entreprise au cours des trois derniers mois est ${hoh_biz_income}, est-ce exact ?")</f>
        <v>En pensant à tous les revenus de cette entreprise et à toutes les dépenses, vous dites que la bénéfice net de cette entreprise au cours des trois derniers mois est ${hoh_biz_income}, est-ce exact ?</v>
      </c>
      <c r="I2313" s="172" t="str">
        <f>IFERROR(__xludf.DUMMYFUNCTION("TRIM(REGEXREPLACE(E2313, ""[0-9]+[a-f]?\."", """"))"),"Ku tuna da dukkan kuɗaɗen shiga da kashe kashen kuɗi da suka shafi wannan kasuwancin a cikin watanni uku da suka wuce. Kun ce yawan riban wannan kasuwancin shine ${hoh_biz_income}. Ko hakan daidai ne?")</f>
        <v>Ku tuna da dukkan kuɗaɗen shiga da kashe kashen kuɗi da suka shafi wannan kasuwancin a cikin watanni uku da suka wuce. Kun ce yawan riban wannan kasuwancin shine ${hoh_biz_income}. Ko hakan daidai ne?</v>
      </c>
      <c r="J2313" s="172" t="str">
        <f t="shared" ref="J2313:L2313" si="621">$F2313 &amp; ". " &amp;G2313</f>
        <v>598. Thinking about all the revenue and expense related to this business during the past three months, you said that the net income from this business for your household is ${hoh_biz_income}. Is that correct?</v>
      </c>
      <c r="K2313" s="172" t="str">
        <f t="shared" si="621"/>
        <v>598. En pensant à tous les revenus de cette entreprise et à toutes les dépenses, vous dites que la bénéfice net de cette entreprise au cours des trois derniers mois est ${hoh_biz_income}, est-ce exact ?</v>
      </c>
      <c r="L2313" s="172" t="str">
        <f t="shared" si="621"/>
        <v>598. Ku tuna da dukkan kuɗaɗen shiga da kashe kashen kuɗi da suka shafi wannan kasuwancin a cikin watanni uku da suka wuce. Kun ce yawan riban wannan kasuwancin shine ${hoh_biz_income}. Ko hakan daidai ne?</v>
      </c>
    </row>
    <row r="2314">
      <c r="A2314" s="207" t="s">
        <v>41</v>
      </c>
      <c r="B2314" s="208" t="s">
        <v>6876</v>
      </c>
      <c r="C2314" s="208" t="s">
        <v>5044</v>
      </c>
      <c r="D2314" s="208" t="s">
        <v>5045</v>
      </c>
      <c r="E2314" s="208" t="s">
        <v>5046</v>
      </c>
      <c r="F2314" s="182">
        <v>599.0</v>
      </c>
      <c r="G2314" s="172" t="str">
        <f>IFERROR(__xludf.DUMMYFUNCTION("TRIM(REGEXREPLACE(C2314, ""[0-9]+[a-f]?\."", """"))"),"We have discussed work done by members of your household in agriculture, in husbandry, in a business owned by your family.")</f>
        <v>We have discussed work done by members of your household in agriculture, in husbandry, in a business owned by your family.</v>
      </c>
      <c r="H2314" s="172" t="str">
        <f>IFERROR(__xludf.DUMMYFUNCTION("TRIM(REGEXREPLACE(D2314, ""[0-9]+[a-f]?\."", """"))"),"Nous avons discuté du travail effectué par les membres de votre ménage dans l'agriculture, l'élevage, dans une entreprise appartenant à votre famille.")</f>
        <v>Nous avons discuté du travail effectué par les membres de votre ménage dans l'agriculture, l'élevage, dans une entreprise appartenant à votre famille.</v>
      </c>
      <c r="I2314" s="172" t="str">
        <f>IFERROR(__xludf.DUMMYFUNCTION("TRIM(REGEXREPLACE(E2314, ""[0-9]+[a-f]?\."", """"))"),"“Mun tattauna bisa ayyukan da ƴan gidanku suka yi a harakar noma da kiwo, kasuwancin da ƴan gidanku suka mallaka.")</f>
        <v>“Mun tattauna bisa ayyukan da ƴan gidanku suka yi a harakar noma da kiwo, kasuwancin da ƴan gidanku suka mallaka.</v>
      </c>
      <c r="J2314" s="172" t="str">
        <f t="shared" ref="J2314:L2314" si="622">$F2314 &amp; ". " &amp;G2314</f>
        <v>599. We have discussed work done by members of your household in agriculture, in husbandry, in a business owned by your family.</v>
      </c>
      <c r="K2314" s="172" t="str">
        <f t="shared" si="622"/>
        <v>599. Nous avons discuté du travail effectué par les membres de votre ménage dans l'agriculture, l'élevage, dans une entreprise appartenant à votre famille.</v>
      </c>
      <c r="L2314" s="172" t="str">
        <f t="shared" si="622"/>
        <v>599. “Mun tattauna bisa ayyukan da ƴan gidanku suka yi a harakar noma da kiwo, kasuwancin da ƴan gidanku suka mallaka.</v>
      </c>
    </row>
    <row r="2315" hidden="1">
      <c r="A2315" s="188" t="s">
        <v>118</v>
      </c>
      <c r="B2315" s="189" t="s">
        <v>6877</v>
      </c>
      <c r="C2315" s="190"/>
      <c r="D2315" s="190"/>
      <c r="E2315" s="190"/>
    </row>
    <row r="2316" hidden="1">
      <c r="A2316" s="255" t="s">
        <v>1042</v>
      </c>
      <c r="B2316" s="256" t="s">
        <v>6878</v>
      </c>
      <c r="C2316" s="256" t="s">
        <v>6879</v>
      </c>
      <c r="D2316" s="256" t="s">
        <v>6880</v>
      </c>
      <c r="E2316" s="256" t="s">
        <v>6881</v>
      </c>
    </row>
    <row r="2317" hidden="1">
      <c r="A2317" s="188" t="s">
        <v>68</v>
      </c>
      <c r="B2317" s="189" t="s">
        <v>6882</v>
      </c>
      <c r="C2317" s="190"/>
      <c r="D2317" s="190"/>
      <c r="E2317" s="190"/>
    </row>
    <row r="2318" hidden="1">
      <c r="A2318" s="188" t="s">
        <v>68</v>
      </c>
      <c r="B2318" s="189" t="s">
        <v>6883</v>
      </c>
      <c r="C2318" s="190"/>
      <c r="D2318" s="190"/>
      <c r="E2318" s="190"/>
    </row>
    <row r="2319">
      <c r="A2319" s="215" t="s">
        <v>353</v>
      </c>
      <c r="B2319" s="216" t="s">
        <v>6884</v>
      </c>
      <c r="C2319" s="216" t="s">
        <v>5058</v>
      </c>
      <c r="D2319" s="216" t="s">
        <v>5059</v>
      </c>
      <c r="E2319" s="216" t="s">
        <v>5060</v>
      </c>
      <c r="F2319" s="182">
        <v>600.0</v>
      </c>
      <c r="G2319" s="172" t="str">
        <f>IFERROR(__xludf.DUMMYFUNCTION("TRIM(REGEXREPLACE(C2319, ""[0-9]+[a-f]?\."", """"))"),"In the past three months, did ${hoh_member_act_name} earn money from any other activity?")</f>
        <v>In the past three months, did ${hoh_member_act_name} earn money from any other activity?</v>
      </c>
      <c r="H2319" s="172" t="str">
        <f>IFERROR(__xludf.DUMMYFUNCTION("TRIM(REGEXREPLACE(D2319, ""[0-9]+[a-f]?\."", """"))"),"Au cours des trois derniers mois, ${hoh_member_act_name} a-t-il gagné de l'argent grâce à une autre activité ?")</f>
        <v>Au cours des trois derniers mois, ${hoh_member_act_name} a-t-il gagné de l'argent grâce à une autre activité ?</v>
      </c>
      <c r="I2319" s="172" t="str">
        <f>IFERROR(__xludf.DUMMYFUNCTION("TRIM(REGEXREPLACE(E2319, ""[0-9]+[a-f]?\."", """"))"),"A cikin watanni uku da suka gabata, ${hoh_member_act_name} ya samu kuɗi daga yin wani aiki?")</f>
        <v>A cikin watanni uku da suka gabata, ${hoh_member_act_name} ya samu kuɗi daga yin wani aiki?</v>
      </c>
      <c r="J2319" s="172" t="str">
        <f t="shared" ref="J2319:L2319" si="623">$F2319 &amp; ". " &amp;G2319</f>
        <v>600. In the past three months, did ${hoh_member_act_name} earn money from any other activity?</v>
      </c>
      <c r="K2319" s="172" t="str">
        <f t="shared" si="623"/>
        <v>600. Au cours des trois derniers mois, ${hoh_member_act_name} a-t-il gagné de l'argent grâce à une autre activité ?</v>
      </c>
      <c r="L2319" s="172" t="str">
        <f t="shared" si="623"/>
        <v>600. A cikin watanni uku da suka gabata, ${hoh_member_act_name} ya samu kuɗi daga yin wani aiki?</v>
      </c>
    </row>
    <row r="2320">
      <c r="A2320" s="215" t="s">
        <v>5061</v>
      </c>
      <c r="B2320" s="216" t="s">
        <v>6885</v>
      </c>
      <c r="C2320" s="216" t="s">
        <v>6886</v>
      </c>
      <c r="D2320" s="216" t="s">
        <v>6887</v>
      </c>
      <c r="E2320" s="216" t="s">
        <v>6888</v>
      </c>
      <c r="F2320" s="182">
        <v>601.0</v>
      </c>
      <c r="G2320" s="172" t="str">
        <f>IFERROR(__xludf.DUMMYFUNCTION("TRIM(REGEXREPLACE(C2320, ""[0-9]+[a-f]?\."", """"))"),"What was the activity?")</f>
        <v>What was the activity?</v>
      </c>
      <c r="H2320" s="172" t="str">
        <f>IFERROR(__xludf.DUMMYFUNCTION("TRIM(REGEXREPLACE(D2320, ""[0-9]+[a-f]?\."", """"))"),"Quelle était l'activité ?")</f>
        <v>Quelle était l'activité ?</v>
      </c>
      <c r="I2320" s="172" t="str">
        <f>IFERROR(__xludf.DUMMYFUNCTION("TRIM(REGEXREPLACE(E2320, ""[0-9]+[a-f]?\."", """"))"),"Menene aikin?")</f>
        <v>Menene aikin?</v>
      </c>
      <c r="J2320" s="172" t="str">
        <f t="shared" ref="J2320:L2320" si="624">$F2320 &amp; ". " &amp;G2320</f>
        <v>601. What was the activity?</v>
      </c>
      <c r="K2320" s="172" t="str">
        <f t="shared" si="624"/>
        <v>601. Quelle était l'activité ?</v>
      </c>
      <c r="L2320" s="172" t="str">
        <f t="shared" si="624"/>
        <v>601. Menene aikin?</v>
      </c>
    </row>
    <row r="2321">
      <c r="A2321" s="246" t="s">
        <v>231</v>
      </c>
      <c r="B2321" s="247" t="s">
        <v>6889</v>
      </c>
      <c r="C2321" s="247" t="s">
        <v>6890</v>
      </c>
      <c r="D2321" s="247" t="s">
        <v>6891</v>
      </c>
      <c r="E2321" s="247" t="s">
        <v>6892</v>
      </c>
      <c r="F2321" s="182">
        <v>602.0</v>
      </c>
      <c r="G2321" s="172" t="str">
        <f>IFERROR(__xludf.DUMMYFUNCTION("TRIM(REGEXREPLACE(C2321, ""[0-9]+[a-f]?\."", """"))"),"Specify the activity")</f>
        <v>Specify the activity</v>
      </c>
      <c r="H2321" s="172" t="str">
        <f>IFERROR(__xludf.DUMMYFUNCTION("TRIM(REGEXREPLACE(D2321, ""[0-9]+[a-f]?\."", """"))"),"Précisez l'activité")</f>
        <v>Précisez l'activité</v>
      </c>
      <c r="I2321" s="172" t="str">
        <f>IFERROR(__xludf.DUMMYFUNCTION("TRIM(REGEXREPLACE(E2321, ""[0-9]+[a-f]?\."", """"))"),"Baiyana aikin")</f>
        <v>Baiyana aikin</v>
      </c>
      <c r="J2321" s="172" t="str">
        <f t="shared" ref="J2321:L2321" si="625">$F2321 &amp; ". " &amp;G2321</f>
        <v>602. Specify the activity</v>
      </c>
      <c r="K2321" s="172" t="str">
        <f t="shared" si="625"/>
        <v>602. Précisez l'activité</v>
      </c>
      <c r="L2321" s="172" t="str">
        <f t="shared" si="625"/>
        <v>602. Baiyana aikin</v>
      </c>
    </row>
    <row r="2322" hidden="1">
      <c r="A2322" s="188" t="s">
        <v>68</v>
      </c>
      <c r="B2322" s="189" t="s">
        <v>6893</v>
      </c>
      <c r="C2322" s="190"/>
      <c r="D2322" s="190"/>
      <c r="E2322" s="190"/>
    </row>
    <row r="2323">
      <c r="A2323" s="253" t="s">
        <v>246</v>
      </c>
      <c r="B2323" s="254" t="s">
        <v>6894</v>
      </c>
      <c r="C2323" s="254" t="s">
        <v>5072</v>
      </c>
      <c r="D2323" s="254" t="s">
        <v>5073</v>
      </c>
      <c r="E2323" s="254" t="s">
        <v>5074</v>
      </c>
      <c r="F2323" s="182">
        <v>603.0</v>
      </c>
      <c r="G2323" s="172" t="str">
        <f>IFERROR(__xludf.DUMMYFUNCTION("TRIM(REGEXREPLACE(C2323, ""[0-9]+[a-f]?\."", """"))"),"How much does ${hoh_member_act_name} earn from this activity during an average week (that they are engaged in ${hoh_member_other_activity_name})?")</f>
        <v>How much does ${hoh_member_act_name} earn from this activity during an average week (that they are engaged in ${hoh_member_other_activity_name})?</v>
      </c>
      <c r="H2323" s="172" t="str">
        <f>IFERROR(__xludf.DUMMYFUNCTION("TRIM(REGEXREPLACE(D2323, ""[0-9]+[a-f]?\."", """"))"),"Combien ${hoh_member_act_name} gagne-t-il grâce à cette activité au cours d'une semaine en moyenne (pendant laquelle il est engagé comme ${hoh_member_other_activity_name}) ?")</f>
        <v>Combien ${hoh_member_act_name} gagne-t-il grâce à cette activité au cours d'une semaine en moyenne (pendant laquelle il est engagé comme ${hoh_member_other_activity_name}) ?</v>
      </c>
      <c r="I2323" s="172" t="str">
        <f>IFERROR(__xludf.DUMMYFUNCTION("TRIM(REGEXREPLACE(E2323, ""[0-9]+[a-f]?\."", """"))"),"A takaice nawa ${hoh_member_act_name} yake samu daga wannan aiki a cikin sati (a lokacin da suke cikin aikin ${hoh_member_other_activity_name})?")</f>
        <v>A takaice nawa ${hoh_member_act_name} yake samu daga wannan aiki a cikin sati (a lokacin da suke cikin aikin ${hoh_member_other_activity_name})?</v>
      </c>
      <c r="J2323" s="172" t="str">
        <f t="shared" ref="J2323:L2323" si="626">$F2323 &amp; ". " &amp;G2323</f>
        <v>603. How much does ${hoh_member_act_name} earn from this activity during an average week (that they are engaged in ${hoh_member_other_activity_name})?</v>
      </c>
      <c r="K2323" s="172" t="str">
        <f t="shared" si="626"/>
        <v>603. Combien ${hoh_member_act_name} gagne-t-il grâce à cette activité au cours d'une semaine en moyenne (pendant laquelle il est engagé comme ${hoh_member_other_activity_name}) ?</v>
      </c>
      <c r="L2323" s="172" t="str">
        <f t="shared" si="626"/>
        <v>603. A takaice nawa ${hoh_member_act_name} yake samu daga wannan aiki a cikin sati (a lokacin da suke cikin aikin ${hoh_member_other_activity_name})?</v>
      </c>
    </row>
    <row r="2324">
      <c r="A2324" s="253" t="s">
        <v>246</v>
      </c>
      <c r="B2324" s="254" t="s">
        <v>6895</v>
      </c>
      <c r="C2324" s="254" t="s">
        <v>6896</v>
      </c>
      <c r="D2324" s="254" t="s">
        <v>6897</v>
      </c>
      <c r="E2324" s="254" t="s">
        <v>6898</v>
      </c>
      <c r="F2324" s="182">
        <v>604.0</v>
      </c>
      <c r="G2324" s="172" t="str">
        <f>IFERROR(__xludf.DUMMYFUNCTION("TRIM(REGEXREPLACE(C2324, ""[0-9]+[a-f]?\."", """"))"),"Think about the past 3 months how many weeks did they engage in ${hoh_member_other_activity_name}?")</f>
        <v>Think about the past 3 months how many weeks did they engage in ${hoh_member_other_activity_name}?</v>
      </c>
      <c r="H2324" s="172" t="str">
        <f>IFERROR(__xludf.DUMMYFUNCTION("TRIM(REGEXREPLACE(D2324, ""[0-9]+[a-f]?\."", """"))"),"Pensez aux 3 derniers mois, combien de semaines ont-ils participé à ${hoh_member_other_activity_name} ?")</f>
        <v>Pensez aux 3 derniers mois, combien de semaines ont-ils participé à ${hoh_member_other_activity_name} ?</v>
      </c>
      <c r="I2324" s="172" t="str">
        <f>IFERROR(__xludf.DUMMYFUNCTION("TRIM(REGEXREPLACE(E2324, ""[0-9]+[a-f]?\."", """"))"),"A watanni 3 da suka gabata, sati nawa suka yi aikin ${hoh_member_other_activity_name}?")</f>
        <v>A watanni 3 da suka gabata, sati nawa suka yi aikin ${hoh_member_other_activity_name}?</v>
      </c>
      <c r="J2324" s="172" t="str">
        <f t="shared" ref="J2324:L2324" si="627">$F2324 &amp; ". " &amp;G2324</f>
        <v>604. Think about the past 3 months how many weeks did they engage in ${hoh_member_other_activity_name}?</v>
      </c>
      <c r="K2324" s="172" t="str">
        <f t="shared" si="627"/>
        <v>604. Pensez aux 3 derniers mois, combien de semaines ont-ils participé à ${hoh_member_other_activity_name} ?</v>
      </c>
      <c r="L2324" s="172" t="str">
        <f t="shared" si="627"/>
        <v>604. A watanni 3 da suka gabata, sati nawa suka yi aikin ${hoh_member_other_activity_name}?</v>
      </c>
    </row>
    <row r="2325">
      <c r="A2325" s="253" t="s">
        <v>246</v>
      </c>
      <c r="B2325" s="254" t="s">
        <v>6899</v>
      </c>
      <c r="C2325" s="254" t="s">
        <v>6900</v>
      </c>
      <c r="D2325" s="254" t="s">
        <v>6901</v>
      </c>
      <c r="E2325" s="254" t="s">
        <v>6902</v>
      </c>
      <c r="F2325" s="182">
        <v>605.0</v>
      </c>
      <c r="G2325" s="172" t="str">
        <f>IFERROR(__xludf.DUMMYFUNCTION("TRIM(REGEXREPLACE(C2325, ""[0-9]+[a-f]?\."", """"))"),"Can you estimate how much ${hoh_member_act_name} contributes to the household common pot in a typical week (excluding labor) including both cash and in goods?")</f>
        <v>Can you estimate how much ${hoh_member_act_name} contributes to the household common pot in a typical week (excluding labor) including both cash and in goods?</v>
      </c>
      <c r="H2325" s="172" t="str">
        <f>IFERROR(__xludf.DUMMYFUNCTION("TRIM(REGEXREPLACE(D2325, ""[0-9]+[a-f]?\."", """"))"),"Pouvez-vous estimer la contribution de ${hoh_member_act_name} au fond commun du ménage au cours d'une semaine normale (hors main-d'œuvre), y compris en espèces et en nature ?")</f>
        <v>Pouvez-vous estimer la contribution de ${hoh_member_act_name} au fond commun du ménage au cours d'une semaine normale (hors main-d'œuvre), y compris en espèces et en nature ?</v>
      </c>
      <c r="I2325" s="172" t="str">
        <f>IFERROR(__xludf.DUMMYFUNCTION("TRIM(REGEXREPLACE(E2325, ""[0-9]+[a-f]?\."", """"))"),"Ko za ku iya kimanta gudunmawar kuɗi da kaya da ${hoh_member_act_name} ya kawo gidan a cikin sati guda (banda aiki)?")</f>
        <v>Ko za ku iya kimanta gudunmawar kuɗi da kaya da ${hoh_member_act_name} ya kawo gidan a cikin sati guda (banda aiki)?</v>
      </c>
      <c r="J2325" s="172" t="str">
        <f t="shared" ref="J2325:L2325" si="628">$F2325 &amp; ". " &amp;G2325</f>
        <v>605. Can you estimate how much ${hoh_member_act_name} contributes to the household common pot in a typical week (excluding labor) including both cash and in goods?</v>
      </c>
      <c r="K2325" s="172" t="str">
        <f t="shared" si="628"/>
        <v>605. Pouvez-vous estimer la contribution de ${hoh_member_act_name} au fond commun du ménage au cours d'une semaine normale (hors main-d'œuvre), y compris en espèces et en nature ?</v>
      </c>
      <c r="L2325" s="172" t="str">
        <f t="shared" si="628"/>
        <v>605. Ko za ku iya kimanta gudunmawar kuɗi da kaya da ${hoh_member_act_name} ya kawo gidan a cikin sati guda (banda aiki)?</v>
      </c>
    </row>
    <row r="2326" hidden="1">
      <c r="A2326" s="255" t="s">
        <v>1064</v>
      </c>
      <c r="B2326" s="261" t="s">
        <v>6878</v>
      </c>
      <c r="C2326" s="261" t="s">
        <v>6879</v>
      </c>
      <c r="D2326" s="261" t="s">
        <v>6880</v>
      </c>
      <c r="E2326" s="261" t="s">
        <v>6881</v>
      </c>
    </row>
    <row r="2327" hidden="1">
      <c r="A2327" s="188" t="s">
        <v>118</v>
      </c>
      <c r="B2327" s="189" t="s">
        <v>6903</v>
      </c>
      <c r="C2327" s="190"/>
      <c r="D2327" s="190"/>
      <c r="E2327" s="190"/>
    </row>
    <row r="2328" hidden="1">
      <c r="A2328" s="188" t="s">
        <v>68</v>
      </c>
      <c r="B2328" s="189" t="s">
        <v>6904</v>
      </c>
      <c r="C2328" s="190"/>
      <c r="D2328" s="190"/>
      <c r="E2328" s="190"/>
    </row>
    <row r="2329" hidden="1">
      <c r="A2329" s="172"/>
      <c r="B2329" s="174"/>
      <c r="C2329" s="174"/>
      <c r="D2329" s="174"/>
      <c r="E2329" s="174"/>
    </row>
    <row r="2330" hidden="1">
      <c r="A2330" s="211" t="s">
        <v>107</v>
      </c>
      <c r="B2330" s="212" t="s">
        <v>6905</v>
      </c>
      <c r="C2330" s="212" t="s">
        <v>6906</v>
      </c>
      <c r="D2330" s="214"/>
      <c r="E2330" s="214"/>
    </row>
    <row r="2331" hidden="1">
      <c r="A2331" s="188" t="s">
        <v>118</v>
      </c>
      <c r="B2331" s="189" t="s">
        <v>6907</v>
      </c>
      <c r="C2331" s="190"/>
      <c r="D2331" s="190"/>
      <c r="E2331" s="190"/>
    </row>
    <row r="2332">
      <c r="A2332" s="215" t="s">
        <v>3423</v>
      </c>
      <c r="B2332" s="216" t="s">
        <v>6908</v>
      </c>
      <c r="C2332" s="216" t="s">
        <v>6909</v>
      </c>
      <c r="D2332" s="216" t="s">
        <v>6910</v>
      </c>
      <c r="E2332" s="216" t="s">
        <v>6911</v>
      </c>
      <c r="F2332" s="182">
        <v>606.0</v>
      </c>
      <c r="G2332" s="172" t="str">
        <f>IFERROR(__xludf.DUMMYFUNCTION("TRIM(REGEXREPLACE(C2332, ""[0-9]+[a-f]?\."", """"))"),"In the past three months, have you or anyone in your household received money from someone who is not a member of your household and who lives elsewhere in Niger (outside your village)?")</f>
        <v>In the past three months, have you or anyone in your household received money from someone who is not a member of your household and who lives elsewhere in Niger (outside your village)?</v>
      </c>
      <c r="H2332" s="172" t="str">
        <f>IFERROR(__xludf.DUMMYFUNCTION("TRIM(REGEXREPLACE(D2332, ""[0-9]+[a-f]?\."", """"))"),"Au cours des trois derniers mois, vous ou un membre de votre ménage avez reçu &lt;b&gt;de l'argent&lt;/b&gt; d'une personne qui n'est pas membre de votre ménage et qui habite &lt;b&gt;ailleurs au Niger&lt;/b&gt; (en dehors de votre village)?")</f>
        <v>Au cours des trois derniers mois, vous ou un membre de votre ménage avez reçu &lt;b&gt;de l'argent&lt;/b&gt; d'une personne qui n'est pas membre de votre ménage et qui habite &lt;b&gt;ailleurs au Niger&lt;/b&gt; (en dehors de votre village)?</v>
      </c>
      <c r="I2332" s="172" t="str">
        <f>IFERROR(__xludf.DUMMYFUNCTION("TRIM(REGEXREPLACE(E2332, ""[0-9]+[a-f]?\."", """"))"),"A cikin watanni uku da suka wuce, kai ko ɗan gidanku kun samu kuɗi daga wani da ba ɗan gidanku ba wanda yake zaune a wani gari a Nijar (wajen kauyenku)?")</f>
        <v>A cikin watanni uku da suka wuce, kai ko ɗan gidanku kun samu kuɗi daga wani da ba ɗan gidanku ba wanda yake zaune a wani gari a Nijar (wajen kauyenku)?</v>
      </c>
      <c r="J2332" s="172" t="str">
        <f t="shared" ref="J2332:L2332" si="629">$F2332 &amp; ". " &amp;G2332</f>
        <v>606. In the past three months, have you or anyone in your household received money from someone who is not a member of your household and who lives elsewhere in Niger (outside your village)?</v>
      </c>
      <c r="K2332" s="172" t="str">
        <f t="shared" si="629"/>
        <v>606. Au cours des trois derniers mois, vous ou un membre de votre ménage avez reçu &lt;b&gt;de l'argent&lt;/b&gt; d'une personne qui n'est pas membre de votre ménage et qui habite &lt;b&gt;ailleurs au Niger&lt;/b&gt; (en dehors de votre village)?</v>
      </c>
      <c r="L2332" s="172" t="str">
        <f t="shared" si="629"/>
        <v>606. A cikin watanni uku da suka wuce, kai ko ɗan gidanku kun samu kuɗi daga wani da ba ɗan gidanku ba wanda yake zaune a wani gari a Nijar (wajen kauyenku)?</v>
      </c>
    </row>
    <row r="2333">
      <c r="A2333" s="253" t="s">
        <v>246</v>
      </c>
      <c r="B2333" s="254" t="s">
        <v>6912</v>
      </c>
      <c r="C2333" s="254" t="s">
        <v>5104</v>
      </c>
      <c r="D2333" s="254" t="s">
        <v>5105</v>
      </c>
      <c r="E2333" s="254" t="s">
        <v>5106</v>
      </c>
      <c r="F2333" s="182">
        <v>607.0</v>
      </c>
      <c r="G2333" s="172" t="str">
        <f>IFERROR(__xludf.DUMMYFUNCTION("TRIM(REGEXREPLACE(C2333, ""[0-9]+[a-f]?\."", """"))"),"How much in total did members of your household receive from people elsewhere in Niger (in CFA)?")</f>
        <v>How much in total did members of your household receive from people elsewhere in Niger (in CFA)?</v>
      </c>
      <c r="H2333" s="172" t="str">
        <f>IFERROR(__xludf.DUMMYFUNCTION("TRIM(REGEXREPLACE(D2333, ""[0-9]+[a-f]?\."", """"))"),"Combien au total les membres de votre ménage ont-ils reçu des personnes qui sont quelques part au Niger (en USD)?")</f>
        <v>Combien au total les membres de votre ménage ont-ils reçu des personnes qui sont quelques part au Niger (en USD)?</v>
      </c>
      <c r="I2333" s="172" t="str">
        <f>IFERROR(__xludf.DUMMYFUNCTION("TRIM(REGEXREPLACE(E2333, ""[0-9]+[a-f]?\."", """"))"),"Nawa ne ƴan gidanku suka samu daga wasu matanen da ke wani gari a Nijar (in CFA)?")</f>
        <v>Nawa ne ƴan gidanku suka samu daga wasu matanen da ke wani gari a Nijar (in CFA)?</v>
      </c>
      <c r="J2333" s="172" t="str">
        <f t="shared" ref="J2333:L2333" si="630">$F2333 &amp; ". " &amp;G2333</f>
        <v>607. How much in total did members of your household receive from people elsewhere in Niger (in CFA)?</v>
      </c>
      <c r="K2333" s="172" t="str">
        <f t="shared" si="630"/>
        <v>607. Combien au total les membres de votre ménage ont-ils reçu des personnes qui sont quelques part au Niger (en USD)?</v>
      </c>
      <c r="L2333" s="172" t="str">
        <f t="shared" si="630"/>
        <v>607. Nawa ne ƴan gidanku suka samu daga wasu matanen da ke wani gari a Nijar (in CFA)?</v>
      </c>
    </row>
    <row r="2334">
      <c r="A2334" s="215" t="s">
        <v>5442</v>
      </c>
      <c r="B2334" s="216" t="s">
        <v>6913</v>
      </c>
      <c r="C2334" s="216" t="s">
        <v>5109</v>
      </c>
      <c r="D2334" s="216" t="s">
        <v>5111</v>
      </c>
      <c r="E2334" s="216" t="s">
        <v>5113</v>
      </c>
      <c r="F2334" s="182">
        <v>608.0</v>
      </c>
      <c r="G2334" s="172" t="str">
        <f>IFERROR(__xludf.DUMMYFUNCTION("TRIM(REGEXREPLACE(C2334, ""[0-9]+[a-f]?\."", """"))"),"How was this money transmitted to your household?")</f>
        <v>How was this money transmitted to your household?</v>
      </c>
      <c r="H2334" s="172" t="str">
        <f>IFERROR(__xludf.DUMMYFUNCTION("TRIM(REGEXREPLACE(D2334, ""[0-9]+[a-f]?\."", """"))"),"Comment cet argent a-t-il été envoyé à votre ménage ?")</f>
        <v>Comment cet argent a-t-il été envoyé à votre ménage ?</v>
      </c>
      <c r="I2334" s="172" t="str">
        <f>IFERROR(__xludf.DUMMYFUNCTION("TRIM(REGEXREPLACE(E2334, ""[0-9]+[a-f]?\."", """"))"),"Ta wace hanya aka aikawa gidanku wannan kuɗin ?")</f>
        <v>Ta wace hanya aka aikawa gidanku wannan kuɗin ?</v>
      </c>
      <c r="J2334" s="172" t="str">
        <f t="shared" ref="J2334:L2334" si="631">$F2334 &amp; ". " &amp;G2334</f>
        <v>608. How was this money transmitted to your household?</v>
      </c>
      <c r="K2334" s="172" t="str">
        <f t="shared" si="631"/>
        <v>608. Comment cet argent a-t-il été envoyé à votre ménage ?</v>
      </c>
      <c r="L2334" s="172" t="str">
        <f t="shared" si="631"/>
        <v>608. Ta wace hanya aka aikawa gidanku wannan kuɗin ?</v>
      </c>
    </row>
    <row r="2335">
      <c r="A2335" s="246" t="s">
        <v>231</v>
      </c>
      <c r="B2335" s="247" t="s">
        <v>6914</v>
      </c>
      <c r="C2335" s="247" t="s">
        <v>5115</v>
      </c>
      <c r="D2335" s="247" t="s">
        <v>5116</v>
      </c>
      <c r="E2335" s="247" t="s">
        <v>5117</v>
      </c>
      <c r="F2335" s="182">
        <v>609.0</v>
      </c>
      <c r="G2335" s="172" t="str">
        <f>IFERROR(__xludf.DUMMYFUNCTION("TRIM(REGEXREPLACE(C2335, ""[0-9]+[a-f]?\."", """"))"),"Specify other transfer method")</f>
        <v>Specify other transfer method</v>
      </c>
      <c r="H2335" s="172" t="str">
        <f>IFERROR(__xludf.DUMMYFUNCTION("TRIM(REGEXREPLACE(D2335, ""[0-9]+[a-f]?\."", """"))"),"Précisez la méthode du transfert")</f>
        <v>Précisez la méthode du transfert</v>
      </c>
      <c r="I2335" s="172" t="str">
        <f>IFERROR(__xludf.DUMMYFUNCTION("TRIM(REGEXREPLACE(E2335, ""[0-9]+[a-f]?\."", """"))"),"Wani daban a Bayyana")</f>
        <v>Wani daban a Bayyana</v>
      </c>
      <c r="J2335" s="172" t="str">
        <f t="shared" ref="J2335:L2335" si="632">$F2335 &amp; ". " &amp;G2335</f>
        <v>609. Specify other transfer method</v>
      </c>
      <c r="K2335" s="172" t="str">
        <f t="shared" si="632"/>
        <v>609. Précisez la méthode du transfert</v>
      </c>
      <c r="L2335" s="172" t="str">
        <f t="shared" si="632"/>
        <v>609. Wani daban a Bayyana</v>
      </c>
    </row>
    <row r="2336">
      <c r="A2336" s="215" t="s">
        <v>3423</v>
      </c>
      <c r="B2336" s="216" t="s">
        <v>6915</v>
      </c>
      <c r="C2336" s="216" t="s">
        <v>5122</v>
      </c>
      <c r="D2336" s="216" t="s">
        <v>5123</v>
      </c>
      <c r="E2336" s="216" t="s">
        <v>5124</v>
      </c>
      <c r="F2336" s="182">
        <v>610.0</v>
      </c>
      <c r="G2336" s="172" t="str">
        <f>IFERROR(__xludf.DUMMYFUNCTION("TRIM(REGEXREPLACE(C2336, ""[0-9]+[a-f]?\."", """"))"),"In the past three months, have you or anyone in your household received goods (payment in kind) from someone who is not a member of your household and who lives elsewhere in Niger (outside your village)?")</f>
        <v>In the past three months, have you or anyone in your household received goods (payment in kind) from someone who is not a member of your household and who lives elsewhere in Niger (outside your village)?</v>
      </c>
      <c r="H2336" s="172" t="str">
        <f>IFERROR(__xludf.DUMMYFUNCTION("TRIM(REGEXREPLACE(D2336, ""[0-9]+[a-f]?\."", """"))"),"Au cours des trois derniers mois, vous ou un membre de votre ménage avez reçu &lt;b&gt;des biens&lt;/b&gt; (paiement en nature) d'une personne qui n'est pas membre de votre ménage et qui habite &lt;b&gt;ailleurs au Niger&lt;/b&gt; (en dehors de votre village)?")</f>
        <v>Au cours des trois derniers mois, vous ou un membre de votre ménage avez reçu &lt;b&gt;des biens&lt;/b&gt; (paiement en nature) d'une personne qui n'est pas membre de votre ménage et qui habite &lt;b&gt;ailleurs au Niger&lt;/b&gt; (en dehors de votre village)?</v>
      </c>
      <c r="I2336" s="172" t="str">
        <f>IFERROR(__xludf.DUMMYFUNCTION("TRIM(REGEXREPLACE(E2336, ""[0-9]+[a-f]?\."", """"))"),"A cikin watanni ukun da suka wuce, kai ko wani a cikin gidanku kun karɓi kaya (a matsayin biya) daga wani wanda ba ɗan gidanku ba ne kuma yana zaune a wani wuri a Nijar (Ba'a garinku ba)?")</f>
        <v>A cikin watanni ukun da suka wuce, kai ko wani a cikin gidanku kun karɓi kaya (a matsayin biya) daga wani wanda ba ɗan gidanku ba ne kuma yana zaune a wani wuri a Nijar (Ba'a garinku ba)?</v>
      </c>
      <c r="J2336" s="172" t="str">
        <f t="shared" ref="J2336:L2336" si="633">$F2336 &amp; ". " &amp;G2336</f>
        <v>610. In the past three months, have you or anyone in your household received goods (payment in kind) from someone who is not a member of your household and who lives elsewhere in Niger (outside your village)?</v>
      </c>
      <c r="K2336" s="172" t="str">
        <f t="shared" si="633"/>
        <v>610. Au cours des trois derniers mois, vous ou un membre de votre ménage avez reçu &lt;b&gt;des biens&lt;/b&gt; (paiement en nature) d'une personne qui n'est pas membre de votre ménage et qui habite &lt;b&gt;ailleurs au Niger&lt;/b&gt; (en dehors de votre village)?</v>
      </c>
      <c r="L2336" s="172" t="str">
        <f t="shared" si="633"/>
        <v>610. A cikin watanni ukun da suka wuce, kai ko wani a cikin gidanku kun karɓi kaya (a matsayin biya) daga wani wanda ba ɗan gidanku ba ne kuma yana zaune a wani wuri a Nijar (Ba'a garinku ba)?</v>
      </c>
    </row>
    <row r="2337">
      <c r="A2337" s="253" t="s">
        <v>246</v>
      </c>
      <c r="B2337" s="254" t="s">
        <v>6916</v>
      </c>
      <c r="C2337" s="254" t="s">
        <v>5126</v>
      </c>
      <c r="D2337" s="254" t="s">
        <v>6917</v>
      </c>
      <c r="E2337" s="254" t="s">
        <v>5128</v>
      </c>
      <c r="F2337" s="182">
        <v>611.0</v>
      </c>
      <c r="G2337" s="172" t="str">
        <f>IFERROR(__xludf.DUMMYFUNCTION("TRIM(REGEXREPLACE(C2337, ""[0-9]+[a-f]?\."", """"))"),"What was the value of the goods members of your household receive from people elsewhere in Niger (in CFA)?")</f>
        <v>What was the value of the goods members of your household receive from people elsewhere in Niger (in CFA)?</v>
      </c>
      <c r="H2337" s="172" t="str">
        <f>IFERROR(__xludf.DUMMYFUNCTION("TRIM(REGEXREPLACE(D2337, ""[0-9]+[a-f]?\."", """"))"),"Quel était la valeur au totale des biens que les membres de votre ménage ont reçu des personnes qui sont quelques part au Niger 
 (en USD)?")</f>
        <v>Quel était la valeur au totale des biens que les membres de votre ménage ont reçu des personnes qui sont quelques part au Niger 
 (en USD)?</v>
      </c>
      <c r="I2337" s="172" t="str">
        <f>IFERROR(__xludf.DUMMYFUNCTION("TRIM(REGEXREPLACE(E2337, ""[0-9]+[a-f]?\."", """"))"),"Nawa kimar kayayyakin da ƴan gidanku suka karba daga wasu mutane a wasu wurare a Nijar (in CFA)?")</f>
        <v>Nawa kimar kayayyakin da ƴan gidanku suka karba daga wasu mutane a wasu wurare a Nijar (in CFA)?</v>
      </c>
      <c r="J2337" s="172" t="str">
        <f t="shared" ref="J2337:L2337" si="634">$F2337 &amp; ". " &amp;G2337</f>
        <v>611. What was the value of the goods members of your household receive from people elsewhere in Niger (in CFA)?</v>
      </c>
      <c r="K2337" s="172" t="str">
        <f t="shared" si="634"/>
        <v>611. Quel était la valeur au totale des biens que les membres de votre ménage ont reçu des personnes qui sont quelques part au Niger 
 (en USD)?</v>
      </c>
      <c r="L2337" s="172" t="str">
        <f t="shared" si="634"/>
        <v>611. Nawa kimar kayayyakin da ƴan gidanku suka karba daga wasu mutane a wasu wurare a Nijar (in CFA)?</v>
      </c>
    </row>
    <row r="2338">
      <c r="A2338" s="215" t="s">
        <v>6918</v>
      </c>
      <c r="B2338" s="216" t="s">
        <v>6919</v>
      </c>
      <c r="C2338" s="216" t="s">
        <v>5133</v>
      </c>
      <c r="D2338" s="216" t="s">
        <v>5134</v>
      </c>
      <c r="E2338" s="216" t="s">
        <v>5135</v>
      </c>
      <c r="F2338" s="182">
        <v>612.0</v>
      </c>
      <c r="G2338" s="172" t="str">
        <f>IFERROR(__xludf.DUMMYFUNCTION("TRIM(REGEXREPLACE(C2338, ""[0-9]+[a-f]?\."", """"))"),"How were these goods transmitted to your household?")</f>
        <v>How were these goods transmitted to your household?</v>
      </c>
      <c r="H2338" s="172" t="str">
        <f>IFERROR(__xludf.DUMMYFUNCTION("TRIM(REGEXREPLACE(D2338, ""[0-9]+[a-f]?\."", """"))"),"Comment ces biens ont-ils été envoyé à votre ménage ?")</f>
        <v>Comment ces biens ont-ils été envoyé à votre ménage ?</v>
      </c>
      <c r="I2338" s="172" t="str">
        <f>IFERROR(__xludf.DUMMYFUNCTION("TRIM(REGEXREPLACE(E2338, ""[0-9]+[a-f]?\."", """"))"),"Ta yaya aka aika waɗannan kayayyakin zuwa gidanku?")</f>
        <v>Ta yaya aka aika waɗannan kayayyakin zuwa gidanku?</v>
      </c>
      <c r="J2338" s="172" t="str">
        <f t="shared" ref="J2338:L2338" si="635">$F2338 &amp; ". " &amp;G2338</f>
        <v>612. How were these goods transmitted to your household?</v>
      </c>
      <c r="K2338" s="172" t="str">
        <f t="shared" si="635"/>
        <v>612. Comment ces biens ont-ils été envoyé à votre ménage ?</v>
      </c>
      <c r="L2338" s="172" t="str">
        <f t="shared" si="635"/>
        <v>612. Ta yaya aka aika waɗannan kayayyakin zuwa gidanku?</v>
      </c>
    </row>
    <row r="2339">
      <c r="A2339" s="246" t="s">
        <v>231</v>
      </c>
      <c r="B2339" s="247" t="s">
        <v>6920</v>
      </c>
      <c r="C2339" s="247" t="s">
        <v>5139</v>
      </c>
      <c r="D2339" s="247" t="s">
        <v>5141</v>
      </c>
      <c r="E2339" s="247" t="s">
        <v>5142</v>
      </c>
      <c r="F2339" s="182">
        <v>613.0</v>
      </c>
      <c r="G2339" s="172" t="str">
        <f>IFERROR(__xludf.DUMMYFUNCTION("TRIM(REGEXREPLACE(C2339, ""[0-9]+[a-f]?\."", """"))"),"Specify other transfer method")</f>
        <v>Specify other transfer method</v>
      </c>
      <c r="H2339" s="172" t="str">
        <f>IFERROR(__xludf.DUMMYFUNCTION("TRIM(REGEXREPLACE(D2339, ""[0-9]+[a-f]?\."", """"))"),"Précisez la méthode du transfert")</f>
        <v>Précisez la méthode du transfert</v>
      </c>
      <c r="I2339" s="172" t="str">
        <f>IFERROR(__xludf.DUMMYFUNCTION("TRIM(REGEXREPLACE(E2339, ""[0-9]+[a-f]?\."", """"))"),"Wani daban a Bayyana")</f>
        <v>Wani daban a Bayyana</v>
      </c>
      <c r="J2339" s="172" t="str">
        <f t="shared" ref="J2339:L2339" si="636">$F2339 &amp; ". " &amp;G2339</f>
        <v>613. Specify other transfer method</v>
      </c>
      <c r="K2339" s="172" t="str">
        <f t="shared" si="636"/>
        <v>613. Précisez la méthode du transfert</v>
      </c>
      <c r="L2339" s="172" t="str">
        <f t="shared" si="636"/>
        <v>613. Wani daban a Bayyana</v>
      </c>
    </row>
    <row r="2340">
      <c r="A2340" s="215" t="s">
        <v>3423</v>
      </c>
      <c r="B2340" s="216" t="s">
        <v>6921</v>
      </c>
      <c r="C2340" s="216" t="s">
        <v>5144</v>
      </c>
      <c r="D2340" s="216" t="s">
        <v>5145</v>
      </c>
      <c r="E2340" s="216" t="s">
        <v>5146</v>
      </c>
      <c r="F2340" s="182">
        <v>614.0</v>
      </c>
      <c r="G2340" s="172" t="str">
        <f>IFERROR(__xludf.DUMMYFUNCTION("TRIM(REGEXREPLACE(C2340, ""[0-9]+[a-f]?\."", """"))"),"In the past three months, have you or anyone in your household received money from someone who is not a member of your household and who lives in a foreign country (outside of Niger)?")</f>
        <v>In the past three months, have you or anyone in your household received money from someone who is not a member of your household and who lives in a foreign country (outside of Niger)?</v>
      </c>
      <c r="H2340" s="172" t="str">
        <f>IFERROR(__xludf.DUMMYFUNCTION("TRIM(REGEXREPLACE(D2340, ""[0-9]+[a-f]?\."", """"))"),"Au cours des trois derniers mois, vous ou un membre de votre ménage avez-vous reçu &lt;b&gt;de l'argent&lt;/b&gt; d'une personne qui n'est pas membre de votre ménage et qui habite &lt;b&gt;à l'extérieur du Niger&lt;/b&gt; (dans un autre pays)?")</f>
        <v>Au cours des trois derniers mois, vous ou un membre de votre ménage avez-vous reçu &lt;b&gt;de l'argent&lt;/b&gt; d'une personne qui n'est pas membre de votre ménage et qui habite &lt;b&gt;à l'extérieur du Niger&lt;/b&gt; (dans un autre pays)?</v>
      </c>
      <c r="I2340" s="172" t="str">
        <f>IFERROR(__xludf.DUMMYFUNCTION("TRIM(REGEXREPLACE(E2340, ""[0-9]+[a-f]?\."", """"))"),"A cikin watanni uku da suka wuce, kai ko dan gidanku kun samu kuɗi daga wanda ba dan gidanku ba da ke zaune a ƙetaren Nijar (a wata kasa)?")</f>
        <v>A cikin watanni uku da suka wuce, kai ko dan gidanku kun samu kuɗi daga wanda ba dan gidanku ba da ke zaune a ƙetaren Nijar (a wata kasa)?</v>
      </c>
      <c r="J2340" s="172" t="str">
        <f t="shared" ref="J2340:L2340" si="637">$F2340 &amp; ". " &amp;G2340</f>
        <v>614. In the past three months, have you or anyone in your household received money from someone who is not a member of your household and who lives in a foreign country (outside of Niger)?</v>
      </c>
      <c r="K2340" s="172" t="str">
        <f t="shared" si="637"/>
        <v>614. Au cours des trois derniers mois, vous ou un membre de votre ménage avez-vous reçu &lt;b&gt;de l'argent&lt;/b&gt; d'une personne qui n'est pas membre de votre ménage et qui habite &lt;b&gt;à l'extérieur du Niger&lt;/b&gt; (dans un autre pays)?</v>
      </c>
      <c r="L2340" s="172" t="str">
        <f t="shared" si="637"/>
        <v>614. A cikin watanni uku da suka wuce, kai ko dan gidanku kun samu kuɗi daga wanda ba dan gidanku ba da ke zaune a ƙetaren Nijar (a wata kasa)?</v>
      </c>
    </row>
    <row r="2341">
      <c r="A2341" s="253" t="s">
        <v>246</v>
      </c>
      <c r="B2341" s="254" t="s">
        <v>6922</v>
      </c>
      <c r="C2341" s="254" t="s">
        <v>5151</v>
      </c>
      <c r="D2341" s="254" t="s">
        <v>5152</v>
      </c>
      <c r="E2341" s="254" t="s">
        <v>5153</v>
      </c>
      <c r="F2341" s="182">
        <v>615.0</v>
      </c>
      <c r="G2341" s="172" t="str">
        <f>IFERROR(__xludf.DUMMYFUNCTION("TRIM(REGEXREPLACE(C2341, ""[0-9]+[a-f]?\."", """"))"),"How much in total did members of your household receive from people out of Niger?")</f>
        <v>How much in total did members of your household receive from people out of Niger?</v>
      </c>
      <c r="H2341" s="172" t="str">
        <f>IFERROR(__xludf.DUMMYFUNCTION("TRIM(REGEXREPLACE(D2341, ""[0-9]+[a-f]?\."", """"))"),"Combien au total les membres de votre ménage ont-ils reçu des personnes qui ne sont pas au Niger ?")</f>
        <v>Combien au total les membres de votre ménage ont-ils reçu des personnes qui ne sont pas au Niger ?</v>
      </c>
      <c r="I2341" s="172" t="str">
        <f>IFERROR(__xludf.DUMMYFUNCTION("TRIM(REGEXREPLACE(E2341, ""[0-9]+[a-f]?\."", """"))"),"Nawa ne yan gidanku ya samu daga mutanen da ke zaune a ƙasar waje ba Nijar ba?")</f>
        <v>Nawa ne yan gidanku ya samu daga mutanen da ke zaune a ƙasar waje ba Nijar ba?</v>
      </c>
      <c r="J2341" s="172" t="str">
        <f t="shared" ref="J2341:L2341" si="638">$F2341 &amp; ". " &amp;G2341</f>
        <v>615. How much in total did members of your household receive from people out of Niger?</v>
      </c>
      <c r="K2341" s="172" t="str">
        <f t="shared" si="638"/>
        <v>615. Combien au total les membres de votre ménage ont-ils reçu des personnes qui ne sont pas au Niger ?</v>
      </c>
      <c r="L2341" s="172" t="str">
        <f t="shared" si="638"/>
        <v>615. Nawa ne yan gidanku ya samu daga mutanen da ke zaune a ƙasar waje ba Nijar ba?</v>
      </c>
    </row>
    <row r="2342">
      <c r="A2342" s="215" t="s">
        <v>5442</v>
      </c>
      <c r="B2342" s="216" t="s">
        <v>6923</v>
      </c>
      <c r="C2342" s="216" t="s">
        <v>6924</v>
      </c>
      <c r="D2342" s="216" t="s">
        <v>6925</v>
      </c>
      <c r="E2342" s="216" t="s">
        <v>6926</v>
      </c>
      <c r="F2342" s="182">
        <v>616.0</v>
      </c>
      <c r="G2342" s="172" t="str">
        <f>IFERROR(__xludf.DUMMYFUNCTION("TRIM(REGEXREPLACE(C2342, ""[0-9]+[a-f]?\."", """"))"),"How was this money transmitted to your household?")</f>
        <v>How was this money transmitted to your household?</v>
      </c>
      <c r="H2342" s="172" t="str">
        <f>IFERROR(__xludf.DUMMYFUNCTION("TRIM(REGEXREPLACE(D2342, ""[0-9]+[a-f]?\."", """"))"),"Comment cet argent a-t-il été envoyé à votre ménage ?")</f>
        <v>Comment cet argent a-t-il été envoyé à votre ménage ?</v>
      </c>
      <c r="I2342" s="172" t="str">
        <f>IFERROR(__xludf.DUMMYFUNCTION("TRIM(REGEXREPLACE(E2342, ""[0-9]+[a-f]?\."", """"))"),"Ta wace hanya aka aikawa gidanku wannan kuɗin ?")</f>
        <v>Ta wace hanya aka aikawa gidanku wannan kuɗin ?</v>
      </c>
      <c r="J2342" s="172" t="str">
        <f t="shared" ref="J2342:L2342" si="639">$F2342 &amp; ". " &amp;G2342</f>
        <v>616. How was this money transmitted to your household?</v>
      </c>
      <c r="K2342" s="172" t="str">
        <f t="shared" si="639"/>
        <v>616. Comment cet argent a-t-il été envoyé à votre ménage ?</v>
      </c>
      <c r="L2342" s="172" t="str">
        <f t="shared" si="639"/>
        <v>616. Ta wace hanya aka aikawa gidanku wannan kuɗin ?</v>
      </c>
    </row>
    <row r="2343">
      <c r="A2343" s="246" t="s">
        <v>231</v>
      </c>
      <c r="B2343" s="247" t="s">
        <v>6927</v>
      </c>
      <c r="C2343" s="247" t="s">
        <v>5161</v>
      </c>
      <c r="D2343" s="247" t="s">
        <v>5162</v>
      </c>
      <c r="E2343" s="247" t="s">
        <v>5163</v>
      </c>
      <c r="F2343" s="182">
        <v>617.0</v>
      </c>
      <c r="G2343" s="172" t="str">
        <f>IFERROR(__xludf.DUMMYFUNCTION("TRIM(REGEXREPLACE(C2343, ""[0-9]+[a-f]?\."", """"))"),"Specify other transfer method")</f>
        <v>Specify other transfer method</v>
      </c>
      <c r="H2343" s="172" t="str">
        <f>IFERROR(__xludf.DUMMYFUNCTION("TRIM(REGEXREPLACE(D2343, ""[0-9]+[a-f]?\."", """"))"),"Précisez la méthode du transfert")</f>
        <v>Précisez la méthode du transfert</v>
      </c>
      <c r="I2343" s="172" t="str">
        <f>IFERROR(__xludf.DUMMYFUNCTION("TRIM(REGEXREPLACE(E2343, ""[0-9]+[a-f]?\."", """"))"),"Wani daban a Bayyana")</f>
        <v>Wani daban a Bayyana</v>
      </c>
      <c r="J2343" s="172" t="str">
        <f t="shared" ref="J2343:L2343" si="640">$F2343 &amp; ". " &amp;G2343</f>
        <v>617. Specify other transfer method</v>
      </c>
      <c r="K2343" s="172" t="str">
        <f t="shared" si="640"/>
        <v>617. Précisez la méthode du transfert</v>
      </c>
      <c r="L2343" s="172" t="str">
        <f t="shared" si="640"/>
        <v>617. Wani daban a Bayyana</v>
      </c>
    </row>
    <row r="2344">
      <c r="A2344" s="215" t="s">
        <v>3423</v>
      </c>
      <c r="B2344" s="216" t="s">
        <v>6928</v>
      </c>
      <c r="C2344" s="216" t="s">
        <v>5165</v>
      </c>
      <c r="D2344" s="216" t="s">
        <v>5166</v>
      </c>
      <c r="E2344" s="216" t="s">
        <v>5167</v>
      </c>
      <c r="F2344" s="182">
        <v>618.0</v>
      </c>
      <c r="G2344" s="172" t="str">
        <f>IFERROR(__xludf.DUMMYFUNCTION("TRIM(REGEXREPLACE(C2344, ""[0-9]+[a-f]?\."", """"))"),"In the past three months, have you or anyone in your household received goods (payment in kind) from someone who is not a member of your household and who lives in a foreign country (outside of Niger)?")</f>
        <v>In the past three months, have you or anyone in your household received goods (payment in kind) from someone who is not a member of your household and who lives in a foreign country (outside of Niger)?</v>
      </c>
      <c r="H2344" s="172" t="str">
        <f>IFERROR(__xludf.DUMMYFUNCTION("TRIM(REGEXREPLACE(D2344, ""[0-9]+[a-f]?\."", """"))"),"Au cours des trois derniers mois, vous ou un membre de votre ménage avez reçu &lt;b&gt;des biens&lt;/b&gt; (paiement en nature) d'une personne qui n'est pas membre de votre ménage et qui habite &lt;b&gt;à l'extérieur du Niger&lt;/b&gt; (dans un autre pays)?")</f>
        <v>Au cours des trois derniers mois, vous ou un membre de votre ménage avez reçu &lt;b&gt;des biens&lt;/b&gt; (paiement en nature) d'une personne qui n'est pas membre de votre ménage et qui habite &lt;b&gt;à l'extérieur du Niger&lt;/b&gt; (dans un autre pays)?</v>
      </c>
      <c r="I2344" s="172" t="str">
        <f>IFERROR(__xludf.DUMMYFUNCTION("TRIM(REGEXREPLACE(E2344, ""[0-9]+[a-f]?\."", """"))"),"A cikin wata uku da suka wuce, kai ko wani a cikin gidanku an baku wasu kaya (a matsayin biya) daga wani wanda ba ɗan gidanku ba da ke zaune a ƙetaren Nijar (a wata kasa)?")</f>
        <v>A cikin wata uku da suka wuce, kai ko wani a cikin gidanku an baku wasu kaya (a matsayin biya) daga wani wanda ba ɗan gidanku ba da ke zaune a ƙetaren Nijar (a wata kasa)?</v>
      </c>
      <c r="J2344" s="172" t="str">
        <f t="shared" ref="J2344:L2344" si="641">$F2344 &amp; ". " &amp;G2344</f>
        <v>618. In the past three months, have you or anyone in your household received goods (payment in kind) from someone who is not a member of your household and who lives in a foreign country (outside of Niger)?</v>
      </c>
      <c r="K2344" s="172" t="str">
        <f t="shared" si="641"/>
        <v>618. Au cours des trois derniers mois, vous ou un membre de votre ménage avez reçu &lt;b&gt;des biens&lt;/b&gt; (paiement en nature) d'une personne qui n'est pas membre de votre ménage et qui habite &lt;b&gt;à l'extérieur du Niger&lt;/b&gt; (dans un autre pays)?</v>
      </c>
      <c r="L2344" s="172" t="str">
        <f t="shared" si="641"/>
        <v>618. A cikin wata uku da suka wuce, kai ko wani a cikin gidanku an baku wasu kaya (a matsayin biya) daga wani wanda ba ɗan gidanku ba da ke zaune a ƙetaren Nijar (a wata kasa)?</v>
      </c>
    </row>
    <row r="2345">
      <c r="A2345" s="253" t="s">
        <v>246</v>
      </c>
      <c r="B2345" s="254" t="s">
        <v>6929</v>
      </c>
      <c r="C2345" s="254" t="s">
        <v>5172</v>
      </c>
      <c r="D2345" s="254" t="s">
        <v>5173</v>
      </c>
      <c r="E2345" s="254" t="s">
        <v>5174</v>
      </c>
      <c r="F2345" s="182">
        <v>619.0</v>
      </c>
      <c r="G2345" s="172" t="str">
        <f>IFERROR(__xludf.DUMMYFUNCTION("TRIM(REGEXREPLACE(C2345, ""[0-9]+[a-f]?\."", """"))"),"What was the value of the goods members of your household receive from people out of Niger?")</f>
        <v>What was the value of the goods members of your household receive from people out of Niger?</v>
      </c>
      <c r="H2345" s="172" t="str">
        <f>IFERROR(__xludf.DUMMYFUNCTION("TRIM(REGEXREPLACE(D2345, ""[0-9]+[a-f]?\."", """"))"),"Quel était la valeur au totale des biens que les membres de votre ménage ont reçu des personnes qui ne sont pas au Niger ?")</f>
        <v>Quel était la valeur au totale des biens que les membres de votre ménage ont reçu des personnes qui ne sont pas au Niger ?</v>
      </c>
      <c r="I2345" s="172" t="str">
        <f>IFERROR(__xludf.DUMMYFUNCTION("TRIM(REGEXREPLACE(E2345, ""[0-9]+[a-f]?\."", """"))"),"Nawa kimar kayan da ƴan gidanku suka samo daga mutanen da ke zaune a ƙasar waje ba Nijar ba?")</f>
        <v>Nawa kimar kayan da ƴan gidanku suka samo daga mutanen da ke zaune a ƙasar waje ba Nijar ba?</v>
      </c>
      <c r="J2345" s="172" t="str">
        <f t="shared" ref="J2345:L2345" si="642">$F2345 &amp; ". " &amp;G2345</f>
        <v>619. What was the value of the goods members of your household receive from people out of Niger?</v>
      </c>
      <c r="K2345" s="172" t="str">
        <f t="shared" si="642"/>
        <v>619. Quel était la valeur au totale des biens que les membres de votre ménage ont reçu des personnes qui ne sont pas au Niger ?</v>
      </c>
      <c r="L2345" s="172" t="str">
        <f t="shared" si="642"/>
        <v>619. Nawa kimar kayan da ƴan gidanku suka samo daga mutanen da ke zaune a ƙasar waje ba Nijar ba?</v>
      </c>
    </row>
    <row r="2346">
      <c r="A2346" s="215" t="s">
        <v>6918</v>
      </c>
      <c r="B2346" s="216" t="s">
        <v>6930</v>
      </c>
      <c r="C2346" s="216" t="s">
        <v>6931</v>
      </c>
      <c r="D2346" s="216" t="s">
        <v>6932</v>
      </c>
      <c r="E2346" s="216" t="s">
        <v>6933</v>
      </c>
      <c r="F2346" s="182">
        <v>620.0</v>
      </c>
      <c r="G2346" s="172" t="str">
        <f>IFERROR(__xludf.DUMMYFUNCTION("TRIM(REGEXREPLACE(C2346, ""[0-9]+[a-f]?\."", """"))"),"How were these goods transmitted to your household?")</f>
        <v>How were these goods transmitted to your household?</v>
      </c>
      <c r="H2346" s="172" t="str">
        <f>IFERROR(__xludf.DUMMYFUNCTION("TRIM(REGEXREPLACE(D2346, ""[0-9]+[a-f]?\."", """"))"),"Comment ces biens ont-ils été envoyé à votre ménage ?")</f>
        <v>Comment ces biens ont-ils été envoyé à votre ménage ?</v>
      </c>
      <c r="I2346" s="172" t="str">
        <f>IFERROR(__xludf.DUMMYFUNCTION("TRIM(REGEXREPLACE(E2346, ""[0-9]+[a-f]?\."", """"))"),"Ta yaya aka aika waɗannan kayan zuwa gidanku?")</f>
        <v>Ta yaya aka aika waɗannan kayan zuwa gidanku?</v>
      </c>
      <c r="J2346" s="172" t="str">
        <f t="shared" ref="J2346:L2346" si="643">$F2346 &amp; ". " &amp;G2346</f>
        <v>620. How were these goods transmitted to your household?</v>
      </c>
      <c r="K2346" s="172" t="str">
        <f t="shared" si="643"/>
        <v>620. Comment ces biens ont-ils été envoyé à votre ménage ?</v>
      </c>
      <c r="L2346" s="172" t="str">
        <f t="shared" si="643"/>
        <v>620. Ta yaya aka aika waɗannan kayan zuwa gidanku?</v>
      </c>
    </row>
    <row r="2347">
      <c r="A2347" s="246" t="s">
        <v>231</v>
      </c>
      <c r="B2347" s="247" t="s">
        <v>6934</v>
      </c>
      <c r="C2347" s="247" t="s">
        <v>6935</v>
      </c>
      <c r="D2347" s="247" t="s">
        <v>6936</v>
      </c>
      <c r="E2347" s="247" t="s">
        <v>6937</v>
      </c>
      <c r="F2347" s="182">
        <v>621.0</v>
      </c>
      <c r="G2347" s="172" t="str">
        <f>IFERROR(__xludf.DUMMYFUNCTION("TRIM(REGEXREPLACE(C2347, ""[0-9]+[a-f]?\."", """"))"),"Specify other transfer method")</f>
        <v>Specify other transfer method</v>
      </c>
      <c r="H2347" s="172" t="str">
        <f>IFERROR(__xludf.DUMMYFUNCTION("TRIM(REGEXREPLACE(D2347, ""[0-9]+[a-f]?\."", """"))"),"Précisez la méthode du transfert")</f>
        <v>Précisez la méthode du transfert</v>
      </c>
      <c r="I2347" s="172" t="str">
        <f>IFERROR(__xludf.DUMMYFUNCTION("TRIM(REGEXREPLACE(E2347, ""[0-9]+[a-f]?\."", """"))"),"Wani daban a Bayyana")</f>
        <v>Wani daban a Bayyana</v>
      </c>
      <c r="J2347" s="172" t="str">
        <f t="shared" ref="J2347:L2347" si="644">$F2347 &amp; ". " &amp;G2347</f>
        <v>621. Specify other transfer method</v>
      </c>
      <c r="K2347" s="172" t="str">
        <f t="shared" si="644"/>
        <v>621. Précisez la méthode du transfert</v>
      </c>
      <c r="L2347" s="172" t="str">
        <f t="shared" si="644"/>
        <v>621. Wani daban a Bayyana</v>
      </c>
    </row>
    <row r="2348">
      <c r="A2348" s="215" t="s">
        <v>3423</v>
      </c>
      <c r="B2348" s="216" t="s">
        <v>6938</v>
      </c>
      <c r="C2348" s="216" t="s">
        <v>6939</v>
      </c>
      <c r="D2348" s="216" t="s">
        <v>6940</v>
      </c>
      <c r="E2348" s="216" t="s">
        <v>6941</v>
      </c>
      <c r="F2348" s="182">
        <v>622.0</v>
      </c>
      <c r="G2348" s="172" t="str">
        <f>IFERROR(__xludf.DUMMYFUNCTION("TRIM(REGEXREPLACE(C2348, ""[0-9]+[a-f]?\."", """"))"),"In the past three months, have you or anyone in your household shared or sent money to someone who is not a member of your household and who lives elsewhere in Niger (outside your village)?")</f>
        <v>In the past three months, have you or anyone in your household shared or sent money to someone who is not a member of your household and who lives elsewhere in Niger (outside your village)?</v>
      </c>
      <c r="H2348" s="172" t="str">
        <f>IFERROR(__xludf.DUMMYFUNCTION("TRIM(REGEXREPLACE(D2348, ""[0-9]+[a-f]?\."", """"))"),"Au cours des trois derniers mois, vous ou quelqu'un de votre ménage avez-vous partagé ou envoyé &lt;b&gt;de l'argent&lt;/b&gt; à quelqu'un qui n'est pas membre de votre ménage et qui habite &lt;b&gt;ailleurs au Niger&lt;/b&gt;(en dehors de votre village)")</f>
        <v>Au cours des trois derniers mois, vous ou quelqu'un de votre ménage avez-vous partagé ou envoyé &lt;b&gt;de l'argent&lt;/b&gt; à quelqu'un qui n'est pas membre de votre ménage et qui habite &lt;b&gt;ailleurs au Niger&lt;/b&gt;(en dehors de votre village)</v>
      </c>
      <c r="I2348" s="172" t="str">
        <f>IFERROR(__xludf.DUMMYFUNCTION("TRIM(REGEXREPLACE(E2348, ""[0-9]+[a-f]?\."", """"))"),"A cikin watanni uku da suka wuce, kai ko wani a cikin gidanku kun bada ko kun aika kuɗi ga wani wanda ba dan gidanku ba da ke zaune a wani wuri a Nijar (wajen garinku)")</f>
        <v>A cikin watanni uku da suka wuce, kai ko wani a cikin gidanku kun bada ko kun aika kuɗi ga wani wanda ba dan gidanku ba da ke zaune a wani wuri a Nijar (wajen garinku)</v>
      </c>
      <c r="J2348" s="172" t="str">
        <f t="shared" ref="J2348:L2348" si="645">$F2348 &amp; ". " &amp;G2348</f>
        <v>622. In the past three months, have you or anyone in your household shared or sent money to someone who is not a member of your household and who lives elsewhere in Niger (outside your village)?</v>
      </c>
      <c r="K2348" s="172" t="str">
        <f t="shared" si="645"/>
        <v>622. Au cours des trois derniers mois, vous ou quelqu'un de votre ménage avez-vous partagé ou envoyé &lt;b&gt;de l'argent&lt;/b&gt; à quelqu'un qui n'est pas membre de votre ménage et qui habite &lt;b&gt;ailleurs au Niger&lt;/b&gt;(en dehors de votre village)</v>
      </c>
      <c r="L2348" s="172" t="str">
        <f t="shared" si="645"/>
        <v>622. A cikin watanni uku da suka wuce, kai ko wani a cikin gidanku kun bada ko kun aika kuɗi ga wani wanda ba dan gidanku ba da ke zaune a wani wuri a Nijar (wajen garinku)</v>
      </c>
    </row>
    <row r="2349">
      <c r="A2349" s="253" t="s">
        <v>246</v>
      </c>
      <c r="B2349" s="254" t="s">
        <v>6942</v>
      </c>
      <c r="C2349" s="254" t="s">
        <v>6943</v>
      </c>
      <c r="D2349" s="254" t="s">
        <v>6944</v>
      </c>
      <c r="E2349" s="254" t="s">
        <v>6945</v>
      </c>
      <c r="F2349" s="182">
        <v>623.0</v>
      </c>
      <c r="G2349" s="172" t="str">
        <f>IFERROR(__xludf.DUMMYFUNCTION("TRIM(REGEXREPLACE(C2349, ""[0-9]+[a-f]?\."", """"))"),"How much did your household send to people elsewhere in Niger?")</f>
        <v>How much did your household send to people elsewhere in Niger?</v>
      </c>
      <c r="H2349" s="172" t="str">
        <f>IFERROR(__xludf.DUMMYFUNCTION("TRIM(REGEXREPLACE(D2349, ""[0-9]+[a-f]?\."", """"))"),"Combien votre ménage a-t-il envoyé à des personnes qui sont quelque part au Niger ?")</f>
        <v>Combien votre ménage a-t-il envoyé à des personnes qui sont quelque part au Niger ?</v>
      </c>
      <c r="I2349" s="172" t="str">
        <f>IFERROR(__xludf.DUMMYFUNCTION("TRIM(REGEXREPLACE(E2349, ""[0-9]+[a-f]?\."", """"))"),"Nawa ne gidanku ya aikawa mutanen da ke wasu wurare a Nijar?")</f>
        <v>Nawa ne gidanku ya aikawa mutanen da ke wasu wurare a Nijar?</v>
      </c>
      <c r="J2349" s="172" t="str">
        <f t="shared" ref="J2349:L2349" si="646">$F2349 &amp; ". " &amp;G2349</f>
        <v>623. How much did your household send to people elsewhere in Niger?</v>
      </c>
      <c r="K2349" s="172" t="str">
        <f t="shared" si="646"/>
        <v>623. Combien votre ménage a-t-il envoyé à des personnes qui sont quelque part au Niger ?</v>
      </c>
      <c r="L2349" s="172" t="str">
        <f t="shared" si="646"/>
        <v>623. Nawa ne gidanku ya aikawa mutanen da ke wasu wurare a Nijar?</v>
      </c>
    </row>
    <row r="2350">
      <c r="A2350" s="215" t="s">
        <v>5442</v>
      </c>
      <c r="B2350" s="216" t="s">
        <v>6946</v>
      </c>
      <c r="C2350" s="216" t="s">
        <v>6947</v>
      </c>
      <c r="D2350" s="216" t="s">
        <v>6948</v>
      </c>
      <c r="E2350" s="216" t="s">
        <v>6949</v>
      </c>
      <c r="F2350" s="182">
        <v>624.0</v>
      </c>
      <c r="G2350" s="172" t="str">
        <f>IFERROR(__xludf.DUMMYFUNCTION("TRIM(REGEXREPLACE(C2350, ""[0-9]+[a-f]?\."", """"))"),"How did you transmit the money to the recipient?")</f>
        <v>How did you transmit the money to the recipient?</v>
      </c>
      <c r="H2350" s="172" t="str">
        <f>IFERROR(__xludf.DUMMYFUNCTION("TRIM(REGEXREPLACE(D2350, ""[0-9]+[a-f]?\."", """"))"),"Comment avez-vous envoyé l'argent au destinataire ?")</f>
        <v>Comment avez-vous envoyé l'argent au destinataire ?</v>
      </c>
      <c r="I2350" s="172" t="str">
        <f>IFERROR(__xludf.DUMMYFUNCTION("TRIM(REGEXREPLACE(E2350, ""[0-9]+[a-f]?\."", """"))"),"Ta wace hanya kuka aika kuɗin ga mai karɓa?")</f>
        <v>Ta wace hanya kuka aika kuɗin ga mai karɓa?</v>
      </c>
      <c r="J2350" s="172" t="str">
        <f t="shared" ref="J2350:L2350" si="647">$F2350 &amp; ". " &amp;G2350</f>
        <v>624. How did you transmit the money to the recipient?</v>
      </c>
      <c r="K2350" s="172" t="str">
        <f t="shared" si="647"/>
        <v>624. Comment avez-vous envoyé l'argent au destinataire ?</v>
      </c>
      <c r="L2350" s="172" t="str">
        <f t="shared" si="647"/>
        <v>624. Ta wace hanya kuka aika kuɗin ga mai karɓa?</v>
      </c>
    </row>
    <row r="2351">
      <c r="A2351" s="246" t="s">
        <v>231</v>
      </c>
      <c r="B2351" s="247" t="s">
        <v>6950</v>
      </c>
      <c r="C2351" s="247" t="s">
        <v>6951</v>
      </c>
      <c r="D2351" s="247" t="s">
        <v>6952</v>
      </c>
      <c r="E2351" s="247" t="s">
        <v>6953</v>
      </c>
      <c r="F2351" s="182">
        <v>625.0</v>
      </c>
      <c r="G2351" s="172" t="str">
        <f>IFERROR(__xludf.DUMMYFUNCTION("TRIM(REGEXREPLACE(C2351, ""[0-9]+[a-f]?\."", """"))"),"Specify other transfer method")</f>
        <v>Specify other transfer method</v>
      </c>
      <c r="H2351" s="172" t="str">
        <f>IFERROR(__xludf.DUMMYFUNCTION("TRIM(REGEXREPLACE(D2351, ""[0-9]+[a-f]?\."", """"))"),"Précisez la méthode du transfert")</f>
        <v>Précisez la méthode du transfert</v>
      </c>
      <c r="I2351" s="172" t="str">
        <f>IFERROR(__xludf.DUMMYFUNCTION("TRIM(REGEXREPLACE(E2351, ""[0-9]+[a-f]?\."", """"))"),"Wani daban a Bayyana")</f>
        <v>Wani daban a Bayyana</v>
      </c>
      <c r="J2351" s="172" t="str">
        <f t="shared" ref="J2351:L2351" si="648">$F2351 &amp; ". " &amp;G2351</f>
        <v>625. Specify other transfer method</v>
      </c>
      <c r="K2351" s="172" t="str">
        <f t="shared" si="648"/>
        <v>625. Précisez la méthode du transfert</v>
      </c>
      <c r="L2351" s="172" t="str">
        <f t="shared" si="648"/>
        <v>625. Wani daban a Bayyana</v>
      </c>
    </row>
    <row r="2352">
      <c r="A2352" s="215" t="s">
        <v>3423</v>
      </c>
      <c r="B2352" s="216" t="s">
        <v>6954</v>
      </c>
      <c r="C2352" s="216" t="s">
        <v>6955</v>
      </c>
      <c r="D2352" s="216" t="s">
        <v>6956</v>
      </c>
      <c r="E2352" s="216" t="s">
        <v>6957</v>
      </c>
      <c r="F2352" s="182">
        <v>626.0</v>
      </c>
      <c r="G2352" s="172" t="str">
        <f>IFERROR(__xludf.DUMMYFUNCTION("TRIM(REGEXREPLACE(C2352, ""[0-9]+[a-f]?\."", """"))"),"In the past three months, have you or anyone in your household shared or sent goods (payment in kind) to someone who is not a member of your household and who lives elsewhere in Niger (outside your village)?")</f>
        <v>In the past three months, have you or anyone in your household shared or sent goods (payment in kind) to someone who is not a member of your household and who lives elsewhere in Niger (outside your village)?</v>
      </c>
      <c r="H2352" s="172" t="str">
        <f>IFERROR(__xludf.DUMMYFUNCTION("TRIM(REGEXREPLACE(D2352, ""[0-9]+[a-f]?\."", """"))"),"Au cours des trois derniers mois, vous ou quelqu'un de votre ménage avez-vous partagé ou envoyé &lt;b&gt;des biens&lt;/b&gt; (paiement en nature) à quelqu'un qui n'est pas membre de votre ménage et qui habite &lt;b&gt;ailleurs au Niger&lt;/b&gt; (en dehors de votre village) ?")</f>
        <v>Au cours des trois derniers mois, vous ou quelqu'un de votre ménage avez-vous partagé ou envoyé &lt;b&gt;des biens&lt;/b&gt; (paiement en nature) à quelqu'un qui n'est pas membre de votre ménage et qui habite &lt;b&gt;ailleurs au Niger&lt;/b&gt; (en dehors de votre village) ?</v>
      </c>
      <c r="I2352" s="172" t="str">
        <f>IFERROR(__xludf.DUMMYFUNCTION("TRIM(REGEXREPLACE(E2352, ""[0-9]+[a-f]?\."", """"))"),"A cikin watanni uku da suka wuce, kai ko wani a cikin gidanku kun bada ko kun aika kaya (a matsayin biya) ga wanda ba dan giɗanku ba da ke zaune a wani wuri a cikin Nijar (Ba'a garinku ba)?")</f>
        <v>A cikin watanni uku da suka wuce, kai ko wani a cikin gidanku kun bada ko kun aika kaya (a matsayin biya) ga wanda ba dan giɗanku ba da ke zaune a wani wuri a cikin Nijar (Ba'a garinku ba)?</v>
      </c>
      <c r="J2352" s="172" t="str">
        <f t="shared" ref="J2352:L2352" si="649">$F2352 &amp; ". " &amp;G2352</f>
        <v>626. In the past three months, have you or anyone in your household shared or sent goods (payment in kind) to someone who is not a member of your household and who lives elsewhere in Niger (outside your village)?</v>
      </c>
      <c r="K2352" s="172" t="str">
        <f t="shared" si="649"/>
        <v>626. Au cours des trois derniers mois, vous ou quelqu'un de votre ménage avez-vous partagé ou envoyé &lt;b&gt;des biens&lt;/b&gt; (paiement en nature) à quelqu'un qui n'est pas membre de votre ménage et qui habite &lt;b&gt;ailleurs au Niger&lt;/b&gt; (en dehors de votre village) ?</v>
      </c>
      <c r="L2352" s="172" t="str">
        <f t="shared" si="649"/>
        <v>626. A cikin watanni uku da suka wuce, kai ko wani a cikin gidanku kun bada ko kun aika kaya (a matsayin biya) ga wanda ba dan giɗanku ba da ke zaune a wani wuri a cikin Nijar (Ba'a garinku ba)?</v>
      </c>
    </row>
    <row r="2353">
      <c r="A2353" s="253" t="s">
        <v>246</v>
      </c>
      <c r="B2353" s="254" t="s">
        <v>6958</v>
      </c>
      <c r="C2353" s="254" t="s">
        <v>6959</v>
      </c>
      <c r="D2353" s="254" t="s">
        <v>6960</v>
      </c>
      <c r="E2353" s="254" t="s">
        <v>6961</v>
      </c>
      <c r="F2353" s="182">
        <v>627.0</v>
      </c>
      <c r="G2353" s="172" t="str">
        <f>IFERROR(__xludf.DUMMYFUNCTION("TRIM(REGEXREPLACE(C2353, ""[0-9]+[a-f]?\."", """"))"),"What was the value of the goods members of your household sent to people elsewhere in Niger?")</f>
        <v>What was the value of the goods members of your household sent to people elsewhere in Niger?</v>
      </c>
      <c r="H2353" s="172" t="str">
        <f>IFERROR(__xludf.DUMMYFUNCTION("TRIM(REGEXREPLACE(D2353, ""[0-9]+[a-f]?\."", """"))"),"Quel était la valeur au totale des biens que les membres de votre ménage ont envoyé aux personnes qui sont quelques part au Niger ?")</f>
        <v>Quel était la valeur au totale des biens que les membres de votre ménage ont envoyé aux personnes qui sont quelques part au Niger ?</v>
      </c>
      <c r="I2353" s="172" t="str">
        <f>IFERROR(__xludf.DUMMYFUNCTION("TRIM(REGEXREPLACE(E2353, ""[0-9]+[a-f]?\."", """"))"),"Nawa ne kimar kayan da ƴan gidanku suka aika wa mutane a wasu wurare a cikin Nijar?")</f>
        <v>Nawa ne kimar kayan da ƴan gidanku suka aika wa mutane a wasu wurare a cikin Nijar?</v>
      </c>
      <c r="J2353" s="172" t="str">
        <f t="shared" ref="J2353:L2353" si="650">$F2353 &amp; ". " &amp;G2353</f>
        <v>627. What was the value of the goods members of your household sent to people elsewhere in Niger?</v>
      </c>
      <c r="K2353" s="172" t="str">
        <f t="shared" si="650"/>
        <v>627. Quel était la valeur au totale des biens que les membres de votre ménage ont envoyé aux personnes qui sont quelques part au Niger ?</v>
      </c>
      <c r="L2353" s="172" t="str">
        <f t="shared" si="650"/>
        <v>627. Nawa ne kimar kayan da ƴan gidanku suka aika wa mutane a wasu wurare a cikin Nijar?</v>
      </c>
    </row>
    <row r="2354">
      <c r="A2354" s="215" t="s">
        <v>6918</v>
      </c>
      <c r="B2354" s="216" t="s">
        <v>6962</v>
      </c>
      <c r="C2354" s="216" t="s">
        <v>6963</v>
      </c>
      <c r="D2354" s="216" t="s">
        <v>6964</v>
      </c>
      <c r="E2354" s="216" t="s">
        <v>6965</v>
      </c>
      <c r="F2354" s="182">
        <v>628.0</v>
      </c>
      <c r="G2354" s="172" t="str">
        <f>IFERROR(__xludf.DUMMYFUNCTION("TRIM(REGEXREPLACE(C2354, ""[0-9]+[a-f]?\."", """"))"),"How were these goods transmitted to the recipient?")</f>
        <v>How were these goods transmitted to the recipient?</v>
      </c>
      <c r="H2354" s="172" t="str">
        <f>IFERROR(__xludf.DUMMYFUNCTION("TRIM(REGEXREPLACE(D2354, ""[0-9]+[a-f]?\."", """"))"),"Comment ces biens ont-ils été envoyé au destinataire ?")</f>
        <v>Comment ces biens ont-ils été envoyé au destinataire ?</v>
      </c>
      <c r="I2354" s="172" t="str">
        <f>IFERROR(__xludf.DUMMYFUNCTION("TRIM(REGEXREPLACE(E2354, ""[0-9]+[a-f]?\."", """"))"),"Ta yaya aka aika waɗannan kayayyaki zuwa ga mai karɓa?")</f>
        <v>Ta yaya aka aika waɗannan kayayyaki zuwa ga mai karɓa?</v>
      </c>
      <c r="J2354" s="172" t="str">
        <f t="shared" ref="J2354:L2354" si="651">$F2354 &amp; ". " &amp;G2354</f>
        <v>628. How were these goods transmitted to the recipient?</v>
      </c>
      <c r="K2354" s="172" t="str">
        <f t="shared" si="651"/>
        <v>628. Comment ces biens ont-ils été envoyé au destinataire ?</v>
      </c>
      <c r="L2354" s="172" t="str">
        <f t="shared" si="651"/>
        <v>628. Ta yaya aka aika waɗannan kayayyaki zuwa ga mai karɓa?</v>
      </c>
    </row>
    <row r="2355">
      <c r="A2355" s="246" t="s">
        <v>231</v>
      </c>
      <c r="B2355" s="247" t="s">
        <v>6966</v>
      </c>
      <c r="C2355" s="247" t="s">
        <v>6967</v>
      </c>
      <c r="D2355" s="247" t="s">
        <v>6968</v>
      </c>
      <c r="E2355" s="247" t="s">
        <v>6969</v>
      </c>
      <c r="F2355" s="182">
        <v>629.0</v>
      </c>
      <c r="G2355" s="172" t="str">
        <f>IFERROR(__xludf.DUMMYFUNCTION("TRIM(REGEXREPLACE(C2355, ""[0-9]+[a-f]?\."", """"))"),"Specify other transfer method")</f>
        <v>Specify other transfer method</v>
      </c>
      <c r="H2355" s="172" t="str">
        <f>IFERROR(__xludf.DUMMYFUNCTION("TRIM(REGEXREPLACE(D2355, ""[0-9]+[a-f]?\."", """"))"),"Precisez la methode du transfert")</f>
        <v>Precisez la methode du transfert</v>
      </c>
      <c r="I2355" s="172" t="str">
        <f>IFERROR(__xludf.DUMMYFUNCTION("TRIM(REGEXREPLACE(E2355, ""[0-9]+[a-f]?\."", """"))"),"Wani daban a Bayyana")</f>
        <v>Wani daban a Bayyana</v>
      </c>
      <c r="J2355" s="172" t="str">
        <f t="shared" ref="J2355:L2355" si="652">$F2355 &amp; ". " &amp;G2355</f>
        <v>629. Specify other transfer method</v>
      </c>
      <c r="K2355" s="172" t="str">
        <f t="shared" si="652"/>
        <v>629. Precisez la methode du transfert</v>
      </c>
      <c r="L2355" s="172" t="str">
        <f t="shared" si="652"/>
        <v>629. Wani daban a Bayyana</v>
      </c>
    </row>
    <row r="2356">
      <c r="A2356" s="215" t="s">
        <v>3423</v>
      </c>
      <c r="B2356" s="216" t="s">
        <v>6970</v>
      </c>
      <c r="C2356" s="216" t="s">
        <v>6971</v>
      </c>
      <c r="D2356" s="216" t="s">
        <v>6972</v>
      </c>
      <c r="E2356" s="216" t="s">
        <v>6973</v>
      </c>
      <c r="F2356" s="182">
        <v>630.0</v>
      </c>
      <c r="G2356" s="172" t="str">
        <f>IFERROR(__xludf.DUMMYFUNCTION("TRIM(REGEXREPLACE(C2356, ""[0-9]+[a-f]?\."", """"))"),"In the past three months, have you or anyone in your household shared or sent money to someone who is not a member of your household and who lives in a foreign country (outside of Niger)?")</f>
        <v>In the past three months, have you or anyone in your household shared or sent money to someone who is not a member of your household and who lives in a foreign country (outside of Niger)?</v>
      </c>
      <c r="H2356" s="172" t="str">
        <f>IFERROR(__xludf.DUMMYFUNCTION("TRIM(REGEXREPLACE(D2356, ""[0-9]+[a-f]?\."", """"))"),"Au cours des trois derniers mois, vous ou quelqu'un de votre ménage avez-vous partagé ou envoyé &lt;b&gt;de l'argent&lt;/b&gt; à quelqu'un qui n'est pas membre de votre ménage et qui habite &lt;b&gt;à l'extérieur du Niger&lt;/b&gt; (dans un autre pays)?")</f>
        <v>Au cours des trois derniers mois, vous ou quelqu'un de votre ménage avez-vous partagé ou envoyé &lt;b&gt;de l'argent&lt;/b&gt; à quelqu'un qui n'est pas membre de votre ménage et qui habite &lt;b&gt;à l'extérieur du Niger&lt;/b&gt; (dans un autre pays)?</v>
      </c>
      <c r="I2356" s="172" t="str">
        <f>IFERROR(__xludf.DUMMYFUNCTION("TRIM(REGEXREPLACE(E2356, ""[0-9]+[a-f]?\."", """"))"),"A cikin watanni uku da suka gabata, kai ko wani a cikin gidanku kun bada ko kun aika kuɗi ga wanda ba ɗan gidanku ba da ke zaune a wajen Nijar (a wata kasa)?")</f>
        <v>A cikin watanni uku da suka gabata, kai ko wani a cikin gidanku kun bada ko kun aika kuɗi ga wanda ba ɗan gidanku ba da ke zaune a wajen Nijar (a wata kasa)?</v>
      </c>
      <c r="J2356" s="172" t="str">
        <f t="shared" ref="J2356:L2356" si="653">$F2356 &amp; ". " &amp;G2356</f>
        <v>630. In the past three months, have you or anyone in your household shared or sent money to someone who is not a member of your household and who lives in a foreign country (outside of Niger)?</v>
      </c>
      <c r="K2356" s="172" t="str">
        <f t="shared" si="653"/>
        <v>630. Au cours des trois derniers mois, vous ou quelqu'un de votre ménage avez-vous partagé ou envoyé &lt;b&gt;de l'argent&lt;/b&gt; à quelqu'un qui n'est pas membre de votre ménage et qui habite &lt;b&gt;à l'extérieur du Niger&lt;/b&gt; (dans un autre pays)?</v>
      </c>
      <c r="L2356" s="172" t="str">
        <f t="shared" si="653"/>
        <v>630. A cikin watanni uku da suka gabata, kai ko wani a cikin gidanku kun bada ko kun aika kuɗi ga wanda ba ɗan gidanku ba da ke zaune a wajen Nijar (a wata kasa)?</v>
      </c>
    </row>
    <row r="2357">
      <c r="A2357" s="253" t="s">
        <v>246</v>
      </c>
      <c r="B2357" s="254" t="s">
        <v>6974</v>
      </c>
      <c r="C2357" s="254" t="s">
        <v>6975</v>
      </c>
      <c r="D2357" s="254" t="s">
        <v>6976</v>
      </c>
      <c r="E2357" s="254" t="s">
        <v>6977</v>
      </c>
      <c r="F2357" s="182">
        <v>631.0</v>
      </c>
      <c r="G2357" s="172" t="str">
        <f>IFERROR(__xludf.DUMMYFUNCTION("TRIM(REGEXREPLACE(C2357, ""[0-9]+[a-f]?\."", """"))"),"How much did your household send to people people out of Niger?")</f>
        <v>How much did your household send to people people out of Niger?</v>
      </c>
      <c r="H2357" s="172" t="str">
        <f>IFERROR(__xludf.DUMMYFUNCTION("TRIM(REGEXREPLACE(D2357, ""[0-9]+[a-f]?\."", """"))"),"Combien votre ménage a-t-il envoyé à d'autres personnes qui sont quelque part hors du Niger ?")</f>
        <v>Combien votre ménage a-t-il envoyé à d'autres personnes qui sont quelque part hors du Niger ?</v>
      </c>
      <c r="I2357" s="172" t="str">
        <f>IFERROR(__xludf.DUMMYFUNCTION("TRIM(REGEXREPLACE(E2357, ""[0-9]+[a-f]?\."", """"))"),"Nawa gidanku ya aikawa wasu mutane da ke wani wuri ba a Nijar ba?")</f>
        <v>Nawa gidanku ya aikawa wasu mutane da ke wani wuri ba a Nijar ba?</v>
      </c>
      <c r="J2357" s="172" t="str">
        <f t="shared" ref="J2357:L2357" si="654">$F2357 &amp; ". " &amp;G2357</f>
        <v>631. How much did your household send to people people out of Niger?</v>
      </c>
      <c r="K2357" s="172" t="str">
        <f t="shared" si="654"/>
        <v>631. Combien votre ménage a-t-il envoyé à d'autres personnes qui sont quelque part hors du Niger ?</v>
      </c>
      <c r="L2357" s="172" t="str">
        <f t="shared" si="654"/>
        <v>631. Nawa gidanku ya aikawa wasu mutane da ke wani wuri ba a Nijar ba?</v>
      </c>
    </row>
    <row r="2358">
      <c r="A2358" s="215" t="s">
        <v>5442</v>
      </c>
      <c r="B2358" s="216" t="s">
        <v>6978</v>
      </c>
      <c r="C2358" s="216" t="s">
        <v>6979</v>
      </c>
      <c r="D2358" s="216" t="s">
        <v>6980</v>
      </c>
      <c r="E2358" s="216" t="s">
        <v>6981</v>
      </c>
      <c r="F2358" s="182">
        <v>632.0</v>
      </c>
      <c r="G2358" s="172" t="str">
        <f>IFERROR(__xludf.DUMMYFUNCTION("TRIM(REGEXREPLACE(C2358, ""[0-9]+[a-f]?\."", """"))"),"How did you transmit the money to the recipient?")</f>
        <v>How did you transmit the money to the recipient?</v>
      </c>
      <c r="H2358" s="172" t="str">
        <f>IFERROR(__xludf.DUMMYFUNCTION("TRIM(REGEXREPLACE(D2358, ""[0-9]+[a-f]?\."", """"))"),"Comment avez-vous transmis l'argent au destinataire ?")</f>
        <v>Comment avez-vous transmis l'argent au destinataire ?</v>
      </c>
      <c r="I2358" s="172" t="str">
        <f>IFERROR(__xludf.DUMMYFUNCTION("TRIM(REGEXREPLACE(E2358, ""[0-9]+[a-f]?\."", """"))"),"Ta wace hanya kuka aika kuɗin ga mai karɓa?")</f>
        <v>Ta wace hanya kuka aika kuɗin ga mai karɓa?</v>
      </c>
      <c r="J2358" s="172" t="str">
        <f t="shared" ref="J2358:L2358" si="655">$F2358 &amp; ". " &amp;G2358</f>
        <v>632. How did you transmit the money to the recipient?</v>
      </c>
      <c r="K2358" s="172" t="str">
        <f t="shared" si="655"/>
        <v>632. Comment avez-vous transmis l'argent au destinataire ?</v>
      </c>
      <c r="L2358" s="172" t="str">
        <f t="shared" si="655"/>
        <v>632. Ta wace hanya kuka aika kuɗin ga mai karɓa?</v>
      </c>
    </row>
    <row r="2359">
      <c r="A2359" s="246" t="s">
        <v>231</v>
      </c>
      <c r="B2359" s="247" t="s">
        <v>6982</v>
      </c>
      <c r="C2359" s="247" t="s">
        <v>5230</v>
      </c>
      <c r="D2359" s="247" t="s">
        <v>5231</v>
      </c>
      <c r="E2359" s="247" t="s">
        <v>5232</v>
      </c>
      <c r="F2359" s="182">
        <v>633.0</v>
      </c>
      <c r="G2359" s="172" t="str">
        <f>IFERROR(__xludf.DUMMYFUNCTION("TRIM(REGEXREPLACE(C2359, ""[0-9]+[a-f]?\."", """"))"),"Specify other transfer method")</f>
        <v>Specify other transfer method</v>
      </c>
      <c r="H2359" s="172" t="str">
        <f>IFERROR(__xludf.DUMMYFUNCTION("TRIM(REGEXREPLACE(D2359, ""[0-9]+[a-f]?\."", """"))"),"Precisez la methode du transfert")</f>
        <v>Precisez la methode du transfert</v>
      </c>
      <c r="I2359" s="172" t="str">
        <f>IFERROR(__xludf.DUMMYFUNCTION("TRIM(REGEXREPLACE(E2359, ""[0-9]+[a-f]?\."", """"))"),"Wani daban a Bayyana")</f>
        <v>Wani daban a Bayyana</v>
      </c>
      <c r="J2359" s="172" t="str">
        <f t="shared" ref="J2359:L2359" si="656">$F2359 &amp; ". " &amp;G2359</f>
        <v>633. Specify other transfer method</v>
      </c>
      <c r="K2359" s="172" t="str">
        <f t="shared" si="656"/>
        <v>633. Precisez la methode du transfert</v>
      </c>
      <c r="L2359" s="172" t="str">
        <f t="shared" si="656"/>
        <v>633. Wani daban a Bayyana</v>
      </c>
    </row>
    <row r="2360">
      <c r="A2360" s="215" t="s">
        <v>3423</v>
      </c>
      <c r="B2360" s="216" t="s">
        <v>6983</v>
      </c>
      <c r="C2360" s="216" t="s">
        <v>5234</v>
      </c>
      <c r="D2360" s="216" t="s">
        <v>5235</v>
      </c>
      <c r="E2360" s="216" t="s">
        <v>5236</v>
      </c>
      <c r="F2360" s="182">
        <v>634.0</v>
      </c>
      <c r="G2360" s="172" t="str">
        <f>IFERROR(__xludf.DUMMYFUNCTION("TRIM(REGEXREPLACE(C2360, ""[0-9]+[a-f]?\."", """"))"),"In the past three months, have you or anyone in your household shared or sent goods (payment in kind) to someone who is not a member of your household and who lives in a foreign country (outside of Niger)?")</f>
        <v>In the past three months, have you or anyone in your household shared or sent goods (payment in kind) to someone who is not a member of your household and who lives in a foreign country (outside of Niger)?</v>
      </c>
      <c r="H2360" s="172" t="str">
        <f>IFERROR(__xludf.DUMMYFUNCTION("TRIM(REGEXREPLACE(D2360, ""[0-9]+[a-f]?\."", """"))"),"Au cours des trois derniers mois, vous ou quelqu'un de votre ménage avez-vous partagé ou envoyé &lt;b&gt;des biens&lt;/b&gt; (paiement en nature) à quelqu'un qui n'est pas membre de votre ménage et qui habite &lt;b&gt;à l'extérieur du Niger&lt;/b&gt; (dans un autre pays) ?")</f>
        <v>Au cours des trois derniers mois, vous ou quelqu'un de votre ménage avez-vous partagé ou envoyé &lt;b&gt;des biens&lt;/b&gt; (paiement en nature) à quelqu'un qui n'est pas membre de votre ménage et qui habite &lt;b&gt;à l'extérieur du Niger&lt;/b&gt; (dans un autre pays) ?</v>
      </c>
      <c r="I2360" s="172" t="str">
        <f>IFERROR(__xludf.DUMMYFUNCTION("TRIM(REGEXREPLACE(E2360, ""[0-9]+[a-f]?\."", """"))"),"A cikin watanni uku da suka wuce, kai ko wani a cikin gidanku kun bada ko kun aika kaya (a matsayin biya) ga wanda ba ɗan gidanku ba da ke zaune a wajen Nijar (a wata kasa)?")</f>
        <v>A cikin watanni uku da suka wuce, kai ko wani a cikin gidanku kun bada ko kun aika kaya (a matsayin biya) ga wanda ba ɗan gidanku ba da ke zaune a wajen Nijar (a wata kasa)?</v>
      </c>
      <c r="J2360" s="172" t="str">
        <f t="shared" ref="J2360:L2360" si="657">$F2360 &amp; ". " &amp;G2360</f>
        <v>634. In the past three months, have you or anyone in your household shared or sent goods (payment in kind) to someone who is not a member of your household and who lives in a foreign country (outside of Niger)?</v>
      </c>
      <c r="K2360" s="172" t="str">
        <f t="shared" si="657"/>
        <v>634. Au cours des trois derniers mois, vous ou quelqu'un de votre ménage avez-vous partagé ou envoyé &lt;b&gt;des biens&lt;/b&gt; (paiement en nature) à quelqu'un qui n'est pas membre de votre ménage et qui habite &lt;b&gt;à l'extérieur du Niger&lt;/b&gt; (dans un autre pays) ?</v>
      </c>
      <c r="L2360" s="172" t="str">
        <f t="shared" si="657"/>
        <v>634. A cikin watanni uku da suka wuce, kai ko wani a cikin gidanku kun bada ko kun aika kaya (a matsayin biya) ga wanda ba ɗan gidanku ba da ke zaune a wajen Nijar (a wata kasa)?</v>
      </c>
    </row>
    <row r="2361">
      <c r="A2361" s="253" t="s">
        <v>246</v>
      </c>
      <c r="B2361" s="254" t="s">
        <v>6984</v>
      </c>
      <c r="C2361" s="254" t="s">
        <v>5238</v>
      </c>
      <c r="D2361" s="254" t="s">
        <v>5239</v>
      </c>
      <c r="E2361" s="254" t="s">
        <v>5240</v>
      </c>
      <c r="F2361" s="182">
        <v>635.0</v>
      </c>
      <c r="G2361" s="172" t="str">
        <f>IFERROR(__xludf.DUMMYFUNCTION("TRIM(REGEXREPLACE(C2361, ""[0-9]+[a-f]?\."", """"))"),"What was the value of the goods members of your household sent to people out of Niger?")</f>
        <v>What was the value of the goods members of your household sent to people out of Niger?</v>
      </c>
      <c r="H2361" s="172" t="str">
        <f>IFERROR(__xludf.DUMMYFUNCTION("TRIM(REGEXREPLACE(D2361, ""[0-9]+[a-f]?\."", """"))"),"Quel était le valeur au total des biens que les membres de votre ménage ont envoyé aux personnes qui sont quelques part hors du Niger ?")</f>
        <v>Quel était le valeur au total des biens que les membres de votre ménage ont envoyé aux personnes qui sont quelques part hors du Niger ?</v>
      </c>
      <c r="I2361" s="172" t="str">
        <f>IFERROR(__xludf.DUMMYFUNCTION("TRIM(REGEXREPLACE(E2361, ""[0-9]+[a-f]?\."", """"))"),"Nawa ne kimar kayan da ƴan gidanku suka aikawa wasu mutane da ke wani wuri ba a Nijar ba?")</f>
        <v>Nawa ne kimar kayan da ƴan gidanku suka aikawa wasu mutane da ke wani wuri ba a Nijar ba?</v>
      </c>
      <c r="J2361" s="172" t="str">
        <f t="shared" ref="J2361:L2361" si="658">$F2361 &amp; ". " &amp;G2361</f>
        <v>635. What was the value of the goods members of your household sent to people out of Niger?</v>
      </c>
      <c r="K2361" s="172" t="str">
        <f t="shared" si="658"/>
        <v>635. Quel était le valeur au total des biens que les membres de votre ménage ont envoyé aux personnes qui sont quelques part hors du Niger ?</v>
      </c>
      <c r="L2361" s="172" t="str">
        <f t="shared" si="658"/>
        <v>635. Nawa ne kimar kayan da ƴan gidanku suka aikawa wasu mutane da ke wani wuri ba a Nijar ba?</v>
      </c>
    </row>
    <row r="2362">
      <c r="A2362" s="215" t="s">
        <v>6918</v>
      </c>
      <c r="B2362" s="216" t="s">
        <v>6985</v>
      </c>
      <c r="C2362" s="216" t="s">
        <v>5242</v>
      </c>
      <c r="D2362" s="216" t="s">
        <v>5243</v>
      </c>
      <c r="E2362" s="216" t="s">
        <v>5244</v>
      </c>
      <c r="F2362" s="182">
        <v>636.0</v>
      </c>
      <c r="G2362" s="172" t="str">
        <f>IFERROR(__xludf.DUMMYFUNCTION("TRIM(REGEXREPLACE(C2362, ""[0-9]+[a-f]?\."", """"))"),"How were these goods transmitted to the recipient?")</f>
        <v>How were these goods transmitted to the recipient?</v>
      </c>
      <c r="H2362" s="172" t="str">
        <f>IFERROR(__xludf.DUMMYFUNCTION("TRIM(REGEXREPLACE(D2362, ""[0-9]+[a-f]?\."", """"))"),"Comment ces biens ont-ils été envoyé au destinataire ?")</f>
        <v>Comment ces biens ont-ils été envoyé au destinataire ?</v>
      </c>
      <c r="I2362" s="172" t="str">
        <f>IFERROR(__xludf.DUMMYFUNCTION("TRIM(REGEXREPLACE(E2362, ""[0-9]+[a-f]?\."", """"))"),"Ta yaya aka aika waɗannan kayayyaki zuwa ga mai karɓa?")</f>
        <v>Ta yaya aka aika waɗannan kayayyaki zuwa ga mai karɓa?</v>
      </c>
      <c r="J2362" s="172" t="str">
        <f t="shared" ref="J2362:L2362" si="659">$F2362 &amp; ". " &amp;G2362</f>
        <v>636. How were these goods transmitted to the recipient?</v>
      </c>
      <c r="K2362" s="172" t="str">
        <f t="shared" si="659"/>
        <v>636. Comment ces biens ont-ils été envoyé au destinataire ?</v>
      </c>
      <c r="L2362" s="172" t="str">
        <f t="shared" si="659"/>
        <v>636. Ta yaya aka aika waɗannan kayayyaki zuwa ga mai karɓa?</v>
      </c>
    </row>
    <row r="2363">
      <c r="A2363" s="246" t="s">
        <v>231</v>
      </c>
      <c r="B2363" s="247" t="s">
        <v>6986</v>
      </c>
      <c r="C2363" s="247" t="s">
        <v>5246</v>
      </c>
      <c r="D2363" s="247" t="s">
        <v>5247</v>
      </c>
      <c r="E2363" s="247" t="s">
        <v>5248</v>
      </c>
      <c r="F2363" s="182">
        <v>637.0</v>
      </c>
      <c r="G2363" s="172" t="str">
        <f>IFERROR(__xludf.DUMMYFUNCTION("TRIM(REGEXREPLACE(C2363, ""[0-9]+[a-f]?\."", """"))"),"Specify other transfer method")</f>
        <v>Specify other transfer method</v>
      </c>
      <c r="H2363" s="172" t="str">
        <f>IFERROR(__xludf.DUMMYFUNCTION("TRIM(REGEXREPLACE(D2363, ""[0-9]+[a-f]?\."", """"))"),"Precisez la methode du transfert")</f>
        <v>Precisez la methode du transfert</v>
      </c>
      <c r="I2363" s="172" t="str">
        <f>IFERROR(__xludf.DUMMYFUNCTION("TRIM(REGEXREPLACE(E2363, ""[0-9]+[a-f]?\."", """"))"),"Wani daban a Bayyana")</f>
        <v>Wani daban a Bayyana</v>
      </c>
      <c r="J2363" s="172" t="str">
        <f t="shared" ref="J2363:L2363" si="660">$F2363 &amp; ". " &amp;G2363</f>
        <v>637. Specify other transfer method</v>
      </c>
      <c r="K2363" s="172" t="str">
        <f t="shared" si="660"/>
        <v>637. Precisez la methode du transfert</v>
      </c>
      <c r="L2363" s="172" t="str">
        <f t="shared" si="660"/>
        <v>637. Wani daban a Bayyana</v>
      </c>
    </row>
    <row r="2364">
      <c r="A2364" s="215" t="s">
        <v>6987</v>
      </c>
      <c r="B2364" s="216" t="s">
        <v>6988</v>
      </c>
      <c r="C2364" s="216" t="s">
        <v>5252</v>
      </c>
      <c r="D2364" s="216" t="s">
        <v>5253</v>
      </c>
      <c r="E2364" s="216" t="s">
        <v>5254</v>
      </c>
      <c r="F2364" s="182">
        <v>638.0</v>
      </c>
      <c r="G2364" s="172" t="str">
        <f>IFERROR(__xludf.DUMMYFUNCTION("TRIM(REGEXREPLACE(C2364, ""[0-9]+[a-f]?\."", """"))"),"In the past three months, have you received support from any of the following sources?")</f>
        <v>In the past three months, have you received support from any of the following sources?</v>
      </c>
      <c r="H2364" s="172" t="str">
        <f>IFERROR(__xludf.DUMMYFUNCTION("TRIM(REGEXREPLACE(D2364, ""[0-9]+[a-f]?\."", """"))"),"Au cours des trois derniers mois, avez-vous reçu de l'aide de l'une des sources suivantes ?")</f>
        <v>Au cours des trois derniers mois, avez-vous reçu de l'aide de l'une des sources suivantes ?</v>
      </c>
      <c r="I2364" s="172" t="str">
        <f>IFERROR(__xludf.DUMMYFUNCTION("TRIM(REGEXREPLACE(E2364, ""[0-9]+[a-f]?\."", """"))"),"A cikin watanni uku da suka wuce, kun samu taimako daga ɗayan waɗannan hanyoyin?")</f>
        <v>A cikin watanni uku da suka wuce, kun samu taimako daga ɗayan waɗannan hanyoyin?</v>
      </c>
      <c r="J2364" s="172" t="str">
        <f t="shared" ref="J2364:L2364" si="661">$F2364 &amp; ". " &amp;G2364</f>
        <v>638. In the past three months, have you received support from any of the following sources?</v>
      </c>
      <c r="K2364" s="172" t="str">
        <f t="shared" si="661"/>
        <v>638. Au cours des trois derniers mois, avez-vous reçu de l'aide de l'une des sources suivantes ?</v>
      </c>
      <c r="L2364" s="172" t="str">
        <f t="shared" si="661"/>
        <v>638. A cikin watanni uku da suka wuce, kun samu taimako daga ɗayan waɗannan hanyoyin?</v>
      </c>
    </row>
    <row r="2365">
      <c r="A2365" s="253" t="s">
        <v>246</v>
      </c>
      <c r="B2365" s="254" t="s">
        <v>6989</v>
      </c>
      <c r="C2365" s="254" t="s">
        <v>5258</v>
      </c>
      <c r="D2365" s="254" t="s">
        <v>5259</v>
      </c>
      <c r="E2365" s="254" t="s">
        <v>5260</v>
      </c>
      <c r="F2365" s="182">
        <v>639.0</v>
      </c>
      <c r="G2365" s="172" t="str">
        <f>IFERROR(__xludf.DUMMYFUNCTION("TRIM(REGEXREPLACE(C2365, ""[0-9]+[a-f]?\."", """"))"),"How much did ou receive from all the sources combined?")</f>
        <v>How much did ou receive from all the sources combined?</v>
      </c>
      <c r="H2365" s="172" t="str">
        <f>IFERROR(__xludf.DUMMYFUNCTION("TRIM(REGEXREPLACE(D2365, ""[0-9]+[a-f]?\."", """"))"),"Combien avez-vous reçu de toutes les sources confondues ?")</f>
        <v>Combien avez-vous reçu de toutes les sources confondues ?</v>
      </c>
      <c r="I2365" s="172" t="str">
        <f>IFERROR(__xludf.DUMMYFUNCTION("TRIM(REGEXREPLACE(E2365, ""[0-9]+[a-f]?\."", """"))"),"Nawa kuka samu daga duk hanyoyin shiga gaba ɗayan su?")</f>
        <v>Nawa kuka samu daga duk hanyoyin shiga gaba ɗayan su?</v>
      </c>
      <c r="J2365" s="172" t="str">
        <f t="shared" ref="J2365:L2365" si="662">$F2365 &amp; ". " &amp;G2365</f>
        <v>639. How much did ou receive from all the sources combined?</v>
      </c>
      <c r="K2365" s="172" t="str">
        <f t="shared" si="662"/>
        <v>639. Combien avez-vous reçu de toutes les sources confondues ?</v>
      </c>
      <c r="L2365" s="172" t="str">
        <f t="shared" si="662"/>
        <v>639. Nawa kuka samu daga duk hanyoyin shiga gaba ɗayan su?</v>
      </c>
    </row>
    <row r="2366">
      <c r="A2366" s="253" t="s">
        <v>246</v>
      </c>
      <c r="B2366" s="254" t="s">
        <v>6990</v>
      </c>
      <c r="C2366" s="254" t="s">
        <v>5265</v>
      </c>
      <c r="D2366" s="254" t="s">
        <v>5266</v>
      </c>
      <c r="E2366" s="254" t="s">
        <v>5268</v>
      </c>
      <c r="F2366" s="182">
        <v>640.0</v>
      </c>
      <c r="G2366" s="172" t="str">
        <f>IFERROR(__xludf.DUMMYFUNCTION("TRIM(REGEXREPLACE(C2366, ""[0-9]+[a-f]?\."", """"))"),"In addition to the transfers we just discussed, what is the total value of income from charity or gifts your household has received &lt;b&gt;in the past three months&lt;/b&gt; in CFA?")</f>
        <v>In addition to the transfers we just discussed, what is the total value of income from charity or gifts your household has received &lt;b&gt;in the past three months&lt;/b&gt; in CFA?</v>
      </c>
      <c r="H2366" s="172" t="str">
        <f>IFERROR(__xludf.DUMMYFUNCTION("TRIM(REGEXREPLACE(D2366, ""[0-9]+[a-f]?\."", """"))"),"En dehors des transferts qu'on vient de citer, quelle est la valeur totale des revenus provenant d'œuvres caritatives ou de cadeaux que votre ménage a reçus &lt;b&gt; au cours des trois derniers mois&lt;/b&gt; (en CFA) ?")</f>
        <v>En dehors des transferts qu'on vient de citer, quelle est la valeur totale des revenus provenant d'œuvres caritatives ou de cadeaux que votre ménage a reçus &lt;b&gt; au cours des trois derniers mois&lt;/b&gt; (en CFA) ?</v>
      </c>
      <c r="I2366" s="172" t="str">
        <f>IFERROR(__xludf.DUMMYFUNCTION("TRIM(REGEXREPLACE(E2366, ""[0-9]+[a-f]?\."", """"))"),"Nawa ne yawan kuɗin taimako ko kyauta da ƴan gidanku suka samu a cikin watanni uku da suka gabata (a sefa) ?")</f>
        <v>Nawa ne yawan kuɗin taimako ko kyauta da ƴan gidanku suka samu a cikin watanni uku da suka gabata (a sefa) ?</v>
      </c>
      <c r="J2366" s="172" t="str">
        <f t="shared" ref="J2366:L2366" si="663">$F2366 &amp; ". " &amp;G2366</f>
        <v>640. In addition to the transfers we just discussed, what is the total value of income from charity or gifts your household has received &lt;b&gt;in the past three months&lt;/b&gt; in CFA?</v>
      </c>
      <c r="K2366" s="172" t="str">
        <f t="shared" si="663"/>
        <v>640. En dehors des transferts qu'on vient de citer, quelle est la valeur totale des revenus provenant d'œuvres caritatives ou de cadeaux que votre ménage a reçus &lt;b&gt; au cours des trois derniers mois&lt;/b&gt; (en CFA) ?</v>
      </c>
      <c r="L2366" s="172" t="str">
        <f t="shared" si="663"/>
        <v>640. Nawa ne yawan kuɗin taimako ko kyauta da ƴan gidanku suka samu a cikin watanni uku da suka gabata (a sefa) ?</v>
      </c>
    </row>
    <row r="2367" hidden="1">
      <c r="A2367" s="188" t="s">
        <v>118</v>
      </c>
      <c r="B2367" s="189" t="s">
        <v>6991</v>
      </c>
      <c r="C2367" s="190"/>
      <c r="D2367" s="190"/>
      <c r="E2367" s="190"/>
    </row>
    <row r="2368" hidden="1">
      <c r="A2368" s="188" t="s">
        <v>68</v>
      </c>
      <c r="B2368" s="189" t="s">
        <v>6992</v>
      </c>
      <c r="C2368" s="190"/>
      <c r="D2368" s="190"/>
      <c r="E2368" s="190"/>
    </row>
    <row r="2369" hidden="1">
      <c r="A2369" s="211" t="s">
        <v>238</v>
      </c>
      <c r="B2369" s="224" t="s">
        <v>6905</v>
      </c>
      <c r="C2369" s="224" t="s">
        <v>6906</v>
      </c>
      <c r="D2369" s="225"/>
      <c r="E2369" s="225"/>
    </row>
    <row r="2370" hidden="1">
      <c r="A2370" s="188" t="s">
        <v>118</v>
      </c>
      <c r="B2370" s="189" t="s">
        <v>6993</v>
      </c>
      <c r="C2370" s="190"/>
      <c r="D2370" s="190"/>
      <c r="E2370" s="190"/>
    </row>
    <row r="2371" hidden="1">
      <c r="A2371" s="211" t="s">
        <v>107</v>
      </c>
      <c r="B2371" s="212" t="s">
        <v>6994</v>
      </c>
      <c r="C2371" s="212" t="s">
        <v>6995</v>
      </c>
      <c r="D2371" s="212" t="s">
        <v>6996</v>
      </c>
      <c r="E2371" s="212" t="s">
        <v>6997</v>
      </c>
    </row>
    <row r="2372">
      <c r="A2372" s="215" t="s">
        <v>353</v>
      </c>
      <c r="B2372" s="216" t="s">
        <v>6998</v>
      </c>
      <c r="C2372" s="216" t="s">
        <v>6999</v>
      </c>
      <c r="D2372" s="216" t="s">
        <v>7000</v>
      </c>
      <c r="E2372" s="216" t="s">
        <v>7001</v>
      </c>
      <c r="F2372" s="182">
        <v>641.0</v>
      </c>
      <c r="G2372" s="172" t="str">
        <f>IFERROR(__xludf.DUMMYFUNCTION("TRIM(REGEXREPLACE(C2372, ""[0-9]+[a-f]?\."", """"))"),"In the past three months did your household make a significant investment or improvement in the house you reside in?")</f>
        <v>In the past three months did your household make a significant investment or improvement in the house you reside in?</v>
      </c>
      <c r="H2372" s="172" t="str">
        <f>IFERROR(__xludf.DUMMYFUNCTION("TRIM(REGEXREPLACE(D2372, ""[0-9]+[a-f]?\."", """"))"),"&lt;b&gt; Au cours des trois derniers mois&lt;/b&gt;, votre ménage a-t-il fait un investissement important ou des améliorations dans la maison que vous habitez ?")</f>
        <v>&lt;b&gt; Au cours des trois derniers mois&lt;/b&gt;, votre ménage a-t-il fait un investissement important ou des améliorations dans la maison que vous habitez ?</v>
      </c>
      <c r="I2372" s="172" t="str">
        <f>IFERROR(__xludf.DUMMYFUNCTION("TRIM(REGEXREPLACE(E2372, ""[0-9]+[a-f]?\."", """"))"),"A cikin watanni uku da suka wuce, gidanku ya saka wani babban jari ko ya gyara gidan da kuke zaune?")</f>
        <v>A cikin watanni uku da suka wuce, gidanku ya saka wani babban jari ko ya gyara gidan da kuke zaune?</v>
      </c>
      <c r="J2372" s="172" t="str">
        <f t="shared" ref="J2372:L2372" si="664">$F2372 &amp; ". " &amp;G2372</f>
        <v>641. In the past three months did your household make a significant investment or improvement in the house you reside in?</v>
      </c>
      <c r="K2372" s="172" t="str">
        <f t="shared" si="664"/>
        <v>641. &lt;b&gt; Au cours des trois derniers mois&lt;/b&gt;, votre ménage a-t-il fait un investissement important ou des améliorations dans la maison que vous habitez ?</v>
      </c>
      <c r="L2372" s="172" t="str">
        <f t="shared" si="664"/>
        <v>641. A cikin watanni uku da suka wuce, gidanku ya saka wani babban jari ko ya gyara gidan da kuke zaune?</v>
      </c>
    </row>
    <row r="2373">
      <c r="A2373" s="215" t="s">
        <v>353</v>
      </c>
      <c r="B2373" s="216" t="s">
        <v>7002</v>
      </c>
      <c r="C2373" s="216" t="s">
        <v>7003</v>
      </c>
      <c r="D2373" s="216" t="s">
        <v>7004</v>
      </c>
      <c r="E2373" s="216" t="s">
        <v>7005</v>
      </c>
      <c r="F2373" s="182">
        <v>642.0</v>
      </c>
      <c r="G2373" s="172" t="str">
        <f>IFERROR(__xludf.DUMMYFUNCTION("TRIM(REGEXREPLACE(C2373, ""[0-9]+[a-f]?\."", """"))"),"Build additional rooms")</f>
        <v>Build additional rooms</v>
      </c>
      <c r="H2373" s="172" t="str">
        <f>IFERROR(__xludf.DUMMYFUNCTION("TRIM(REGEXREPLACE(D2373, ""[0-9]+[a-f]?\."", """"))"),"Construire des chambres supplémentaires")</f>
        <v>Construire des chambres supplémentaires</v>
      </c>
      <c r="I2373" s="172" t="str">
        <f>IFERROR(__xludf.DUMMYFUNCTION("TRIM(REGEXREPLACE(E2373, ""[0-9]+[a-f]?\."", """"))"),"Ginin ƙarin ɗakuna")</f>
        <v>Ginin ƙarin ɗakuna</v>
      </c>
      <c r="J2373" s="172" t="str">
        <f t="shared" ref="J2373:L2373" si="665">$F2373 &amp; ". " &amp;G2373</f>
        <v>642. Build additional rooms</v>
      </c>
      <c r="K2373" s="172" t="str">
        <f t="shared" si="665"/>
        <v>642. Construire des chambres supplémentaires</v>
      </c>
      <c r="L2373" s="172" t="str">
        <f t="shared" si="665"/>
        <v>642. Ginin ƙarin ɗakuna</v>
      </c>
    </row>
    <row r="2374">
      <c r="A2374" s="215" t="s">
        <v>353</v>
      </c>
      <c r="B2374" s="216" t="s">
        <v>7006</v>
      </c>
      <c r="C2374" s="216" t="s">
        <v>7007</v>
      </c>
      <c r="D2374" s="216" t="s">
        <v>7008</v>
      </c>
      <c r="E2374" s="216" t="s">
        <v>7009</v>
      </c>
      <c r="F2374" s="182">
        <v>643.0</v>
      </c>
      <c r="G2374" s="172" t="str">
        <f>IFERROR(__xludf.DUMMYFUNCTION("TRIM(REGEXREPLACE(C2374, ""[0-9]+[a-f]?\."", """"))"),"Improve floors")</f>
        <v>Improve floors</v>
      </c>
      <c r="H2374" s="172" t="str">
        <f>IFERROR(__xludf.DUMMYFUNCTION("TRIM(REGEXREPLACE(D2374, ""[0-9]+[a-f]?\."", """"))"),"Améliorer les sols")</f>
        <v>Améliorer les sols</v>
      </c>
      <c r="I2374" s="172" t="str">
        <f>IFERROR(__xludf.DUMMYFUNCTION("TRIM(REGEXREPLACE(E2374, ""[0-9]+[a-f]?\."", """"))"),"Inganta filalayen gida")</f>
        <v>Inganta filalayen gida</v>
      </c>
      <c r="J2374" s="172" t="str">
        <f t="shared" ref="J2374:L2374" si="666">$F2374 &amp; ". " &amp;G2374</f>
        <v>643. Improve floors</v>
      </c>
      <c r="K2374" s="172" t="str">
        <f t="shared" si="666"/>
        <v>643. Améliorer les sols</v>
      </c>
      <c r="L2374" s="172" t="str">
        <f t="shared" si="666"/>
        <v>643. Inganta filalayen gida</v>
      </c>
    </row>
    <row r="2375">
      <c r="A2375" s="215" t="s">
        <v>353</v>
      </c>
      <c r="B2375" s="216" t="s">
        <v>7010</v>
      </c>
      <c r="C2375" s="216" t="s">
        <v>7011</v>
      </c>
      <c r="D2375" s="216" t="s">
        <v>7012</v>
      </c>
      <c r="E2375" s="216" t="s">
        <v>7013</v>
      </c>
      <c r="F2375" s="182">
        <v>644.0</v>
      </c>
      <c r="G2375" s="172" t="str">
        <f>IFERROR(__xludf.DUMMYFUNCTION("TRIM(REGEXREPLACE(C2375, ""[0-9]+[a-f]?\."", """"))"),"Improve walls")</f>
        <v>Improve walls</v>
      </c>
      <c r="H2375" s="172" t="str">
        <f>IFERROR(__xludf.DUMMYFUNCTION("TRIM(REGEXREPLACE(D2375, ""[0-9]+[a-f]?\."", """"))"),"Réfectionner les murs")</f>
        <v>Réfectionner les murs</v>
      </c>
      <c r="I2375" s="172" t="str">
        <f>IFERROR(__xludf.DUMMYFUNCTION("TRIM(REGEXREPLACE(E2375, ""[0-9]+[a-f]?\."", """"))"),"gyara katangun gida")</f>
        <v>gyara katangun gida</v>
      </c>
      <c r="J2375" s="172" t="str">
        <f t="shared" ref="J2375:L2375" si="667">$F2375 &amp; ". " &amp;G2375</f>
        <v>644. Improve walls</v>
      </c>
      <c r="K2375" s="172" t="str">
        <f t="shared" si="667"/>
        <v>644. Réfectionner les murs</v>
      </c>
      <c r="L2375" s="172" t="str">
        <f t="shared" si="667"/>
        <v>644. gyara katangun gida</v>
      </c>
    </row>
    <row r="2376">
      <c r="A2376" s="215" t="s">
        <v>353</v>
      </c>
      <c r="B2376" s="216" t="s">
        <v>7014</v>
      </c>
      <c r="C2376" s="216" t="s">
        <v>7015</v>
      </c>
      <c r="D2376" s="216" t="s">
        <v>7016</v>
      </c>
      <c r="E2376" s="216" t="s">
        <v>7017</v>
      </c>
      <c r="F2376" s="182">
        <v>645.0</v>
      </c>
      <c r="G2376" s="172" t="str">
        <f>IFERROR(__xludf.DUMMYFUNCTION("TRIM(REGEXREPLACE(C2376, ""[0-9]+[a-f]?\."", """"))"),"Improve roof")</f>
        <v>Improve roof</v>
      </c>
      <c r="H2376" s="172" t="str">
        <f>IFERROR(__xludf.DUMMYFUNCTION("TRIM(REGEXREPLACE(D2376, ""[0-9]+[a-f]?\."", """"))"),"Réfectionner le toit")</f>
        <v>Réfectionner le toit</v>
      </c>
      <c r="I2376" s="172" t="str">
        <f>IFERROR(__xludf.DUMMYFUNCTION("TRIM(REGEXREPLACE(E2376, ""[0-9]+[a-f]?\."", """"))"),"gyara rufin gida")</f>
        <v>gyara rufin gida</v>
      </c>
      <c r="J2376" s="172" t="str">
        <f t="shared" ref="J2376:L2376" si="668">$F2376 &amp; ". " &amp;G2376</f>
        <v>645. Improve roof</v>
      </c>
      <c r="K2376" s="172" t="str">
        <f t="shared" si="668"/>
        <v>645. Réfectionner le toit</v>
      </c>
      <c r="L2376" s="172" t="str">
        <f t="shared" si="668"/>
        <v>645. gyara rufin gida</v>
      </c>
    </row>
    <row r="2377">
      <c r="A2377" s="215" t="s">
        <v>353</v>
      </c>
      <c r="B2377" s="216" t="s">
        <v>7018</v>
      </c>
      <c r="C2377" s="216" t="s">
        <v>7019</v>
      </c>
      <c r="D2377" s="216" t="s">
        <v>7020</v>
      </c>
      <c r="E2377" s="216" t="s">
        <v>7021</v>
      </c>
      <c r="F2377" s="182">
        <v>646.0</v>
      </c>
      <c r="G2377" s="172" t="str">
        <f>IFERROR(__xludf.DUMMYFUNCTION("TRIM(REGEXREPLACE(C2377, ""[0-9]+[a-f]?\."", """"))"),"Other improvement")</f>
        <v>Other improvement</v>
      </c>
      <c r="H2377" s="172" t="str">
        <f>IFERROR(__xludf.DUMMYFUNCTION("TRIM(REGEXREPLACE(D2377, ""[0-9]+[a-f]?\."", """"))"),"Autre amélioration")</f>
        <v>Autre amélioration</v>
      </c>
      <c r="I2377" s="172" t="str">
        <f>IFERROR(__xludf.DUMMYFUNCTION("TRIM(REGEXREPLACE(E2377, ""[0-9]+[a-f]?\."", """"))"),"Wasu gyare gyare daban")</f>
        <v>Wasu gyare gyare daban</v>
      </c>
      <c r="J2377" s="172" t="str">
        <f t="shared" ref="J2377:L2377" si="669">$F2377 &amp; ". " &amp;G2377</f>
        <v>646. Other improvement</v>
      </c>
      <c r="K2377" s="172" t="str">
        <f t="shared" si="669"/>
        <v>646. Autre amélioration</v>
      </c>
      <c r="L2377" s="172" t="str">
        <f t="shared" si="669"/>
        <v>646. Wasu gyare gyare daban</v>
      </c>
    </row>
    <row r="2378" hidden="1">
      <c r="A2378" s="211" t="s">
        <v>238</v>
      </c>
      <c r="B2378" s="224" t="s">
        <v>6994</v>
      </c>
      <c r="C2378" s="224" t="s">
        <v>6995</v>
      </c>
      <c r="D2378" s="224" t="s">
        <v>6996</v>
      </c>
      <c r="E2378" s="224" t="s">
        <v>6997</v>
      </c>
    </row>
    <row r="2379">
      <c r="A2379" s="246" t="s">
        <v>231</v>
      </c>
      <c r="B2379" s="247" t="s">
        <v>7022</v>
      </c>
      <c r="C2379" s="247" t="s">
        <v>7023</v>
      </c>
      <c r="D2379" s="247" t="s">
        <v>7024</v>
      </c>
      <c r="E2379" s="247" t="s">
        <v>7025</v>
      </c>
      <c r="F2379" s="182">
        <v>647.0</v>
      </c>
      <c r="G2379" s="172" t="str">
        <f>IFERROR(__xludf.DUMMYFUNCTION("TRIM(REGEXREPLACE(C2379, ""[0-9]+[a-f]?\."", """"))"),"Specify other improvement (i.e. connect to electricity, build latrine)")</f>
        <v>Specify other improvement (i.e. connect to electricity, build latrine)</v>
      </c>
      <c r="H2379" s="172" t="str">
        <f>IFERROR(__xludf.DUMMYFUNCTION("TRIM(REGEXREPLACE(D2379, ""[0-9]+[a-f]?\."", """"))"),"Précisez les autres améliorations (c.-à-d. connecter de l'électricité, construire des latrines)")</f>
        <v>Précisez les autres améliorations (c.-à-d. connecter de l'électricité, construire des latrines)</v>
      </c>
      <c r="I2379" s="172" t="str">
        <f>IFERROR(__xludf.DUMMYFUNCTION("TRIM(REGEXREPLACE(E2379, ""[0-9]+[a-f]?\."", """"))"),"Baiyana wasu abubuwan ingantawa (kamar sa wutar lantarki, gina salga (masai ) )")</f>
        <v>Baiyana wasu abubuwan ingantawa (kamar sa wutar lantarki, gina salga (masai ) )</v>
      </c>
      <c r="J2379" s="172" t="str">
        <f t="shared" ref="J2379:L2379" si="670">$F2379 &amp; ". " &amp;G2379</f>
        <v>647. Specify other improvement (i.e. connect to electricity, build latrine)</v>
      </c>
      <c r="K2379" s="172" t="str">
        <f t="shared" si="670"/>
        <v>647. Précisez les autres améliorations (c.-à-d. connecter de l'électricité, construire des latrines)</v>
      </c>
      <c r="L2379" s="172" t="str">
        <f t="shared" si="670"/>
        <v>647. Baiyana wasu abubuwan ingantawa (kamar sa wutar lantarki, gina salga (masai ) )</v>
      </c>
    </row>
    <row r="2380">
      <c r="A2380" s="253" t="s">
        <v>246</v>
      </c>
      <c r="B2380" s="254" t="s">
        <v>7026</v>
      </c>
      <c r="C2380" s="254" t="s">
        <v>5310</v>
      </c>
      <c r="D2380" s="254" t="s">
        <v>5311</v>
      </c>
      <c r="E2380" s="254" t="s">
        <v>5312</v>
      </c>
      <c r="F2380" s="182">
        <v>648.0</v>
      </c>
      <c r="G2380" s="172" t="str">
        <f>IFERROR(__xludf.DUMMYFUNCTION("TRIM(REGEXREPLACE(C2380, ""[0-9]+[a-f]?\."", """"))"),"Approximately how much did all of these investments together cost in CFA?")</f>
        <v>Approximately how much did all of these investments together cost in CFA?</v>
      </c>
      <c r="H2380" s="172" t="str">
        <f>IFERROR(__xludf.DUMMYFUNCTION("TRIM(REGEXREPLACE(D2380, ""[0-9]+[a-f]?\."", """"))"),"Combien ont coûté approximativement tous ces investissements (en CFA) ?")</f>
        <v>Combien ont coûté approximativement tous ces investissements (en CFA) ?</v>
      </c>
      <c r="I2380" s="172" t="str">
        <f>IFERROR(__xludf.DUMMYFUNCTION("TRIM(REGEXREPLACE(E2380, ""[0-9]+[a-f]?\."", """"))"),"Aƙalla nawa aka kashe akan waɗannan ayyukan a sefa?")</f>
        <v>Aƙalla nawa aka kashe akan waɗannan ayyukan a sefa?</v>
      </c>
      <c r="J2380" s="172" t="str">
        <f t="shared" ref="J2380:L2380" si="671">$F2380 &amp; ". " &amp;G2380</f>
        <v>648. Approximately how much did all of these investments together cost in CFA?</v>
      </c>
      <c r="K2380" s="172" t="str">
        <f t="shared" si="671"/>
        <v>648. Combien ont coûté approximativement tous ces investissements (en CFA) ?</v>
      </c>
      <c r="L2380" s="172" t="str">
        <f t="shared" si="671"/>
        <v>648. Aƙalla nawa aka kashe akan waɗannan ayyukan a sefa?</v>
      </c>
    </row>
    <row r="2381">
      <c r="A2381" s="215" t="s">
        <v>353</v>
      </c>
      <c r="B2381" s="216" t="s">
        <v>7027</v>
      </c>
      <c r="C2381" s="216" t="s">
        <v>5315</v>
      </c>
      <c r="D2381" s="216" t="s">
        <v>5316</v>
      </c>
      <c r="E2381" s="216" t="s">
        <v>5317</v>
      </c>
      <c r="F2381" s="182">
        <v>649.0</v>
      </c>
      <c r="G2381" s="172" t="str">
        <f>IFERROR(__xludf.DUMMYFUNCTION("TRIM(REGEXREPLACE(C2381, ""[0-9]+[a-f]?\."", """"))"),"In the past 3 months did you make any investments in your non-agricultural business?")</f>
        <v>In the past 3 months did you make any investments in your non-agricultural business?</v>
      </c>
      <c r="H2381" s="172" t="str">
        <f>IFERROR(__xludf.DUMMYFUNCTION("TRIM(REGEXREPLACE(D2381, ""[0-9]+[a-f]?\."", """"))"),"Au cours des 3 derniers mois, avez-vous fait des investissements dans votre entreprise non agricole ?")</f>
        <v>Au cours des 3 derniers mois, avez-vous fait des investissements dans votre entreprise non agricole ?</v>
      </c>
      <c r="I2381" s="172" t="str">
        <f>IFERROR(__xludf.DUMMYFUNCTION("TRIM(REGEXREPLACE(E2381, ""[0-9]+[a-f]?\."", """"))"),"A cikin watanni 3 da suka gabata, kun zuba jari a cikin harkokinku da ba na noma ba?")</f>
        <v>A cikin watanni 3 da suka gabata, kun zuba jari a cikin harkokinku da ba na noma ba?</v>
      </c>
      <c r="J2381" s="172" t="str">
        <f t="shared" ref="J2381:L2381" si="672">$F2381 &amp; ". " &amp;G2381</f>
        <v>649. In the past 3 months did you make any investments in your non-agricultural business?</v>
      </c>
      <c r="K2381" s="172" t="str">
        <f t="shared" si="672"/>
        <v>649. Au cours des 3 derniers mois, avez-vous fait des investissements dans votre entreprise non agricole ?</v>
      </c>
      <c r="L2381" s="172" t="str">
        <f t="shared" si="672"/>
        <v>649. A cikin watanni 3 da suka gabata, kun zuba jari a cikin harkokinku da ba na noma ba?</v>
      </c>
    </row>
    <row r="2382">
      <c r="A2382" s="246" t="s">
        <v>231</v>
      </c>
      <c r="B2382" s="247" t="s">
        <v>7028</v>
      </c>
      <c r="C2382" s="247" t="s">
        <v>7029</v>
      </c>
      <c r="D2382" s="247" t="s">
        <v>7030</v>
      </c>
      <c r="E2382" s="247" t="s">
        <v>7031</v>
      </c>
      <c r="F2382" s="182">
        <v>650.0</v>
      </c>
      <c r="G2382" s="172" t="str">
        <f>IFERROR(__xludf.DUMMYFUNCTION("TRIM(REGEXREPLACE(C2382, ""[0-9]+[a-f]?\."", """"))"),"Specify the improvement to your business")</f>
        <v>Specify the improvement to your business</v>
      </c>
      <c r="H2382" s="172" t="str">
        <f>IFERROR(__xludf.DUMMYFUNCTION("TRIM(REGEXREPLACE(D2382, ""[0-9]+[a-f]?\."", """"))"),"Précisez les investissements que vous avez fait dans votre entreprise")</f>
        <v>Précisez les investissements que vous avez fait dans votre entreprise</v>
      </c>
      <c r="I2382" s="172" t="str">
        <f>IFERROR(__xludf.DUMMYFUNCTION("TRIM(REGEXREPLACE(E2382, ""[0-9]+[a-f]?\."", """"))"),"Ku bayyana kuɗin da kuka kashe don haɓɓaka kasuwancin ku")</f>
        <v>Ku bayyana kuɗin da kuka kashe don haɓɓaka kasuwancin ku</v>
      </c>
      <c r="J2382" s="172" t="str">
        <f t="shared" ref="J2382:L2382" si="673">$F2382 &amp; ". " &amp;G2382</f>
        <v>650. Specify the improvement to your business</v>
      </c>
      <c r="K2382" s="172" t="str">
        <f t="shared" si="673"/>
        <v>650. Précisez les investissements que vous avez fait dans votre entreprise</v>
      </c>
      <c r="L2382" s="172" t="str">
        <f t="shared" si="673"/>
        <v>650. Ku bayyana kuɗin da kuka kashe don haɓɓaka kasuwancin ku</v>
      </c>
    </row>
    <row r="2383">
      <c r="A2383" s="215" t="s">
        <v>353</v>
      </c>
      <c r="B2383" s="216" t="s">
        <v>7032</v>
      </c>
      <c r="C2383" s="216" t="s">
        <v>5328</v>
      </c>
      <c r="D2383" s="216" t="s">
        <v>5330</v>
      </c>
      <c r="E2383" s="216" t="s">
        <v>5331</v>
      </c>
      <c r="F2383" s="182">
        <v>651.0</v>
      </c>
      <c r="G2383" s="172" t="str">
        <f>IFERROR(__xludf.DUMMYFUNCTION("TRIM(REGEXREPLACE(C2383, ""[0-9]+[a-f]?\."", """"))"),"In the past 3 months did you make any investments to improve the productivity of your land?")</f>
        <v>In the past 3 months did you make any investments to improve the productivity of your land?</v>
      </c>
      <c r="H2383" s="172" t="str">
        <f>IFERROR(__xludf.DUMMYFUNCTION("TRIM(REGEXREPLACE(D2383, ""[0-9]+[a-f]?\."", """"))"),"Au cours des 3 derniers mois, avez-vous fait des investissements pour améliorer la productivité de votre terre ?")</f>
        <v>Au cours des 3 derniers mois, avez-vous fait des investissements pour améliorer la productivité de votre terre ?</v>
      </c>
      <c r="I2383" s="172" t="str">
        <f>IFERROR(__xludf.DUMMYFUNCTION("TRIM(REGEXREPLACE(E2383, ""[0-9]+[a-f]?\."", """"))"),"A cikin watanni 3 da suka gabata, kun zuba kudi don inganta samun amfanin gonakinku?")</f>
        <v>A cikin watanni 3 da suka gabata, kun zuba kudi don inganta samun amfanin gonakinku?</v>
      </c>
      <c r="J2383" s="172" t="str">
        <f t="shared" ref="J2383:L2383" si="674">$F2383 &amp; ". " &amp;G2383</f>
        <v>651. In the past 3 months did you make any investments to improve the productivity of your land?</v>
      </c>
      <c r="K2383" s="172" t="str">
        <f t="shared" si="674"/>
        <v>651. Au cours des 3 derniers mois, avez-vous fait des investissements pour améliorer la productivité de votre terre ?</v>
      </c>
      <c r="L2383" s="172" t="str">
        <f t="shared" si="674"/>
        <v>651. A cikin watanni 3 da suka gabata, kun zuba kudi don inganta samun amfanin gonakinku?</v>
      </c>
    </row>
    <row r="2384">
      <c r="A2384" s="246" t="s">
        <v>231</v>
      </c>
      <c r="B2384" s="247" t="s">
        <v>7033</v>
      </c>
      <c r="C2384" s="247" t="s">
        <v>5333</v>
      </c>
      <c r="D2384" s="247" t="s">
        <v>5334</v>
      </c>
      <c r="E2384" s="247" t="s">
        <v>5335</v>
      </c>
      <c r="F2384" s="182">
        <v>652.0</v>
      </c>
      <c r="G2384" s="172" t="str">
        <f>IFERROR(__xludf.DUMMYFUNCTION("TRIM(REGEXREPLACE(C2384, ""[0-9]+[a-f]?\."", """"))"),"Specify improvement to land")</f>
        <v>Specify improvement to land</v>
      </c>
      <c r="H2384" s="172" t="str">
        <f>IFERROR(__xludf.DUMMYFUNCTION("TRIM(REGEXREPLACE(D2384, ""[0-9]+[a-f]?\."", """"))"),"Précisez les améliorations de votre terre que vous avez fait")</f>
        <v>Précisez les améliorations de votre terre que vous avez fait</v>
      </c>
      <c r="I2384" s="172" t="str">
        <f>IFERROR(__xludf.DUMMYFUNCTION("TRIM(REGEXREPLACE(E2384, ""[0-9]+[a-f]?\."", """"))"),"Ku bayyana kuɗin da kuka kashe don haɓɓaka gonarku")</f>
        <v>Ku bayyana kuɗin da kuka kashe don haɓɓaka gonarku</v>
      </c>
      <c r="J2384" s="172" t="str">
        <f t="shared" ref="J2384:L2384" si="675">$F2384 &amp; ". " &amp;G2384</f>
        <v>652. Specify improvement to land</v>
      </c>
      <c r="K2384" s="172" t="str">
        <f t="shared" si="675"/>
        <v>652. Précisez les améliorations de votre terre que vous avez fait</v>
      </c>
      <c r="L2384" s="172" t="str">
        <f t="shared" si="675"/>
        <v>652. Ku bayyana kuɗin da kuka kashe don haɓɓaka gonarku</v>
      </c>
    </row>
    <row r="2385" hidden="1">
      <c r="A2385" s="188" t="s">
        <v>118</v>
      </c>
      <c r="B2385" s="189" t="s">
        <v>7034</v>
      </c>
      <c r="C2385" s="190"/>
      <c r="D2385" s="190"/>
      <c r="E2385" s="190"/>
    </row>
    <row r="2386" hidden="1">
      <c r="A2386" s="188" t="s">
        <v>68</v>
      </c>
      <c r="B2386" s="189" t="s">
        <v>7035</v>
      </c>
      <c r="C2386" s="190"/>
      <c r="D2386" s="190"/>
      <c r="E2386" s="190"/>
    </row>
    <row r="2387" hidden="1">
      <c r="A2387" s="188" t="s">
        <v>118</v>
      </c>
      <c r="B2387" s="189" t="s">
        <v>7036</v>
      </c>
      <c r="C2387" s="190"/>
      <c r="D2387" s="190"/>
      <c r="E2387" s="190"/>
    </row>
    <row r="2388">
      <c r="A2388" s="207" t="s">
        <v>41</v>
      </c>
      <c r="B2388" s="208" t="s">
        <v>7037</v>
      </c>
      <c r="C2388" s="208" t="s">
        <v>5343</v>
      </c>
      <c r="D2388" s="208" t="s">
        <v>5344</v>
      </c>
      <c r="E2388" s="208" t="s">
        <v>5345</v>
      </c>
      <c r="F2388" s="182">
        <v>653.0</v>
      </c>
      <c r="G2388" s="172" t="str">
        <f>IFERROR(__xludf.DUMMYFUNCTION("TRIM(REGEXREPLACE(C2388, ""[0-9]+[a-f]?\."", """"))"),"Now I will ask you about different ways your household may use money that you earn.")</f>
        <v>Now I will ask you about different ways your household may use money that you earn.</v>
      </c>
      <c r="H2388" s="172" t="str">
        <f>IFERROR(__xludf.DUMMYFUNCTION("TRIM(REGEXREPLACE(D2388, ""[0-9]+[a-f]?\."", """"))"),"Je vais maintenant vous poser des questions sur les différentes façons dont votre ménage peut utiliser l'argent que vous gagnez.")</f>
        <v>Je vais maintenant vous poser des questions sur les différentes façons dont votre ménage peut utiliser l'argent que vous gagnez.</v>
      </c>
      <c r="I2388" s="172" t="str">
        <f>IFERROR(__xludf.DUMMYFUNCTION("TRIM(REGEXREPLACE(E2388, ""[0-9]+[a-f]?\."", """"))"),"Yanzu zan yi muku tambayoyi game hanyoyi daban-daban da gidanku ke iya amfani da su don kashe kuɗin da yake samu.")</f>
        <v>Yanzu zan yi muku tambayoyi game hanyoyi daban-daban da gidanku ke iya amfani da su don kashe kuɗin da yake samu.</v>
      </c>
      <c r="J2388" s="172" t="str">
        <f t="shared" ref="J2388:L2388" si="676">$F2388 &amp; ". " &amp;G2388</f>
        <v>653. Now I will ask you about different ways your household may use money that you earn.</v>
      </c>
      <c r="K2388" s="172" t="str">
        <f t="shared" si="676"/>
        <v>653. Je vais maintenant vous poser des questions sur les différentes façons dont votre ménage peut utiliser l'argent que vous gagnez.</v>
      </c>
      <c r="L2388" s="172" t="str">
        <f t="shared" si="676"/>
        <v>653. Yanzu zan yi muku tambayoyi game hanyoyi daban-daban da gidanku ke iya amfani da su don kashe kuɗin da yake samu.</v>
      </c>
    </row>
    <row r="2389">
      <c r="A2389" s="215" t="s">
        <v>5906</v>
      </c>
      <c r="B2389" s="216" t="s">
        <v>7038</v>
      </c>
      <c r="C2389" s="216" t="s">
        <v>5347</v>
      </c>
      <c r="D2389" s="216" t="s">
        <v>5348</v>
      </c>
      <c r="E2389" s="216" t="s">
        <v>5349</v>
      </c>
      <c r="F2389" s="182">
        <v>654.0</v>
      </c>
      <c r="G2389" s="172" t="str">
        <f>IFERROR(__xludf.DUMMYFUNCTION("TRIM(REGEXREPLACE(C2389, ""[0-9]+[a-f]?\."", """"))"),"Does your household currently have any savings that you keep in any of the following ways?")</f>
        <v>Does your household currently have any savings that you keep in any of the following ways?</v>
      </c>
      <c r="H2389" s="172" t="str">
        <f>IFERROR(__xludf.DUMMYFUNCTION("TRIM(REGEXREPLACE(D2389, ""[0-9]+[a-f]?\."", """"))"),"Votre ménage dispose-t-il actuellement d'économies que vous conservez de l'une des manières suivantes ?")</f>
        <v>Votre ménage dispose-t-il actuellement d'économies que vous conservez de l'une des manières suivantes ?</v>
      </c>
      <c r="I2389" s="172" t="str">
        <f>IFERROR(__xludf.DUMMYFUNCTION("TRIM(REGEXREPLACE(E2389, ""[0-9]+[a-f]?\."", """"))"),"Ko a halin yanzu gidanku na da ajiyar kuɗi daga ɗaya a cikin wanɗannan dubaru?")</f>
        <v>Ko a halin yanzu gidanku na da ajiyar kuɗi daga ɗaya a cikin wanɗannan dubaru?</v>
      </c>
      <c r="J2389" s="172" t="str">
        <f t="shared" ref="J2389:L2389" si="677">$F2389 &amp; ". " &amp;G2389</f>
        <v>654. Does your household currently have any savings that you keep in any of the following ways?</v>
      </c>
      <c r="K2389" s="172" t="str">
        <f t="shared" si="677"/>
        <v>654. Votre ménage dispose-t-il actuellement d'économies que vous conservez de l'une des manières suivantes ?</v>
      </c>
      <c r="L2389" s="172" t="str">
        <f t="shared" si="677"/>
        <v>654. Ko a halin yanzu gidanku na da ajiyar kuɗi daga ɗaya a cikin wanɗannan dubaru?</v>
      </c>
    </row>
    <row r="2390">
      <c r="A2390" s="246" t="s">
        <v>231</v>
      </c>
      <c r="B2390" s="247" t="s">
        <v>7039</v>
      </c>
      <c r="C2390" s="247" t="s">
        <v>5353</v>
      </c>
      <c r="D2390" s="247" t="s">
        <v>5355</v>
      </c>
      <c r="E2390" s="247" t="s">
        <v>5356</v>
      </c>
      <c r="F2390" s="182">
        <v>655.0</v>
      </c>
      <c r="G2390" s="172" t="str">
        <f>IFERROR(__xludf.DUMMYFUNCTION("TRIM(REGEXREPLACE(C2390, ""[0-9]+[a-f]?\."", """"))"),"Specify other:")</f>
        <v>Specify other:</v>
      </c>
      <c r="H2390" s="172" t="str">
        <f>IFERROR(__xludf.DUMMYFUNCTION("TRIM(REGEXREPLACE(D2390, ""[0-9]+[a-f]?\."", """"))"),"Autre a préciser :")</f>
        <v>Autre a préciser :</v>
      </c>
      <c r="I2390" s="172" t="str">
        <f>IFERROR(__xludf.DUMMYFUNCTION("TRIM(REGEXREPLACE(E2390, ""[0-9]+[a-f]?\."", """"))"),"Baiyana wani abu daban:")</f>
        <v>Baiyana wani abu daban:</v>
      </c>
      <c r="J2390" s="172" t="str">
        <f t="shared" ref="J2390:L2390" si="678">$F2390 &amp; ". " &amp;G2390</f>
        <v>655. Specify other:</v>
      </c>
      <c r="K2390" s="172" t="str">
        <f t="shared" si="678"/>
        <v>655. Autre a préciser :</v>
      </c>
      <c r="L2390" s="172" t="str">
        <f t="shared" si="678"/>
        <v>655. Baiyana wani abu daban:</v>
      </c>
    </row>
    <row r="2391" hidden="1">
      <c r="A2391" s="255" t="s">
        <v>1042</v>
      </c>
      <c r="B2391" s="256" t="s">
        <v>7040</v>
      </c>
      <c r="C2391" s="256" t="s">
        <v>5911</v>
      </c>
      <c r="D2391" s="256" t="s">
        <v>5912</v>
      </c>
      <c r="E2391" s="256" t="s">
        <v>5913</v>
      </c>
    </row>
    <row r="2392" hidden="1">
      <c r="A2392" s="188" t="s">
        <v>68</v>
      </c>
      <c r="B2392" s="189" t="s">
        <v>7041</v>
      </c>
      <c r="C2392" s="190"/>
      <c r="D2392" s="190"/>
      <c r="E2392" s="190"/>
    </row>
    <row r="2393" hidden="1">
      <c r="A2393" s="188" t="s">
        <v>68</v>
      </c>
      <c r="B2393" s="189" t="s">
        <v>7042</v>
      </c>
      <c r="C2393" s="217" t="s">
        <v>5915</v>
      </c>
      <c r="D2393" s="217" t="s">
        <v>5916</v>
      </c>
      <c r="E2393" s="217" t="s">
        <v>7043</v>
      </c>
    </row>
    <row r="2394">
      <c r="A2394" s="253" t="s">
        <v>246</v>
      </c>
      <c r="B2394" s="254" t="s">
        <v>7044</v>
      </c>
      <c r="C2394" s="254" t="s">
        <v>5374</v>
      </c>
      <c r="D2394" s="254" t="s">
        <v>5375</v>
      </c>
      <c r="E2394" s="254" t="s">
        <v>5376</v>
      </c>
      <c r="F2394" s="182">
        <v>656.0</v>
      </c>
      <c r="G2394" s="172" t="str">
        <f>IFERROR(__xludf.DUMMYFUNCTION("TRIM(REGEXREPLACE(C2394, ""[0-9]+[a-f]?\."", """"))"),"Please share with us your best estimate of the value in CFA ${hoh_savings_name}")</f>
        <v>Please share with us your best estimate of the value in CFA ${hoh_savings_name}</v>
      </c>
      <c r="H2394" s="172" t="str">
        <f>IFERROR(__xludf.DUMMYFUNCTION("TRIM(REGEXREPLACE(D2394, ""[0-9]+[a-f]?\."", """"))"),"Veuillez nous dire votre meilleure estimation de la valeur en CFA ${hoh_savings_name}")</f>
        <v>Veuillez nous dire votre meilleure estimation de la valeur en CFA ${hoh_savings_name}</v>
      </c>
      <c r="I2394" s="172" t="str">
        <f>IFERROR(__xludf.DUMMYFUNCTION("TRIM(REGEXREPLACE(E2394, ""[0-9]+[a-f]?\."", """"))"),"Da fatan zaku baiyana mini yawan kuɗin a tsammaninku ${hoh_savings_name} a CFA")</f>
        <v>Da fatan zaku baiyana mini yawan kuɗin a tsammaninku ${hoh_savings_name} a CFA</v>
      </c>
      <c r="J2394" s="172" t="str">
        <f t="shared" ref="J2394:L2394" si="679">$F2394 &amp; ". " &amp;G2394</f>
        <v>656. Please share with us your best estimate of the value in CFA ${hoh_savings_name}</v>
      </c>
      <c r="K2394" s="172" t="str">
        <f t="shared" si="679"/>
        <v>656. Veuillez nous dire votre meilleure estimation de la valeur en CFA ${hoh_savings_name}</v>
      </c>
      <c r="L2394" s="172" t="str">
        <f t="shared" si="679"/>
        <v>656. Da fatan zaku baiyana mini yawan kuɗin a tsammaninku ${hoh_savings_name} a CFA</v>
      </c>
    </row>
    <row r="2395">
      <c r="A2395" s="215" t="s">
        <v>353</v>
      </c>
      <c r="B2395" s="216" t="s">
        <v>7045</v>
      </c>
      <c r="C2395" s="216" t="s">
        <v>5379</v>
      </c>
      <c r="D2395" s="216" t="s">
        <v>5380</v>
      </c>
      <c r="E2395" s="216" t="s">
        <v>5381</v>
      </c>
      <c r="F2395" s="182">
        <v>657.0</v>
      </c>
      <c r="G2395" s="172" t="str">
        <f>IFERROR(__xludf.DUMMYFUNCTION("TRIM(REGEXREPLACE(C2395, ""[0-9]+[a-f]?\."", """"))"),"Do you earn interest on this money ${hoh_savings_name}?")</f>
        <v>Do you earn interest on this money ${hoh_savings_name}?</v>
      </c>
      <c r="H2395" s="172" t="str">
        <f>IFERROR(__xludf.DUMMYFUNCTION("TRIM(REGEXREPLACE(D2395, ""[0-9]+[a-f]?\."", """"))"),"Gagnez-vous des intérêts sur cet argent ${hoh_savings_name} ?")</f>
        <v>Gagnez-vous des intérêts sur cet argent ${hoh_savings_name} ?</v>
      </c>
      <c r="I2395" s="172" t="str">
        <f>IFERROR(__xludf.DUMMYFUNCTION("TRIM(REGEXREPLACE(E2395, ""[0-9]+[a-f]?\."", """"))"),"Kuna samun kudin ruwa akan wannan kuɗin ${hoh_savings_name}?")</f>
        <v>Kuna samun kudin ruwa akan wannan kuɗin ${hoh_savings_name}?</v>
      </c>
      <c r="J2395" s="172" t="str">
        <f t="shared" ref="J2395:L2395" si="680">$F2395 &amp; ". " &amp;G2395</f>
        <v>657. Do you earn interest on this money ${hoh_savings_name}?</v>
      </c>
      <c r="K2395" s="172" t="str">
        <f t="shared" si="680"/>
        <v>657. Gagnez-vous des intérêts sur cet argent ${hoh_savings_name} ?</v>
      </c>
      <c r="L2395" s="172" t="str">
        <f t="shared" si="680"/>
        <v>657. Kuna samun kudin ruwa akan wannan kuɗin ${hoh_savings_name}?</v>
      </c>
    </row>
    <row r="2396" hidden="1">
      <c r="A2396" s="255" t="s">
        <v>1064</v>
      </c>
      <c r="B2396" s="261" t="s">
        <v>7040</v>
      </c>
      <c r="C2396" s="261" t="s">
        <v>5911</v>
      </c>
      <c r="D2396" s="261" t="s">
        <v>5912</v>
      </c>
      <c r="E2396" s="261" t="s">
        <v>5913</v>
      </c>
    </row>
    <row r="2397" hidden="1">
      <c r="A2397" s="188" t="s">
        <v>118</v>
      </c>
      <c r="B2397" s="189" t="s">
        <v>7046</v>
      </c>
      <c r="C2397" s="190"/>
      <c r="D2397" s="190"/>
      <c r="E2397" s="190"/>
    </row>
    <row r="2398" hidden="1">
      <c r="A2398" s="188" t="s">
        <v>68</v>
      </c>
      <c r="B2398" s="189" t="s">
        <v>7047</v>
      </c>
      <c r="C2398" s="190"/>
      <c r="D2398" s="190"/>
      <c r="E2398" s="190"/>
    </row>
    <row r="2399" hidden="1">
      <c r="A2399" s="188" t="s">
        <v>68</v>
      </c>
      <c r="B2399" s="189" t="s">
        <v>7048</v>
      </c>
      <c r="C2399" s="190"/>
      <c r="D2399" s="190"/>
      <c r="E2399" s="190"/>
    </row>
    <row r="2400">
      <c r="A2400" s="215" t="s">
        <v>353</v>
      </c>
      <c r="B2400" s="216" t="s">
        <v>7049</v>
      </c>
      <c r="C2400" s="216" t="s">
        <v>7050</v>
      </c>
      <c r="D2400" s="216" t="s">
        <v>7051</v>
      </c>
      <c r="E2400" s="216" t="s">
        <v>7052</v>
      </c>
      <c r="F2400" s="182">
        <v>658.0</v>
      </c>
      <c r="G2400" s="172" t="str">
        <f>IFERROR(__xludf.DUMMYFUNCTION("TRIM(REGEXREPLACE(C2400, ""[0-9]+[a-f]?\."", """"))"),"Total savings: ${hoh_savings_total}: Does this look correct?")</f>
        <v>Total savings: ${hoh_savings_total}: Does this look correct?</v>
      </c>
      <c r="H2400" s="172" t="str">
        <f>IFERROR(__xludf.DUMMYFUNCTION("TRIM(REGEXREPLACE(D2400, ""[0-9]+[a-f]?\."", """"))"),"Économies totales : ${hoh_savings_total} : cela vous semble correct ?")</f>
        <v>Économies totales : ${hoh_savings_total} : cela vous semble correct ?</v>
      </c>
      <c r="I2400" s="172" t="str">
        <f>IFERROR(__xludf.DUMMYFUNCTION("TRIM(REGEXREPLACE(E2400, ""[0-9]+[a-f]?\."", """"))"),"Jimillar ajiya: ${hoh_savings_total}: kuna ganin ​​wannan yayi daidai?")</f>
        <v>Jimillar ajiya: ${hoh_savings_total}: kuna ganin ​​wannan yayi daidai?</v>
      </c>
      <c r="J2400" s="172" t="str">
        <f t="shared" ref="J2400:L2400" si="681">$F2400 &amp; ". " &amp;G2400</f>
        <v>658. Total savings: ${hoh_savings_total}: Does this look correct?</v>
      </c>
      <c r="K2400" s="172" t="str">
        <f t="shared" si="681"/>
        <v>658. Économies totales : ${hoh_savings_total} : cela vous semble correct ?</v>
      </c>
      <c r="L2400" s="172" t="str">
        <f t="shared" si="681"/>
        <v>658. Jimillar ajiya: ${hoh_savings_total}: kuna ganin ​​wannan yayi daidai?</v>
      </c>
    </row>
    <row r="2401" hidden="1">
      <c r="A2401" s="269"/>
      <c r="B2401" s="270"/>
      <c r="C2401" s="270"/>
      <c r="D2401" s="270"/>
      <c r="E2401" s="270"/>
    </row>
    <row r="2402">
      <c r="A2402" s="215" t="s">
        <v>5929</v>
      </c>
      <c r="B2402" s="216" t="s">
        <v>7053</v>
      </c>
      <c r="C2402" s="216" t="s">
        <v>7054</v>
      </c>
      <c r="D2402" s="216" t="s">
        <v>7055</v>
      </c>
      <c r="E2402" s="216" t="s">
        <v>7056</v>
      </c>
      <c r="F2402" s="182">
        <v>659.0</v>
      </c>
      <c r="G2402" s="172" t="str">
        <f>IFERROR(__xludf.DUMMYFUNCTION("TRIM(REGEXREPLACE(C2402, ""[0-9]+[a-f]?\."", """"))"),"During ${period}, was your household negatively affected by any of the following types of events?")</f>
        <v>During ${period}, was your household negatively affected by any of the following types of events?</v>
      </c>
      <c r="H2402" s="172" t="str">
        <f>IFERROR(__xludf.DUMMYFUNCTION("TRIM(REGEXREPLACE(D2402, ""[0-9]+[a-f]?\."", """"))"),"Au cours de ${period_french}, votre ménage a-t-il été affecté négativement par l'un des types d'événements suivants ?")</f>
        <v>Au cours de ${period_french}, votre ménage a-t-il été affecté négativement par l'un des types d'événements suivants ?</v>
      </c>
      <c r="I2402" s="172" t="str">
        <f>IFERROR(__xludf.DUMMYFUNCTION("TRIM(REGEXREPLACE(E2402, ""[0-9]+[a-f]?\."", """"))"),"A lokacin ${period_hausa}, ko gidanku ya fuskanci wani daga cikin matsaloli nan masu zuwa? Zaɓi duk abin da ya dace")</f>
        <v>A lokacin ${period_hausa}, ko gidanku ya fuskanci wani daga cikin matsaloli nan masu zuwa? Zaɓi duk abin da ya dace</v>
      </c>
      <c r="J2402" s="172" t="str">
        <f t="shared" ref="J2402:L2402" si="682">$F2402 &amp; ". " &amp;G2402</f>
        <v>659. During ${period}, was your household negatively affected by any of the following types of events?</v>
      </c>
      <c r="K2402" s="172" t="str">
        <f t="shared" si="682"/>
        <v>659. Au cours de ${period_french}, votre ménage a-t-il été affecté négativement par l'un des types d'événements suivants ?</v>
      </c>
      <c r="L2402" s="172" t="str">
        <f t="shared" si="682"/>
        <v>659. A lokacin ${period_hausa}, ko gidanku ya fuskanci wani daga cikin matsaloli nan masu zuwa? Zaɓi duk abin da ya dace</v>
      </c>
    </row>
    <row r="2403">
      <c r="A2403" s="246" t="s">
        <v>231</v>
      </c>
      <c r="B2403" s="247" t="s">
        <v>7057</v>
      </c>
      <c r="C2403" s="247" t="s">
        <v>7058</v>
      </c>
      <c r="D2403" s="247" t="s">
        <v>7059</v>
      </c>
      <c r="E2403" s="247" t="s">
        <v>7060</v>
      </c>
      <c r="F2403" s="182">
        <v>660.0</v>
      </c>
      <c r="G2403" s="172" t="str">
        <f>IFERROR(__xludf.DUMMYFUNCTION("TRIM(REGEXREPLACE(C2403, ""[0-9]+[a-f]?\."", """"))"),"Please briefly describe the event(s) that negatveily affected your household")</f>
        <v>Please briefly describe the event(s) that negatveily affected your household</v>
      </c>
      <c r="H2403" s="172" t="str">
        <f>IFERROR(__xludf.DUMMYFUNCTION("TRIM(REGEXREPLACE(D2403, ""[0-9]+[a-f]?\."", """"))"),"Veuillez décrire brièvement le/les événement(s) qui ont eu des effets négatifs sur votre ménage au cours des 3 derniers mois")</f>
        <v>Veuillez décrire brièvement le/les événement(s) qui ont eu des effets négatifs sur votre ménage au cours des 3 derniers mois</v>
      </c>
      <c r="I2403" s="172" t="str">
        <f>IFERROR(__xludf.DUMMYFUNCTION("TRIM(REGEXREPLACE(E2403, ""[0-9]+[a-f]?\."", """"))"),"Da fatan za ku yi taƙaitaccen bayani a kan abin da ya shafi gidan ku")</f>
        <v>Da fatan za ku yi taƙaitaccen bayani a kan abin da ya shafi gidan ku</v>
      </c>
      <c r="J2403" s="172" t="str">
        <f t="shared" ref="J2403:L2403" si="683">$F2403 &amp; ". " &amp;G2403</f>
        <v>660. Please briefly describe the event(s) that negatveily affected your household</v>
      </c>
      <c r="K2403" s="172" t="str">
        <f t="shared" si="683"/>
        <v>660. Veuillez décrire brièvement le/les événement(s) qui ont eu des effets négatifs sur votre ménage au cours des 3 derniers mois</v>
      </c>
      <c r="L2403" s="172" t="str">
        <f t="shared" si="683"/>
        <v>660. Da fatan za ku yi taƙaitaccen bayani a kan abin da ya shafi gidan ku</v>
      </c>
    </row>
    <row r="2404" hidden="1">
      <c r="A2404" s="188" t="s">
        <v>118</v>
      </c>
      <c r="B2404" s="189" t="s">
        <v>7061</v>
      </c>
      <c r="C2404" s="190"/>
      <c r="D2404" s="190"/>
      <c r="E2404" s="190"/>
    </row>
    <row r="2405" hidden="1">
      <c r="A2405" s="255" t="s">
        <v>1042</v>
      </c>
      <c r="B2405" s="256" t="s">
        <v>7062</v>
      </c>
      <c r="C2405" s="256" t="s">
        <v>7063</v>
      </c>
      <c r="D2405" s="257"/>
      <c r="E2405" s="257"/>
    </row>
    <row r="2406" hidden="1">
      <c r="A2406" s="188" t="s">
        <v>68</v>
      </c>
      <c r="B2406" s="189" t="s">
        <v>7064</v>
      </c>
      <c r="C2406" s="217" t="s">
        <v>7065</v>
      </c>
      <c r="D2406" s="190"/>
      <c r="E2406" s="190"/>
    </row>
    <row r="2407" hidden="1">
      <c r="A2407" s="211" t="s">
        <v>107</v>
      </c>
      <c r="B2407" s="212" t="s">
        <v>7066</v>
      </c>
      <c r="C2407" s="214"/>
      <c r="D2407" s="214"/>
      <c r="E2407" s="214"/>
    </row>
    <row r="2408">
      <c r="A2408" s="215" t="s">
        <v>3423</v>
      </c>
      <c r="B2408" s="216" t="s">
        <v>7067</v>
      </c>
      <c r="C2408" s="216" t="s">
        <v>7068</v>
      </c>
      <c r="D2408" s="216" t="s">
        <v>7069</v>
      </c>
      <c r="E2408" s="216" t="s">
        <v>7070</v>
      </c>
      <c r="F2408" s="182">
        <v>661.0</v>
      </c>
      <c r="G2408" s="172" t="str">
        <f>IFERROR(__xludf.DUMMYFUNCTION("TRIM(REGEXREPLACE(C2408, ""[0-9]+[a-f]?\."", """"))"),"In response to ${hoh_emergency_name}, did you or your household take the following actions?")</f>
        <v>In response to ${hoh_emergency_name}, did you or your household take the following actions?</v>
      </c>
      <c r="H2408" s="172" t="str">
        <f>IFERROR(__xludf.DUMMYFUNCTION("TRIM(REGEXREPLACE(D2408, ""[0-9]+[a-f]?\."", """"))"),"En réponse à ${hoh_emergency_name}, avez-vous vous ou votre ménage pris les mesures suivantes ??")</f>
        <v>En réponse à ${hoh_emergency_name}, avez-vous vous ou votre ménage pris les mesures suivantes ??</v>
      </c>
      <c r="I2408" s="172" t="str">
        <f>IFERROR(__xludf.DUMMYFUNCTION("TRIM(REGEXREPLACE(E2408, ""[0-9]+[a-f]?\."", """"))"),"Dangance da ${hoh_emergency_name}, ku ko ƴan gindanku kun ɗauki waɗannan matakai?")</f>
        <v>Dangance da ${hoh_emergency_name}, ku ko ƴan gindanku kun ɗauki waɗannan matakai?</v>
      </c>
      <c r="J2408" s="172" t="str">
        <f t="shared" ref="J2408:L2408" si="684">$F2408 &amp; ". " &amp;G2408</f>
        <v>661. In response to ${hoh_emergency_name}, did you or your household take the following actions?</v>
      </c>
      <c r="K2408" s="172" t="str">
        <f t="shared" si="684"/>
        <v>661. En réponse à ${hoh_emergency_name}, avez-vous vous ou votre ménage pris les mesures suivantes ??</v>
      </c>
      <c r="L2408" s="172" t="str">
        <f t="shared" si="684"/>
        <v>661. Dangance da ${hoh_emergency_name}, ku ko ƴan gindanku kun ɗauki waɗannan matakai?</v>
      </c>
    </row>
    <row r="2409">
      <c r="A2409" s="215" t="s">
        <v>3423</v>
      </c>
      <c r="B2409" s="216" t="s">
        <v>7071</v>
      </c>
      <c r="C2409" s="216" t="s">
        <v>7072</v>
      </c>
      <c r="D2409" s="216" t="s">
        <v>7073</v>
      </c>
      <c r="E2409" s="216" t="s">
        <v>7074</v>
      </c>
      <c r="F2409" s="182">
        <v>662.0</v>
      </c>
      <c r="G2409" s="172" t="str">
        <f>IFERROR(__xludf.DUMMYFUNCTION("TRIM(REGEXREPLACE(C2409, ""[0-9]+[a-f]?\."", """"))"),"Sell assets?")</f>
        <v>Sell assets?</v>
      </c>
      <c r="H2409" s="172" t="str">
        <f>IFERROR(__xludf.DUMMYFUNCTION("TRIM(REGEXREPLACE(D2409, ""[0-9]+[a-f]?\."", """"))"),"Vendre des actifs")</f>
        <v>Vendre des actifs</v>
      </c>
      <c r="I2409" s="172" t="str">
        <f>IFERROR(__xludf.DUMMYFUNCTION("TRIM(REGEXREPLACE(E2409, ""[0-9]+[a-f]?\."", """"))"),"Saida kadarori")</f>
        <v>Saida kadarori</v>
      </c>
      <c r="J2409" s="172" t="str">
        <f t="shared" ref="J2409:L2409" si="685">$F2409 &amp; ". " &amp;G2409</f>
        <v>662. Sell assets?</v>
      </c>
      <c r="K2409" s="172" t="str">
        <f t="shared" si="685"/>
        <v>662. Vendre des actifs</v>
      </c>
      <c r="L2409" s="172" t="str">
        <f t="shared" si="685"/>
        <v>662. Saida kadarori</v>
      </c>
    </row>
    <row r="2410">
      <c r="A2410" s="215" t="s">
        <v>3423</v>
      </c>
      <c r="B2410" s="216" t="s">
        <v>7075</v>
      </c>
      <c r="C2410" s="216" t="s">
        <v>7076</v>
      </c>
      <c r="D2410" s="216" t="s">
        <v>7077</v>
      </c>
      <c r="E2410" s="216" t="s">
        <v>7078</v>
      </c>
      <c r="F2410" s="182">
        <v>663.0</v>
      </c>
      <c r="G2410" s="172" t="str">
        <f>IFERROR(__xludf.DUMMYFUNCTION("TRIM(REGEXREPLACE(C2410, ""[0-9]+[a-f]?\."", """"))"),"Borrow money?")</f>
        <v>Borrow money?</v>
      </c>
      <c r="H2410" s="172" t="str">
        <f>IFERROR(__xludf.DUMMYFUNCTION("TRIM(REGEXREPLACE(D2410, ""[0-9]+[a-f]?\."", """"))"),"Emprunter de l'argent")</f>
        <v>Emprunter de l'argent</v>
      </c>
      <c r="I2410" s="172" t="str">
        <f>IFERROR(__xludf.DUMMYFUNCTION("TRIM(REGEXREPLACE(E2410, ""[0-9]+[a-f]?\."", """"))"),"Bashin kuɗi")</f>
        <v>Bashin kuɗi</v>
      </c>
      <c r="J2410" s="172" t="str">
        <f t="shared" ref="J2410:L2410" si="686">$F2410 &amp; ". " &amp;G2410</f>
        <v>663. Borrow money?</v>
      </c>
      <c r="K2410" s="172" t="str">
        <f t="shared" si="686"/>
        <v>663. Emprunter de l'argent</v>
      </c>
      <c r="L2410" s="172" t="str">
        <f t="shared" si="686"/>
        <v>663. Bashin kuɗi</v>
      </c>
    </row>
    <row r="2411">
      <c r="A2411" s="215" t="s">
        <v>3423</v>
      </c>
      <c r="B2411" s="216" t="s">
        <v>7079</v>
      </c>
      <c r="C2411" s="216" t="s">
        <v>7080</v>
      </c>
      <c r="D2411" s="216" t="s">
        <v>7081</v>
      </c>
      <c r="E2411" s="216" t="s">
        <v>7082</v>
      </c>
      <c r="F2411" s="182">
        <v>664.0</v>
      </c>
      <c r="G2411" s="172" t="str">
        <f>IFERROR(__xludf.DUMMYFUNCTION("TRIM(REGEXREPLACE(C2411, ""[0-9]+[a-f]?\."", """"))"),"Spend your savings?")</f>
        <v>Spend your savings?</v>
      </c>
      <c r="H2411" s="172" t="str">
        <f>IFERROR(__xludf.DUMMYFUNCTION("TRIM(REGEXREPLACE(D2411, ""[0-9]+[a-f]?\."", """"))"),"Utiliser votre épargne")</f>
        <v>Utiliser votre épargne</v>
      </c>
      <c r="I2411" s="172" t="str">
        <f>IFERROR(__xludf.DUMMYFUNCTION("TRIM(REGEXREPLACE(E2411, ""[0-9]+[a-f]?\."", """"))"),"Kashe kuɗin ajiyar ku")</f>
        <v>Kashe kuɗin ajiyar ku</v>
      </c>
      <c r="J2411" s="172" t="str">
        <f t="shared" ref="J2411:L2411" si="687">$F2411 &amp; ". " &amp;G2411</f>
        <v>664. Spend your savings?</v>
      </c>
      <c r="K2411" s="172" t="str">
        <f t="shared" si="687"/>
        <v>664. Utiliser votre épargne</v>
      </c>
      <c r="L2411" s="172" t="str">
        <f t="shared" si="687"/>
        <v>664. Kashe kuɗin ajiyar ku</v>
      </c>
    </row>
    <row r="2412">
      <c r="A2412" s="215" t="s">
        <v>3423</v>
      </c>
      <c r="B2412" s="216" t="s">
        <v>7083</v>
      </c>
      <c r="C2412" s="216" t="s">
        <v>7084</v>
      </c>
      <c r="D2412" s="216" t="s">
        <v>7085</v>
      </c>
      <c r="E2412" s="216" t="s">
        <v>7086</v>
      </c>
      <c r="F2412" s="182">
        <v>665.0</v>
      </c>
      <c r="G2412" s="172" t="str">
        <f>IFERROR(__xludf.DUMMYFUNCTION("TRIM(REGEXREPLACE(C2412, ""[0-9]+[a-f]?\."", """"))"),"Reduce spending on food or change your food consumption?")</f>
        <v>Reduce spending on food or change your food consumption?</v>
      </c>
      <c r="H2412" s="172" t="str">
        <f>IFERROR(__xludf.DUMMYFUNCTION("TRIM(REGEXREPLACE(D2412, ""[0-9]+[a-f]?\."", """"))"),"Réduire les dépenses alimentaires ou changé des habitudes de consommation ?")</f>
        <v>Réduire les dépenses alimentaires ou changé des habitudes de consommation ?</v>
      </c>
      <c r="I2412" s="172" t="str">
        <f>IFERROR(__xludf.DUMMYFUNCTION("TRIM(REGEXREPLACE(E2412, ""[0-9]+[a-f]?\."", """"))"),"Rage kashe kuɗi akan abinci ko canza abincin?")</f>
        <v>Rage kashe kuɗi akan abinci ko canza abincin?</v>
      </c>
      <c r="J2412" s="172" t="str">
        <f t="shared" ref="J2412:L2412" si="688">$F2412 &amp; ". " &amp;G2412</f>
        <v>665. Reduce spending on food or change your food consumption?</v>
      </c>
      <c r="K2412" s="172" t="str">
        <f t="shared" si="688"/>
        <v>665. Réduire les dépenses alimentaires ou changé des habitudes de consommation ?</v>
      </c>
      <c r="L2412" s="172" t="str">
        <f t="shared" si="688"/>
        <v>665. Rage kashe kuɗi akan abinci ko canza abincin?</v>
      </c>
    </row>
    <row r="2413" hidden="1">
      <c r="A2413" s="211" t="s">
        <v>238</v>
      </c>
      <c r="B2413" s="224" t="s">
        <v>7066</v>
      </c>
      <c r="C2413" s="225"/>
      <c r="D2413" s="225"/>
      <c r="E2413" s="225"/>
    </row>
    <row r="2414" hidden="1">
      <c r="A2414" s="211" t="s">
        <v>107</v>
      </c>
      <c r="B2414" s="212" t="s">
        <v>7087</v>
      </c>
      <c r="C2414" s="214"/>
      <c r="D2414" s="214"/>
      <c r="E2414" s="214"/>
    </row>
    <row r="2415">
      <c r="A2415" s="207" t="s">
        <v>41</v>
      </c>
      <c r="B2415" s="208" t="s">
        <v>7088</v>
      </c>
      <c r="C2415" s="208" t="s">
        <v>7089</v>
      </c>
      <c r="D2415" s="208" t="s">
        <v>7090</v>
      </c>
      <c r="E2415" s="208" t="s">
        <v>7091</v>
      </c>
      <c r="F2415" s="182">
        <v>666.0</v>
      </c>
      <c r="G2415" s="172" t="str">
        <f>IFERROR(__xludf.DUMMYFUNCTION("TRIM(REGEXREPLACE(C2415, ""[0-9]+[a-f]?\."", """"))"),"For ${hoh_emergency_name}
 What was the value of the following in CFA?")</f>
        <v>For ${hoh_emergency_name}
 What was the value of the following in CFA?</v>
      </c>
      <c r="H2415" s="172" t="str">
        <f>IFERROR(__xludf.DUMMYFUNCTION("TRIM(REGEXREPLACE(D2415, ""[0-9]+[a-f]?\."", """"))"),"Par rapport à ${hoh_emergency_name}
 Quelle était la valeur des éléments suivantes en CFA?")</f>
        <v>Par rapport à ${hoh_emergency_name}
 Quelle était la valeur des éléments suivantes en CFA?</v>
      </c>
      <c r="I2415" s="172" t="str">
        <f>IFERROR(__xludf.DUMMYFUNCTION("TRIM(REGEXREPLACE(E2415, ""[0-9]+[a-f]?\."", """"))"),"Game da ${hoh_emergency_name}
 Nawa ne kimar waɗannan abubuwan a kuɗin CFA?")</f>
        <v>Game da ${hoh_emergency_name}
 Nawa ne kimar waɗannan abubuwan a kuɗin CFA?</v>
      </c>
      <c r="J2415" s="172" t="str">
        <f t="shared" ref="J2415:L2415" si="689">$F2415 &amp; ". " &amp;G2415</f>
        <v>666. For ${hoh_emergency_name}
 What was the value of the following in CFA?</v>
      </c>
      <c r="K2415" s="172" t="str">
        <f t="shared" si="689"/>
        <v>666. Par rapport à ${hoh_emergency_name}
 Quelle était la valeur des éléments suivantes en CFA?</v>
      </c>
      <c r="L2415" s="172" t="str">
        <f t="shared" si="689"/>
        <v>666. Game da ${hoh_emergency_name}
 Nawa ne kimar waɗannan abubuwan a kuɗin CFA?</v>
      </c>
    </row>
    <row r="2416">
      <c r="A2416" s="253" t="s">
        <v>246</v>
      </c>
      <c r="B2416" s="254" t="s">
        <v>7092</v>
      </c>
      <c r="C2416" s="254" t="s">
        <v>5473</v>
      </c>
      <c r="D2416" s="254" t="s">
        <v>5474</v>
      </c>
      <c r="E2416" s="254" t="s">
        <v>5475</v>
      </c>
      <c r="F2416" s="182">
        <v>667.0</v>
      </c>
      <c r="G2416" s="172" t="str">
        <f>IFERROR(__xludf.DUMMYFUNCTION("TRIM(REGEXREPLACE(C2416, ""[0-9]+[a-f]?\."", """"))"),"Assets you sold")</f>
        <v>Assets you sold</v>
      </c>
      <c r="H2416" s="172" t="str">
        <f>IFERROR(__xludf.DUMMYFUNCTION("TRIM(REGEXREPLACE(D2416, ""[0-9]+[a-f]?\."", """"))"),"Les actifs que vous avez vendus")</f>
        <v>Les actifs que vous avez vendus</v>
      </c>
      <c r="I2416" s="172" t="str">
        <f>IFERROR(__xludf.DUMMYFUNCTION("TRIM(REGEXREPLACE(E2416, ""[0-9]+[a-f]?\."", """"))"),"Kadarorin da kuka saida")</f>
        <v>Kadarorin da kuka saida</v>
      </c>
      <c r="J2416" s="172" t="str">
        <f t="shared" ref="J2416:L2416" si="690">$F2416 &amp; ". " &amp;G2416</f>
        <v>667. Assets you sold</v>
      </c>
      <c r="K2416" s="172" t="str">
        <f t="shared" si="690"/>
        <v>667. Les actifs que vous avez vendus</v>
      </c>
      <c r="L2416" s="172" t="str">
        <f t="shared" si="690"/>
        <v>667. Kadarorin da kuka saida</v>
      </c>
    </row>
    <row r="2417">
      <c r="A2417" s="253" t="s">
        <v>246</v>
      </c>
      <c r="B2417" s="254" t="s">
        <v>7093</v>
      </c>
      <c r="C2417" s="254" t="s">
        <v>5476</v>
      </c>
      <c r="D2417" s="254" t="s">
        <v>5477</v>
      </c>
      <c r="E2417" s="254" t="s">
        <v>5478</v>
      </c>
      <c r="F2417" s="182">
        <v>668.0</v>
      </c>
      <c r="G2417" s="172" t="str">
        <f>IFERROR(__xludf.DUMMYFUNCTION("TRIM(REGEXREPLACE(C2417, ""[0-9]+[a-f]?\."", """"))"),"Loan(s) you took")</f>
        <v>Loan(s) you took</v>
      </c>
      <c r="H2417" s="172" t="str">
        <f>IFERROR(__xludf.DUMMYFUNCTION("TRIM(REGEXREPLACE(D2417, ""[0-9]+[a-f]?\."", """"))"),"Les prêt(s) que vous avez contracté")</f>
        <v>Les prêt(s) que vous avez contracté</v>
      </c>
      <c r="I2417" s="172" t="str">
        <f>IFERROR(__xludf.DUMMYFUNCTION("TRIM(REGEXREPLACE(E2417, ""[0-9]+[a-f]?\."", """"))"),"Bashin da kuka ɗauka")</f>
        <v>Bashin da kuka ɗauka</v>
      </c>
      <c r="J2417" s="172" t="str">
        <f t="shared" ref="J2417:L2417" si="691">$F2417 &amp; ". " &amp;G2417</f>
        <v>668. Loan(s) you took</v>
      </c>
      <c r="K2417" s="172" t="str">
        <f t="shared" si="691"/>
        <v>668. Les prêt(s) que vous avez contracté</v>
      </c>
      <c r="L2417" s="172" t="str">
        <f t="shared" si="691"/>
        <v>668. Bashin da kuka ɗauka</v>
      </c>
    </row>
    <row r="2418">
      <c r="A2418" s="253" t="s">
        <v>246</v>
      </c>
      <c r="B2418" s="254" t="s">
        <v>7094</v>
      </c>
      <c r="C2418" s="254" t="s">
        <v>5483</v>
      </c>
      <c r="D2418" s="254" t="s">
        <v>5484</v>
      </c>
      <c r="E2418" s="254" t="s">
        <v>5485</v>
      </c>
      <c r="F2418" s="182">
        <v>669.0</v>
      </c>
      <c r="G2418" s="172" t="str">
        <f>IFERROR(__xludf.DUMMYFUNCTION("TRIM(REGEXREPLACE(C2418, ""[0-9]+[a-f]?\."", """"))"),"Savings you spent?")</f>
        <v>Savings you spent?</v>
      </c>
      <c r="H2418" s="172" t="str">
        <f>IFERROR(__xludf.DUMMYFUNCTION("TRIM(REGEXREPLACE(D2418, ""[0-9]+[a-f]?\."", """"))"),"L'épargne que vous avez utilisé")</f>
        <v>L'épargne que vous avez utilisé</v>
      </c>
      <c r="I2418" s="172" t="str">
        <f>IFERROR(__xludf.DUMMYFUNCTION("TRIM(REGEXREPLACE(E2418, ""[0-9]+[a-f]?\."", """"))"),"Ajiyar da kuka kashe")</f>
        <v>Ajiyar da kuka kashe</v>
      </c>
      <c r="J2418" s="172" t="str">
        <f t="shared" ref="J2418:L2418" si="692">$F2418 &amp; ". " &amp;G2418</f>
        <v>669. Savings you spent?</v>
      </c>
      <c r="K2418" s="172" t="str">
        <f t="shared" si="692"/>
        <v>669. L'épargne que vous avez utilisé</v>
      </c>
      <c r="L2418" s="172" t="str">
        <f t="shared" si="692"/>
        <v>669. Ajiyar da kuka kashe</v>
      </c>
    </row>
    <row r="2419" hidden="1">
      <c r="A2419" s="211" t="s">
        <v>238</v>
      </c>
      <c r="B2419" s="224" t="s">
        <v>7087</v>
      </c>
      <c r="C2419" s="225"/>
      <c r="D2419" s="225"/>
      <c r="E2419" s="225"/>
    </row>
    <row r="2420" hidden="1">
      <c r="A2420" s="255" t="s">
        <v>1064</v>
      </c>
      <c r="B2420" s="261" t="s">
        <v>7062</v>
      </c>
      <c r="C2420" s="261" t="s">
        <v>7063</v>
      </c>
      <c r="D2420" s="262"/>
      <c r="E2420" s="262"/>
    </row>
    <row r="2421" hidden="1">
      <c r="A2421" s="188" t="s">
        <v>118</v>
      </c>
      <c r="B2421" s="189" t="s">
        <v>7095</v>
      </c>
      <c r="C2421" s="190"/>
      <c r="D2421" s="190"/>
      <c r="E2421" s="190"/>
    </row>
    <row r="2422" hidden="1">
      <c r="A2422" s="188" t="s">
        <v>68</v>
      </c>
      <c r="B2422" s="189" t="s">
        <v>7096</v>
      </c>
      <c r="C2422" s="190"/>
      <c r="D2422" s="190"/>
      <c r="E2422" s="190"/>
    </row>
    <row r="2423" hidden="1">
      <c r="A2423" s="188" t="s">
        <v>118</v>
      </c>
      <c r="B2423" s="189" t="s">
        <v>7097</v>
      </c>
      <c r="C2423" s="190"/>
      <c r="D2423" s="190"/>
      <c r="E2423" s="190"/>
    </row>
    <row r="2424">
      <c r="A2424" s="207" t="s">
        <v>41</v>
      </c>
      <c r="B2424" s="208" t="s">
        <v>7098</v>
      </c>
      <c r="C2424" s="208" t="s">
        <v>5501</v>
      </c>
      <c r="D2424" s="208" t="s">
        <v>5502</v>
      </c>
      <c r="E2424" s="208" t="s">
        <v>5503</v>
      </c>
      <c r="F2424" s="182">
        <v>670.0</v>
      </c>
      <c r="G2424" s="172" t="str">
        <f>IFERROR(__xludf.DUMMYFUNCTION("TRIM(REGEXREPLACE(C2424, ""[0-9]+[a-f]?\."", """"))"),"Now I would like to ask you about any money that you and your family owe to other people; money you have borrowed from people outside your household.")</f>
        <v>Now I would like to ask you about any money that you and your family owe to other people; money you have borrowed from people outside your household.</v>
      </c>
      <c r="H2424" s="172" t="str">
        <f>IFERROR(__xludf.DUMMYFUNCTION("TRIM(REGEXREPLACE(D2424, ""[0-9]+[a-f]?\."", """"))"),"Maintenant, je voudrais vous poser des questions sur l'argent que vous et votre ménage devez à d'autres personnes ; l'argent que vous avez emprunté à des personnes extérieures à votre ménage.")</f>
        <v>Maintenant, je voudrais vous poser des questions sur l'argent que vous et votre ménage devez à d'autres personnes ; l'argent que vous avez emprunté à des personnes extérieures à votre ménage.</v>
      </c>
      <c r="I2424" s="172" t="str">
        <f>IFERROR(__xludf.DUMMYFUNCTION("TRIM(REGEXREPLACE(E2424, ""[0-9]+[a-f]?\."", """"))"),"Yanzu ina son in tambaye ku game da duk wani kuɗin da ku da ƴan gidanku kuka ɗauko daga wajen wasu mutane; kuɗin da kuka aro daga mutane wanda ba ƴan gidanku ba.")</f>
        <v>Yanzu ina son in tambaye ku game da duk wani kuɗin da ku da ƴan gidanku kuka ɗauko daga wajen wasu mutane; kuɗin da kuka aro daga mutane wanda ba ƴan gidanku ba.</v>
      </c>
      <c r="J2424" s="172" t="str">
        <f t="shared" ref="J2424:L2424" si="693">$F2424 &amp; ". " &amp;G2424</f>
        <v>670. Now I would like to ask you about any money that you and your family owe to other people; money you have borrowed from people outside your household.</v>
      </c>
      <c r="K2424" s="172" t="str">
        <f t="shared" si="693"/>
        <v>670. Maintenant, je voudrais vous poser des questions sur l'argent que vous et votre ménage devez à d'autres personnes ; l'argent que vous avez emprunté à des personnes extérieures à votre ménage.</v>
      </c>
      <c r="L2424" s="172" t="str">
        <f t="shared" si="693"/>
        <v>670. Yanzu ina son in tambaye ku game da duk wani kuɗin da ku da ƴan gidanku kuka ɗauko daga wajen wasu mutane; kuɗin da kuka aro daga mutane wanda ba ƴan gidanku ba.</v>
      </c>
    </row>
    <row r="2425">
      <c r="A2425" s="215" t="s">
        <v>3423</v>
      </c>
      <c r="B2425" s="216" t="s">
        <v>7099</v>
      </c>
      <c r="C2425" s="216" t="s">
        <v>5508</v>
      </c>
      <c r="D2425" s="216" t="s">
        <v>5509</v>
      </c>
      <c r="E2425" s="216" t="s">
        <v>5510</v>
      </c>
      <c r="F2425" s="182">
        <v>671.0</v>
      </c>
      <c r="G2425" s="172" t="str">
        <f>IFERROR(__xludf.DUMMYFUNCTION("TRIM(REGEXREPLACE(C2425, ""[0-9]+[a-f]?\."", """"))"),"In the last three months did you or a member of your household try to secure a loan from any source but were refused?")</f>
        <v>In the last three months did you or a member of your household try to secure a loan from any source but were refused?</v>
      </c>
      <c r="H2425" s="172" t="str">
        <f>IFERROR(__xludf.DUMMYFUNCTION("TRIM(REGEXREPLACE(D2425, ""[0-9]+[a-f]?\."", """"))"),"Au cours des trois derniers mois, vous ou un membre de votre ménage avez-vous essayé d'obtenir un prêt auprès de n'importe quelle source, mais cela a été refusé ?")</f>
        <v>Au cours des trois derniers mois, vous ou un membre de votre ménage avez-vous essayé d'obtenir un prêt auprès de n'importe quelle source, mais cela a été refusé ?</v>
      </c>
      <c r="I2425" s="172" t="str">
        <f>IFERROR(__xludf.DUMMYFUNCTION("TRIM(REGEXREPLACE(E2425, ""[0-9]+[a-f]?\."", """"))"),"A cikin watanni uku da suka wuce kai ko wani dan gidanku kun yi ƙoƙarin samun bashi daga kowace hanya amma an ƙi?")</f>
        <v>A cikin watanni uku da suka wuce kai ko wani dan gidanku kun yi ƙoƙarin samun bashi daga kowace hanya amma an ƙi?</v>
      </c>
      <c r="J2425" s="172" t="str">
        <f t="shared" ref="J2425:L2425" si="694">$F2425 &amp; ". " &amp;G2425</f>
        <v>671. In the last three months did you or a member of your household try to secure a loan from any source but were refused?</v>
      </c>
      <c r="K2425" s="172" t="str">
        <f t="shared" si="694"/>
        <v>671. Au cours des trois derniers mois, vous ou un membre de votre ménage avez-vous essayé d'obtenir un prêt auprès de n'importe quelle source, mais cela a été refusé ?</v>
      </c>
      <c r="L2425" s="172" t="str">
        <f t="shared" si="694"/>
        <v>671. A cikin watanni uku da suka wuce kai ko wani dan gidanku kun yi ƙoƙarin samun bashi daga kowace hanya amma an ƙi?</v>
      </c>
    </row>
    <row r="2426">
      <c r="A2426" s="253" t="s">
        <v>246</v>
      </c>
      <c r="B2426" s="254" t="s">
        <v>7100</v>
      </c>
      <c r="C2426" s="254" t="s">
        <v>7101</v>
      </c>
      <c r="D2426" s="254" t="s">
        <v>7102</v>
      </c>
      <c r="E2426" s="254" t="s">
        <v>7103</v>
      </c>
      <c r="F2426" s="182">
        <v>672.0</v>
      </c>
      <c r="G2426" s="172" t="str">
        <f>IFERROR(__xludf.DUMMYFUNCTION("TRIM(REGEXREPLACE(C2426, ""[0-9]+[a-f]?\."", """"))"),"What was the value of the loan in CFA?")</f>
        <v>What was the value of the loan in CFA?</v>
      </c>
      <c r="H2426" s="172" t="str">
        <f>IFERROR(__xludf.DUMMYFUNCTION("TRIM(REGEXREPLACE(D2426, ""[0-9]+[a-f]?\."", """"))"),"Quelle était la valeur du prêt en CFA?")</f>
        <v>Quelle était la valeur du prêt en CFA?</v>
      </c>
      <c r="I2426" s="172" t="str">
        <f>IFERROR(__xludf.DUMMYFUNCTION("TRIM(REGEXREPLACE(E2426, ""[0-9]+[a-f]?\."", """"))"),"Nawa ne yawan kuɗin bashin a sefa?")</f>
        <v>Nawa ne yawan kuɗin bashin a sefa?</v>
      </c>
      <c r="J2426" s="172" t="str">
        <f t="shared" ref="J2426:L2426" si="695">$F2426 &amp; ". " &amp;G2426</f>
        <v>672. What was the value of the loan in CFA?</v>
      </c>
      <c r="K2426" s="172" t="str">
        <f t="shared" si="695"/>
        <v>672. Quelle était la valeur du prêt en CFA?</v>
      </c>
      <c r="L2426" s="172" t="str">
        <f t="shared" si="695"/>
        <v>672. Nawa ne yawan kuɗin bashin a sefa?</v>
      </c>
    </row>
    <row r="2427">
      <c r="A2427" s="253" t="s">
        <v>246</v>
      </c>
      <c r="B2427" s="254" t="s">
        <v>7104</v>
      </c>
      <c r="C2427" s="254" t="s">
        <v>7105</v>
      </c>
      <c r="D2427" s="254" t="s">
        <v>7106</v>
      </c>
      <c r="E2427" s="254" t="s">
        <v>7107</v>
      </c>
      <c r="F2427" s="182">
        <v>673.0</v>
      </c>
      <c r="G2427" s="172" t="str">
        <f>IFERROR(__xludf.DUMMYFUNCTION("TRIM(REGEXREPLACE(C2427, ""[0-9]+[a-f]?\."", """"))"),"Think about all the people you or members of your household owe money, including recent loans, what is the total value your household owes (in CFA)?")</f>
        <v>Think about all the people you or members of your household owe money, including recent loans, what is the total value your household owes (in CFA)?</v>
      </c>
      <c r="H2427" s="172" t="str">
        <f>IFERROR(__xludf.DUMMYFUNCTION("TRIM(REGEXREPLACE(D2427, ""[0-9]+[a-f]?\."", """"))"),"Pensez à toutes les personnes que vous ou les membres de votre ménage devez de l'argent, y compris les prêts récents, quelle est la valeur totale que votre ménage doit (en CFA) ?")</f>
        <v>Pensez à toutes les personnes que vous ou les membres de votre ménage devez de l'argent, y compris les prêts récents, quelle est la valeur totale que votre ménage doit (en CFA) ?</v>
      </c>
      <c r="I2427" s="172" t="str">
        <f>IFERROR(__xludf.DUMMYFUNCTION("TRIM(REGEXREPLACE(E2427, ""[0-9]+[a-f]?\."", """"))"),"Ku tuna da duk mutanen da ke bin da ƴan gidanku kuɗi, dukan basussuka sabi da tsohi, nawa jimillar kuɗin a ke bin gidanku (a kuɗin sefa CFA)?")</f>
        <v>Ku tuna da duk mutanen da ke bin da ƴan gidanku kuɗi, dukan basussuka sabi da tsohi, nawa jimillar kuɗin a ke bin gidanku (a kuɗin sefa CFA)?</v>
      </c>
      <c r="J2427" s="172" t="str">
        <f t="shared" ref="J2427:L2427" si="696">$F2427 &amp; ". " &amp;G2427</f>
        <v>673. Think about all the people you or members of your household owe money, including recent loans, what is the total value your household owes (in CFA)?</v>
      </c>
      <c r="K2427" s="172" t="str">
        <f t="shared" si="696"/>
        <v>673. Pensez à toutes les personnes que vous ou les membres de votre ménage devez de l'argent, y compris les prêts récents, quelle est la valeur totale que votre ménage doit (en CFA) ?</v>
      </c>
      <c r="L2427" s="172" t="str">
        <f t="shared" si="696"/>
        <v>673. Ku tuna da duk mutanen da ke bin da ƴan gidanku kuɗi, dukan basussuka sabi da tsohi, nawa jimillar kuɗin a ke bin gidanku (a kuɗin sefa CFA)?</v>
      </c>
    </row>
    <row r="2428">
      <c r="A2428" s="215" t="s">
        <v>3423</v>
      </c>
      <c r="B2428" s="216" t="s">
        <v>7108</v>
      </c>
      <c r="C2428" s="216" t="s">
        <v>7109</v>
      </c>
      <c r="D2428" s="216" t="s">
        <v>7110</v>
      </c>
      <c r="E2428" s="216" t="s">
        <v>7111</v>
      </c>
      <c r="F2428" s="182">
        <v>674.0</v>
      </c>
      <c r="G2428" s="172" t="str">
        <f>IFERROR(__xludf.DUMMYFUNCTION("TRIM(REGEXREPLACE(C2428, ""[0-9]+[a-f]?\."", """"))"),"Do you know if a loan was given to your household by a household that participated in the TSARI or other Mercy Corp programs?")</f>
        <v>Do you know if a loan was given to your household by a household that participated in the TSARI or other Mercy Corp programs?</v>
      </c>
      <c r="H2428" s="172" t="str">
        <f>IFERROR(__xludf.DUMMYFUNCTION("TRIM(REGEXREPLACE(D2428, ""[0-9]+[a-f]?\."", """"))"),"Savez-vous si un prêt a été accordé à votre ménage par un ménage ayant participé au programme TSARI ou à d'autres programmes de Mercy Corp ?")</f>
        <v>Savez-vous si un prêt a été accordé à votre ménage par un ménage ayant participé au programme TSARI ou à d'autres programmes de Mercy Corp ?</v>
      </c>
      <c r="I2428" s="172" t="str">
        <f>IFERROR(__xludf.DUMMYFUNCTION("TRIM(REGEXREPLACE(E2428, ""[0-9]+[a-f]?\."", """"))"),"Kun san ko gidan ku ya ɗauki ramcen kuɗi daga wani gidan da yake cikin shirin TSARI ko wasu shirye-shiryen Mercy Corp?")</f>
        <v>Kun san ko gidan ku ya ɗauki ramcen kuɗi daga wani gidan da yake cikin shirin TSARI ko wasu shirye-shiryen Mercy Corp?</v>
      </c>
      <c r="J2428" s="172" t="str">
        <f t="shared" ref="J2428:L2428" si="697">$F2428 &amp; ". " &amp;G2428</f>
        <v>674. Do you know if a loan was given to your household by a household that participated in the TSARI or other Mercy Corp programs?</v>
      </c>
      <c r="K2428" s="172" t="str">
        <f t="shared" si="697"/>
        <v>674. Savez-vous si un prêt a été accordé à votre ménage par un ménage ayant participé au programme TSARI ou à d'autres programmes de Mercy Corp ?</v>
      </c>
      <c r="L2428" s="172" t="str">
        <f t="shared" si="697"/>
        <v>674. Kun san ko gidan ku ya ɗauki ramcen kuɗi daga wani gidan da yake cikin shirin TSARI ko wasu shirye-shiryen Mercy Corp?</v>
      </c>
    </row>
    <row r="2429">
      <c r="A2429" s="215" t="s">
        <v>353</v>
      </c>
      <c r="B2429" s="216" t="s">
        <v>7112</v>
      </c>
      <c r="C2429" s="216" t="s">
        <v>5522</v>
      </c>
      <c r="D2429" s="216" t="s">
        <v>5524</v>
      </c>
      <c r="E2429" s="216" t="s">
        <v>5526</v>
      </c>
      <c r="F2429" s="182">
        <v>675.0</v>
      </c>
      <c r="G2429" s="172" t="str">
        <f>IFERROR(__xludf.DUMMYFUNCTION("TRIM(REGEXREPLACE(C2429, ""[0-9]+[a-f]?\."", """"))"),"In the past three months, have you or anyone in your household received money or goods from someone who is not a member of your household and lives in your village in Niger?")</f>
        <v>In the past three months, have you or anyone in your household received money or goods from someone who is not a member of your household and lives in your village in Niger?</v>
      </c>
      <c r="H2429" s="172" t="str">
        <f>IFERROR(__xludf.DUMMYFUNCTION("TRIM(REGEXREPLACE(D2429, ""[0-9]+[a-f]?\."", """"))"),"Au cours des trois derniers mois, est-ce que vous ou un membre de votre ménage avez reçu de l'argent ou des biens d'une personne qui n'est pas membre de votre ménage et qui habite dans votre village au Niger ?")</f>
        <v>Au cours des trois derniers mois, est-ce que vous ou un membre de votre ménage avez reçu de l'argent ou des biens d'une personne qui n'est pas membre de votre ménage et qui habite dans votre village au Niger ?</v>
      </c>
      <c r="I2429" s="172" t="str">
        <f>IFERROR(__xludf.DUMMYFUNCTION("TRIM(REGEXREPLACE(E2429, ""[0-9]+[a-f]?\."", """"))"),"A cikin wata uku da suka wuce, kai ko wani a cikin gidanku kun karɓi kuɗi ko kaya daga wani wanda ba ɗan gidanku ba kuma yana zaune a ƙauyenku a Nijar?")</f>
        <v>A cikin wata uku da suka wuce, kai ko wani a cikin gidanku kun karɓi kuɗi ko kaya daga wani wanda ba ɗan gidanku ba kuma yana zaune a ƙauyenku a Nijar?</v>
      </c>
      <c r="J2429" s="172" t="str">
        <f t="shared" ref="J2429:L2429" si="698">$F2429 &amp; ". " &amp;G2429</f>
        <v>675. In the past three months, have you or anyone in your household received money or goods from someone who is not a member of your household and lives in your village in Niger?</v>
      </c>
      <c r="K2429" s="172" t="str">
        <f t="shared" si="698"/>
        <v>675. Au cours des trois derniers mois, est-ce que vous ou un membre de votre ménage avez reçu de l'argent ou des biens d'une personne qui n'est pas membre de votre ménage et qui habite dans votre village au Niger ?</v>
      </c>
      <c r="L2429" s="172" t="str">
        <f t="shared" si="698"/>
        <v>675. A cikin wata uku da suka wuce, kai ko wani a cikin gidanku kun karɓi kuɗi ko kaya daga wani wanda ba ɗan gidanku ba kuma yana zaune a ƙauyenku a Nijar?</v>
      </c>
    </row>
    <row r="2430">
      <c r="A2430" s="215" t="s">
        <v>3423</v>
      </c>
      <c r="B2430" s="216" t="s">
        <v>7113</v>
      </c>
      <c r="C2430" s="216" t="s">
        <v>7114</v>
      </c>
      <c r="D2430" s="216" t="s">
        <v>7115</v>
      </c>
      <c r="E2430" s="216" t="s">
        <v>7116</v>
      </c>
      <c r="F2430" s="182">
        <v>676.0</v>
      </c>
      <c r="G2430" s="172" t="str">
        <f>IFERROR(__xludf.DUMMYFUNCTION("TRIM(REGEXREPLACE(C2430, ""[0-9]+[a-f]?\."", """"))"),"Do you know if the person who gave your hosuehold money was from a household that participated in the TSARI or other Mercy Corp programs?")</f>
        <v>Do you know if the person who gave your hosuehold money was from a household that participated in the TSARI or other Mercy Corp programs?</v>
      </c>
      <c r="H2430" s="172" t="str">
        <f>IFERROR(__xludf.DUMMYFUNCTION("TRIM(REGEXREPLACE(D2430, ""[0-9]+[a-f]?\."", """"))"),"Savez-vous si la personne qui a donné l'argent à votre ménage appartenait à un ménage qui a participé au programme TSARI ou à d'autres programmes de Mercy Corp ?")</f>
        <v>Savez-vous si la personne qui a donné l'argent à votre ménage appartenait à un ménage qui a participé au programme TSARI ou à d'autres programmes de Mercy Corp ?</v>
      </c>
      <c r="I2430" s="172" t="str">
        <f>IFERROR(__xludf.DUMMYFUNCTION("TRIM(REGEXREPLACE(E2430, ""[0-9]+[a-f]?\."", """"))"),"Shin kun san ko mutumin da ya ba gidan ku kuɗin ɗan wani gida ne wanda suka samu shiga cikin shirin TSARI ko wasu shirye-shiryen Mercy Corp?")</f>
        <v>Shin kun san ko mutumin da ya ba gidan ku kuɗin ɗan wani gida ne wanda suka samu shiga cikin shirin TSARI ko wasu shirye-shiryen Mercy Corp?</v>
      </c>
      <c r="J2430" s="172" t="str">
        <f t="shared" ref="J2430:L2430" si="699">$F2430 &amp; ". " &amp;G2430</f>
        <v>676. Do you know if the person who gave your hosuehold money was from a household that participated in the TSARI or other Mercy Corp programs?</v>
      </c>
      <c r="K2430" s="172" t="str">
        <f t="shared" si="699"/>
        <v>676. Savez-vous si la personne qui a donné l'argent à votre ménage appartenait à un ménage qui a participé au programme TSARI ou à d'autres programmes de Mercy Corp ?</v>
      </c>
      <c r="L2430" s="172" t="str">
        <f t="shared" si="699"/>
        <v>676. Shin kun san ko mutumin da ya ba gidan ku kuɗin ɗan wani gida ne wanda suka samu shiga cikin shirin TSARI ko wasu shirye-shiryen Mercy Corp?</v>
      </c>
    </row>
    <row r="2431" hidden="1">
      <c r="A2431" s="188" t="s">
        <v>118</v>
      </c>
      <c r="B2431" s="189" t="s">
        <v>7117</v>
      </c>
      <c r="C2431" s="190"/>
      <c r="D2431" s="190"/>
      <c r="E2431" s="190"/>
    </row>
    <row r="2432" hidden="1">
      <c r="A2432" s="188" t="s">
        <v>68</v>
      </c>
      <c r="B2432" s="189" t="s">
        <v>7118</v>
      </c>
      <c r="C2432" s="190"/>
      <c r="D2432" s="190"/>
      <c r="E2432" s="190"/>
    </row>
    <row r="2433" hidden="1">
      <c r="A2433" s="188" t="s">
        <v>118</v>
      </c>
      <c r="B2433" s="189" t="s">
        <v>7119</v>
      </c>
      <c r="C2433" s="190"/>
      <c r="D2433" s="190"/>
      <c r="E2433" s="190"/>
    </row>
    <row r="2434">
      <c r="A2434" s="207" t="s">
        <v>41</v>
      </c>
      <c r="B2434" s="208" t="s">
        <v>7120</v>
      </c>
      <c r="C2434" s="208" t="s">
        <v>7121</v>
      </c>
      <c r="D2434" s="208" t="s">
        <v>7122</v>
      </c>
      <c r="E2434" s="208" t="s">
        <v>7123</v>
      </c>
      <c r="F2434" s="182">
        <v>677.0</v>
      </c>
      <c r="G2434" s="172" t="str">
        <f>IFERROR(__xludf.DUMMYFUNCTION("TRIM(REGEXREPLACE(C2434, ""[0-9]+[a-f]?\."", """"))"),"I will now ask you about meals people in your household have consumed in the past 7 days.")</f>
        <v>I will now ask you about meals people in your household have consumed in the past 7 days.</v>
      </c>
      <c r="H2434" s="172" t="str">
        <f>IFERROR(__xludf.DUMMYFUNCTION("TRIM(REGEXREPLACE(D2434, ""[0-9]+[a-f]?\."", """"))"),"Je vais maintenant vous poser des questions sur les repas que les membres de votre ménage ont consommé au cours des 7 derniers jours.")</f>
        <v>Je vais maintenant vous poser des questions sur les repas que les membres de votre ménage ont consommé au cours des 7 derniers jours.</v>
      </c>
      <c r="I2434" s="172" t="str">
        <f>IFERROR(__xludf.DUMMYFUNCTION("TRIM(REGEXREPLACE(E2434, ""[0-9]+[a-f]?\."", """"))"),"Yanzu zan tambaye ku bisa abincin da mutanen gidanku suka ci a cikin kwanaki 7 da suka wuce.")</f>
        <v>Yanzu zan tambaye ku bisa abincin da mutanen gidanku suka ci a cikin kwanaki 7 da suka wuce.</v>
      </c>
      <c r="J2434" s="172" t="str">
        <f t="shared" ref="J2434:L2434" si="700">$F2434 &amp; ". " &amp;G2434</f>
        <v>677. I will now ask you about meals people in your household have consumed in the past 7 days.</v>
      </c>
      <c r="K2434" s="172" t="str">
        <f t="shared" si="700"/>
        <v>677. Je vais maintenant vous poser des questions sur les repas que les membres de votre ménage ont consommé au cours des 7 derniers jours.</v>
      </c>
      <c r="L2434" s="172" t="str">
        <f t="shared" si="700"/>
        <v>677. Yanzu zan tambaye ku bisa abincin da mutanen gidanku suka ci a cikin kwanaki 7 da suka wuce.</v>
      </c>
    </row>
    <row r="2435">
      <c r="A2435" s="215" t="s">
        <v>3423</v>
      </c>
      <c r="B2435" s="216" t="s">
        <v>7124</v>
      </c>
      <c r="C2435" s="216" t="s">
        <v>7125</v>
      </c>
      <c r="D2435" s="216" t="s">
        <v>7126</v>
      </c>
      <c r="E2435" s="216" t="s">
        <v>7127</v>
      </c>
      <c r="F2435" s="182">
        <v>678.0</v>
      </c>
      <c r="G2435" s="172" t="str">
        <f>IFERROR(__xludf.DUMMYFUNCTION("TRIM(REGEXREPLACE(C2435, ""[0-9]+[a-f]?\."", """"))"),"In the last 7 days, have adults gone a whole day without meals?")</f>
        <v>In the last 7 days, have adults gone a whole day without meals?</v>
      </c>
      <c r="H2435" s="172" t="str">
        <f>IFERROR(__xludf.DUMMYFUNCTION("TRIM(REGEXREPLACE(D2435, ""[0-9]+[a-f]?\."", """"))"),"Au cours des 7 derniers jours, des adultes sont-ils restés une journée entière sans manger de repas ?")</f>
        <v>Au cours des 7 derniers jours, des adultes sont-ils restés une journée entière sans manger de repas ?</v>
      </c>
      <c r="I2435" s="172" t="str">
        <f>IFERROR(__xludf.DUMMYFUNCTION("TRIM(REGEXREPLACE(E2435, ""[0-9]+[a-f]?\."", """"))"),"A cikin kwanaki 7 da suka wuce, ko manya gidanku sun zauna tsawon wuni guda basu ci abinci ba?")</f>
        <v>A cikin kwanaki 7 da suka wuce, ko manya gidanku sun zauna tsawon wuni guda basu ci abinci ba?</v>
      </c>
      <c r="J2435" s="172" t="str">
        <f t="shared" ref="J2435:L2435" si="701">$F2435 &amp; ". " &amp;G2435</f>
        <v>678. In the last 7 days, have adults gone a whole day without meals?</v>
      </c>
      <c r="K2435" s="172" t="str">
        <f t="shared" si="701"/>
        <v>678. Au cours des 7 derniers jours, des adultes sont-ils restés une journée entière sans manger de repas ?</v>
      </c>
      <c r="L2435" s="172" t="str">
        <f t="shared" si="701"/>
        <v>678. A cikin kwanaki 7 da suka wuce, ko manya gidanku sun zauna tsawon wuni guda basu ci abinci ba?</v>
      </c>
    </row>
    <row r="2436">
      <c r="A2436" s="253" t="s">
        <v>246</v>
      </c>
      <c r="B2436" s="254" t="s">
        <v>7128</v>
      </c>
      <c r="C2436" s="254" t="s">
        <v>7129</v>
      </c>
      <c r="D2436" s="254" t="s">
        <v>7130</v>
      </c>
      <c r="E2436" s="254" t="s">
        <v>7131</v>
      </c>
      <c r="F2436" s="182">
        <v>679.0</v>
      </c>
      <c r="G2436" s="172" t="str">
        <f>IFERROR(__xludf.DUMMYFUNCTION("TRIM(REGEXREPLACE(C2436, ""[0-9]+[a-f]?\."", """"))"),"How many days?")</f>
        <v>How many days?</v>
      </c>
      <c r="H2436" s="172" t="str">
        <f>IFERROR(__xludf.DUMMYFUNCTION("TRIM(REGEXREPLACE(D2436, ""[0-9]+[a-f]?\."", """"))"),"Pendant combien de jours?")</f>
        <v>Pendant combien de jours?</v>
      </c>
      <c r="I2436" s="172" t="str">
        <f>IFERROR(__xludf.DUMMYFUNCTION("TRIM(REGEXREPLACE(E2436, ""[0-9]+[a-f]?\."", """"))"),"151a Tsawon kwanaki nawa?")</f>
        <v>151a Tsawon kwanaki nawa?</v>
      </c>
      <c r="J2436" s="172" t="str">
        <f t="shared" ref="J2436:L2436" si="702">$F2436 &amp; ". " &amp;G2436</f>
        <v>679. How many days?</v>
      </c>
      <c r="K2436" s="172" t="str">
        <f t="shared" si="702"/>
        <v>679. Pendant combien de jours?</v>
      </c>
      <c r="L2436" s="172" t="str">
        <f t="shared" si="702"/>
        <v>679. 151a Tsawon kwanaki nawa?</v>
      </c>
    </row>
    <row r="2437">
      <c r="A2437" s="215" t="s">
        <v>3423</v>
      </c>
      <c r="B2437" s="216" t="s">
        <v>7132</v>
      </c>
      <c r="C2437" s="216" t="s">
        <v>7133</v>
      </c>
      <c r="D2437" s="216" t="s">
        <v>7134</v>
      </c>
      <c r="E2437" s="216" t="s">
        <v>7135</v>
      </c>
      <c r="F2437" s="182">
        <v>680.0</v>
      </c>
      <c r="G2437" s="172" t="str">
        <f>IFERROR(__xludf.DUMMYFUNCTION("TRIM(REGEXREPLACE(C2437, ""[0-9]+[a-f]?\."", """"))"),"In the last 7 days, have adults cut the size of meals or skipped meals?")</f>
        <v>In the last 7 days, have adults cut the size of meals or skipped meals?</v>
      </c>
      <c r="H2437" s="172" t="str">
        <f>IFERROR(__xludf.DUMMYFUNCTION("TRIM(REGEXREPLACE(D2437, ""[0-9]+[a-f]?\."", """"))"),"Au cours des 7 derniers jours, les adultes ont-ils réduit la taille de leur repas ou les ont-ils sauté?")</f>
        <v>Au cours des 7 derniers jours, les adultes ont-ils réduit la taille de leur repas ou les ont-ils sauté?</v>
      </c>
      <c r="I2437" s="172" t="str">
        <f>IFERROR(__xludf.DUMMYFUNCTION("TRIM(REGEXREPLACE(E2437, ""[0-9]+[a-f]?\."", """"))"),"A cikin kwanaki 7 na ƙarshe, ko manyan gidanku sun rage yawan abincin da suka saba ci ko sun tsallake shi?")</f>
        <v>A cikin kwanaki 7 na ƙarshe, ko manyan gidanku sun rage yawan abincin da suka saba ci ko sun tsallake shi?</v>
      </c>
      <c r="J2437" s="172" t="str">
        <f t="shared" ref="J2437:L2437" si="703">$F2437 &amp; ". " &amp;G2437</f>
        <v>680. In the last 7 days, have adults cut the size of meals or skipped meals?</v>
      </c>
      <c r="K2437" s="172" t="str">
        <f t="shared" si="703"/>
        <v>680. Au cours des 7 derniers jours, les adultes ont-ils réduit la taille de leur repas ou les ont-ils sauté?</v>
      </c>
      <c r="L2437" s="172" t="str">
        <f t="shared" si="703"/>
        <v>680. A cikin kwanaki 7 na ƙarshe, ko manyan gidanku sun rage yawan abincin da suka saba ci ko sun tsallake shi?</v>
      </c>
    </row>
    <row r="2438">
      <c r="A2438" s="253" t="s">
        <v>246</v>
      </c>
      <c r="B2438" s="254" t="s">
        <v>7136</v>
      </c>
      <c r="C2438" s="254" t="s">
        <v>7137</v>
      </c>
      <c r="D2438" s="254" t="s">
        <v>7138</v>
      </c>
      <c r="E2438" s="254" t="s">
        <v>7139</v>
      </c>
      <c r="F2438" s="182">
        <v>681.0</v>
      </c>
      <c r="G2438" s="172" t="str">
        <f>IFERROR(__xludf.DUMMYFUNCTION("TRIM(REGEXREPLACE(C2438, ""[0-9]+[a-f]?\."", """"))"),"How many days?")</f>
        <v>How many days?</v>
      </c>
      <c r="H2438" s="172" t="str">
        <f>IFERROR(__xludf.DUMMYFUNCTION("TRIM(REGEXREPLACE(D2438, ""[0-9]+[a-f]?\."", """"))"),"Pendant combien de jours?")</f>
        <v>Pendant combien de jours?</v>
      </c>
      <c r="I2438" s="172" t="str">
        <f>IFERROR(__xludf.DUMMYFUNCTION("TRIM(REGEXREPLACE(E2438, ""[0-9]+[a-f]?\."", """"))"),"Tsawon kwanaki nawa?")</f>
        <v>Tsawon kwanaki nawa?</v>
      </c>
      <c r="J2438" s="172" t="str">
        <f t="shared" ref="J2438:L2438" si="704">$F2438 &amp; ". " &amp;G2438</f>
        <v>681. How many days?</v>
      </c>
      <c r="K2438" s="172" t="str">
        <f t="shared" si="704"/>
        <v>681. Pendant combien de jours?</v>
      </c>
      <c r="L2438" s="172" t="str">
        <f t="shared" si="704"/>
        <v>681. Tsawon kwanaki nawa?</v>
      </c>
    </row>
    <row r="2439">
      <c r="A2439" s="253" t="s">
        <v>246</v>
      </c>
      <c r="B2439" s="254" t="s">
        <v>7140</v>
      </c>
      <c r="C2439" s="254" t="s">
        <v>5556</v>
      </c>
      <c r="D2439" s="254" t="s">
        <v>5557</v>
      </c>
      <c r="E2439" s="254" t="s">
        <v>5559</v>
      </c>
      <c r="F2439" s="182">
        <v>682.0</v>
      </c>
      <c r="G2439" s="172" t="str">
        <f>IFERROR(__xludf.DUMMYFUNCTION("TRIM(REGEXREPLACE(C2439, ""[0-9]+[a-f]?\."", """"))"),"In the past week how many days have adults in your household consumed animal protein (including fish, meat, poultry)?")</f>
        <v>In the past week how many days have adults in your household consumed animal protein (including fish, meat, poultry)?</v>
      </c>
      <c r="H2439" s="172" t="str">
        <f>IFERROR(__xludf.DUMMYFUNCTION("TRIM(REGEXREPLACE(D2439, ""[0-9]+[a-f]?\."", """"))"),"Au cours des 7 derniers jours, combien de fois les adultes de votre ménage ont-ils consommé des protéines animales (y compris poisson, viande, volaille) ?")</f>
        <v>Au cours des 7 derniers jours, combien de fois les adultes de votre ménage ont-ils consommé des protéines animales (y compris poisson, viande, volaille) ?</v>
      </c>
      <c r="I2439" s="172" t="str">
        <f>IFERROR(__xludf.DUMMYFUNCTION("TRIM(REGEXREPLACE(E2439, ""[0-9]+[a-f]?\."", """"))"),"A cikin kwanaki 7 da suka wuce sau nawa manyan gidanku suka ci abinci masu gina jiki kamar su kifi ko nama ko kaji?")</f>
        <v>A cikin kwanaki 7 da suka wuce sau nawa manyan gidanku suka ci abinci masu gina jiki kamar su kifi ko nama ko kaji?</v>
      </c>
      <c r="J2439" s="172" t="str">
        <f t="shared" ref="J2439:L2439" si="705">$F2439 &amp; ". " &amp;G2439</f>
        <v>682. In the past week how many days have adults in your household consumed animal protein (including fish, meat, poultry)?</v>
      </c>
      <c r="K2439" s="172" t="str">
        <f t="shared" si="705"/>
        <v>682. Au cours des 7 derniers jours, combien de fois les adultes de votre ménage ont-ils consommé des protéines animales (y compris poisson, viande, volaille) ?</v>
      </c>
      <c r="L2439" s="172" t="str">
        <f t="shared" si="705"/>
        <v>682. A cikin kwanaki 7 da suka wuce sau nawa manyan gidanku suka ci abinci masu gina jiki kamar su kifi ko nama ko kaji?</v>
      </c>
    </row>
    <row r="2440">
      <c r="A2440" s="215" t="s">
        <v>3423</v>
      </c>
      <c r="B2440" s="216" t="s">
        <v>7141</v>
      </c>
      <c r="C2440" s="216" t="s">
        <v>5566</v>
      </c>
      <c r="D2440" s="216" t="s">
        <v>5567</v>
      </c>
      <c r="E2440" s="216" t="s">
        <v>5568</v>
      </c>
      <c r="F2440" s="182">
        <v>683.0</v>
      </c>
      <c r="G2440" s="172" t="str">
        <f>IFERROR(__xludf.DUMMYFUNCTION("TRIM(REGEXREPLACE(C2440, ""[0-9]+[a-f]?\."", """"))"),"In the last 7 days, have children (&lt;14) gone a whole day without meals?")</f>
        <v>In the last 7 days, have children (&lt;14) gone a whole day without meals?</v>
      </c>
      <c r="H2440" s="172" t="str">
        <f>IFERROR(__xludf.DUMMYFUNCTION("TRIM(REGEXREPLACE(D2440, ""[0-9]+[a-f]?\."", """"))"),"Au cours des 7 derniers jours, des enfants (&lt;14) ont-ils passé une journée entière sans manger de repas ?")</f>
        <v>Au cours des 7 derniers jours, des enfants (&lt;14) ont-ils passé une journée entière sans manger de repas ?</v>
      </c>
      <c r="I2440" s="172" t="str">
        <f>IFERROR(__xludf.DUMMYFUNCTION("TRIM(REGEXREPLACE(E2440, ""[0-9]+[a-f]?\."", """"))"),"A cikin kwanaki 7 na ƙarshe, ko yara ƴan ƙasa da shekara goma sha huɗu sun zauna tsawon wuni guda ba su ci da abinci ba?")</f>
        <v>A cikin kwanaki 7 na ƙarshe, ko yara ƴan ƙasa da shekara goma sha huɗu sun zauna tsawon wuni guda ba su ci da abinci ba?</v>
      </c>
      <c r="J2440" s="172" t="str">
        <f t="shared" ref="J2440:L2440" si="706">$F2440 &amp; ". " &amp;G2440</f>
        <v>683. In the last 7 days, have children (&lt;14) gone a whole day without meals?</v>
      </c>
      <c r="K2440" s="172" t="str">
        <f t="shared" si="706"/>
        <v>683. Au cours des 7 derniers jours, des enfants (&lt;14) ont-ils passé une journée entière sans manger de repas ?</v>
      </c>
      <c r="L2440" s="172" t="str">
        <f t="shared" si="706"/>
        <v>683. A cikin kwanaki 7 na ƙarshe, ko yara ƴan ƙasa da shekara goma sha huɗu sun zauna tsawon wuni guda ba su ci da abinci ba?</v>
      </c>
    </row>
    <row r="2441">
      <c r="A2441" s="253" t="s">
        <v>246</v>
      </c>
      <c r="B2441" s="254" t="s">
        <v>7142</v>
      </c>
      <c r="C2441" s="254" t="s">
        <v>7143</v>
      </c>
      <c r="D2441" s="254" t="s">
        <v>7144</v>
      </c>
      <c r="E2441" s="254" t="s">
        <v>7145</v>
      </c>
      <c r="F2441" s="182">
        <v>684.0</v>
      </c>
      <c r="G2441" s="172" t="str">
        <f>IFERROR(__xludf.DUMMYFUNCTION("TRIM(REGEXREPLACE(C2441, ""[0-9]+[a-f]?\."", """"))"),"How many days?")</f>
        <v>How many days?</v>
      </c>
      <c r="H2441" s="172" t="str">
        <f>IFERROR(__xludf.DUMMYFUNCTION("TRIM(REGEXREPLACE(D2441, ""[0-9]+[a-f]?\."", """"))"),"Pendant combien de jours?")</f>
        <v>Pendant combien de jours?</v>
      </c>
      <c r="I2441" s="172" t="str">
        <f>IFERROR(__xludf.DUMMYFUNCTION("TRIM(REGEXREPLACE(E2441, ""[0-9]+[a-f]?\."", """"))"),"154a Tsawon kwanaki nawa?")</f>
        <v>154a Tsawon kwanaki nawa?</v>
      </c>
      <c r="J2441" s="172" t="str">
        <f t="shared" ref="J2441:L2441" si="707">$F2441 &amp; ". " &amp;G2441</f>
        <v>684. How many days?</v>
      </c>
      <c r="K2441" s="172" t="str">
        <f t="shared" si="707"/>
        <v>684. Pendant combien de jours?</v>
      </c>
      <c r="L2441" s="172" t="str">
        <f t="shared" si="707"/>
        <v>684. 154a Tsawon kwanaki nawa?</v>
      </c>
    </row>
    <row r="2442">
      <c r="A2442" s="215" t="s">
        <v>3423</v>
      </c>
      <c r="B2442" s="216" t="s">
        <v>7146</v>
      </c>
      <c r="C2442" s="216" t="s">
        <v>7147</v>
      </c>
      <c r="D2442" s="216" t="s">
        <v>7148</v>
      </c>
      <c r="E2442" s="216" t="s">
        <v>7149</v>
      </c>
      <c r="F2442" s="182">
        <v>685.0</v>
      </c>
      <c r="G2442" s="172" t="str">
        <f>IFERROR(__xludf.DUMMYFUNCTION("TRIM(REGEXREPLACE(C2442, ""[0-9]+[a-f]?\."", """"))"),"In the last 7 days, have children (&lt;14) cut the size of meals or skipped meals?")</f>
        <v>In the last 7 days, have children (&lt;14) cut the size of meals or skipped meals?</v>
      </c>
      <c r="H2442" s="172" t="str">
        <f>IFERROR(__xludf.DUMMYFUNCTION("TRIM(REGEXREPLACE(D2442, ""[0-9]+[a-f]?\."", """"))"),"Au cours des 7 derniers jours, des enfants (&lt;14) ont-ils réduit la taille de leurs repas ou les ont-ils sauté?")</f>
        <v>Au cours des 7 derniers jours, des enfants (&lt;14) ont-ils réduit la taille de leurs repas ou les ont-ils sauté?</v>
      </c>
      <c r="I2442" s="172" t="str">
        <f>IFERROR(__xludf.DUMMYFUNCTION("TRIM(REGEXREPLACE(E2442, ""[0-9]+[a-f]?\."", """"))"),"A cikin kwanaki 7 na ƙarshe, suna da yara (&lt;14) sun rage yawan abinci ko sun rasa gaba ɗaya?")</f>
        <v>A cikin kwanaki 7 na ƙarshe, suna da yara (&lt;14) sun rage yawan abinci ko sun rasa gaba ɗaya?</v>
      </c>
      <c r="J2442" s="172" t="str">
        <f t="shared" ref="J2442:L2442" si="708">$F2442 &amp; ". " &amp;G2442</f>
        <v>685. In the last 7 days, have children (&lt;14) cut the size of meals or skipped meals?</v>
      </c>
      <c r="K2442" s="172" t="str">
        <f t="shared" si="708"/>
        <v>685. Au cours des 7 derniers jours, des enfants (&lt;14) ont-ils réduit la taille de leurs repas ou les ont-ils sauté?</v>
      </c>
      <c r="L2442" s="172" t="str">
        <f t="shared" si="708"/>
        <v>685. A cikin kwanaki 7 na ƙarshe, suna da yara (&lt;14) sun rage yawan abinci ko sun rasa gaba ɗaya?</v>
      </c>
    </row>
    <row r="2443">
      <c r="A2443" s="253" t="s">
        <v>246</v>
      </c>
      <c r="B2443" s="254" t="s">
        <v>7150</v>
      </c>
      <c r="C2443" s="254" t="s">
        <v>7151</v>
      </c>
      <c r="D2443" s="254" t="s">
        <v>7152</v>
      </c>
      <c r="E2443" s="254" t="s">
        <v>7153</v>
      </c>
      <c r="F2443" s="182">
        <v>686.0</v>
      </c>
      <c r="G2443" s="172" t="str">
        <f>IFERROR(__xludf.DUMMYFUNCTION("TRIM(REGEXREPLACE(C2443, ""[0-9]+[a-f]?\."", """"))"),"How many days?")</f>
        <v>How many days?</v>
      </c>
      <c r="H2443" s="172" t="str">
        <f>IFERROR(__xludf.DUMMYFUNCTION("TRIM(REGEXREPLACE(D2443, ""[0-9]+[a-f]?\."", """"))"),"Pendant combien de jours?")</f>
        <v>Pendant combien de jours?</v>
      </c>
      <c r="I2443" s="172" t="str">
        <f>IFERROR(__xludf.DUMMYFUNCTION("TRIM(REGEXREPLACE(E2443, ""[0-9]+[a-f]?\."", """"))"),"155a Tsawon kwanaki nawa?")</f>
        <v>155a Tsawon kwanaki nawa?</v>
      </c>
      <c r="J2443" s="172" t="str">
        <f t="shared" ref="J2443:L2443" si="709">$F2443 &amp; ". " &amp;G2443</f>
        <v>686. How many days?</v>
      </c>
      <c r="K2443" s="172" t="str">
        <f t="shared" si="709"/>
        <v>686. Pendant combien de jours?</v>
      </c>
      <c r="L2443" s="172" t="str">
        <f t="shared" si="709"/>
        <v>686. 155a Tsawon kwanaki nawa?</v>
      </c>
    </row>
    <row r="2444">
      <c r="A2444" s="253" t="s">
        <v>246</v>
      </c>
      <c r="B2444" s="254" t="s">
        <v>7154</v>
      </c>
      <c r="C2444" s="254" t="s">
        <v>7155</v>
      </c>
      <c r="D2444" s="254" t="s">
        <v>7156</v>
      </c>
      <c r="E2444" s="254" t="s">
        <v>7157</v>
      </c>
      <c r="F2444" s="182">
        <v>687.0</v>
      </c>
      <c r="G2444" s="172" t="str">
        <f>IFERROR(__xludf.DUMMYFUNCTION("TRIM(REGEXREPLACE(C2444, ""[0-9]+[a-f]?\."", """"))"),"In the past week how many days have children in your household consumed animal protein (inlcuding fish, meat, poultry)?")</f>
        <v>In the past week how many days have children in your household consumed animal protein (inlcuding fish, meat, poultry)?</v>
      </c>
      <c r="H2444" s="172" t="str">
        <f>IFERROR(__xludf.DUMMYFUNCTION("TRIM(REGEXREPLACE(D2444, ""[0-9]+[a-f]?\."", """"))"),"Au cours des 7 derniers jours, combien de fois les enfants de votre ménage ont-ils consommé des protéines animales (y compris poisson, viande, volaille) ?")</f>
        <v>Au cours des 7 derniers jours, combien de fois les enfants de votre ménage ont-ils consommé des protéines animales (y compris poisson, viande, volaille) ?</v>
      </c>
      <c r="I2444" s="172" t="str">
        <f>IFERROR(__xludf.DUMMYFUNCTION("TRIM(REGEXREPLACE(E2444, ""[0-9]+[a-f]?\."", """"))"),"A cikin kwanaki 7 da suka gabata sau nawa yara a cikin gidanku suka ci abinci masu gina jiki kamar su kifi, nama, kaji ?")</f>
        <v>A cikin kwanaki 7 da suka gabata sau nawa yara a cikin gidanku suka ci abinci masu gina jiki kamar su kifi, nama, kaji ?</v>
      </c>
      <c r="J2444" s="172" t="str">
        <f t="shared" ref="J2444:L2444" si="710">$F2444 &amp; ". " &amp;G2444</f>
        <v>687. In the past week how many days have children in your household consumed animal protein (inlcuding fish, meat, poultry)?</v>
      </c>
      <c r="K2444" s="172" t="str">
        <f t="shared" si="710"/>
        <v>687. Au cours des 7 derniers jours, combien de fois les enfants de votre ménage ont-ils consommé des protéines animales (y compris poisson, viande, volaille) ?</v>
      </c>
      <c r="L2444" s="172" t="str">
        <f t="shared" si="710"/>
        <v>687. A cikin kwanaki 7 da suka gabata sau nawa yara a cikin gidanku suka ci abinci masu gina jiki kamar su kifi, nama, kaji ?</v>
      </c>
    </row>
    <row r="2445" hidden="1">
      <c r="A2445" s="188" t="s">
        <v>118</v>
      </c>
      <c r="B2445" s="189" t="s">
        <v>7158</v>
      </c>
      <c r="C2445" s="190"/>
      <c r="D2445" s="190"/>
      <c r="E2445" s="190"/>
    </row>
    <row r="2446" hidden="1">
      <c r="A2446" s="188" t="s">
        <v>68</v>
      </c>
      <c r="B2446" s="189" t="s">
        <v>7159</v>
      </c>
      <c r="C2446" s="190"/>
      <c r="D2446" s="190"/>
      <c r="E2446" s="190"/>
    </row>
    <row r="2447" hidden="1">
      <c r="A2447" s="172"/>
      <c r="B2447" s="174"/>
      <c r="C2447" s="174" t="s">
        <v>52</v>
      </c>
      <c r="D2447" s="174" t="s">
        <v>52</v>
      </c>
      <c r="E2447" s="174" t="s">
        <v>52</v>
      </c>
    </row>
    <row r="2448" hidden="1">
      <c r="A2448" s="211" t="s">
        <v>107</v>
      </c>
      <c r="B2448" s="212" t="s">
        <v>7160</v>
      </c>
      <c r="C2448" s="214"/>
      <c r="D2448" s="214"/>
      <c r="E2448" s="214"/>
    </row>
    <row r="2449" hidden="1">
      <c r="A2449" s="188" t="s">
        <v>118</v>
      </c>
      <c r="B2449" s="189" t="s">
        <v>7161</v>
      </c>
      <c r="C2449" s="190"/>
      <c r="D2449" s="190"/>
      <c r="E2449" s="190"/>
    </row>
    <row r="2450">
      <c r="A2450" s="215" t="s">
        <v>7162</v>
      </c>
      <c r="B2450" s="216" t="s">
        <v>7163</v>
      </c>
      <c r="C2450" s="216" t="s">
        <v>5587</v>
      </c>
      <c r="D2450" s="216" t="s">
        <v>5588</v>
      </c>
      <c r="E2450" s="216" t="s">
        <v>5589</v>
      </c>
      <c r="F2450" s="182">
        <v>688.0</v>
      </c>
      <c r="G2450" s="172" t="str">
        <f>IFERROR(__xludf.DUMMYFUNCTION("TRIM(REGEXREPLACE(C2450, ""[0-9]+[a-f]?\."", """"))"),"Has your household spent money on the following types of expenses in the past month?")</f>
        <v>Has your household spent money on the following types of expenses in the past month?</v>
      </c>
      <c r="H2450" s="172" t="str">
        <f>IFERROR(__xludf.DUMMYFUNCTION("TRIM(REGEXREPLACE(D2450, ""[0-9]+[a-f]?\."", """"))"),"Votre ménage a-t-il dépensé de l'argent pour les types de dépenses suivants au cours du dernier mois ?")</f>
        <v>Votre ménage a-t-il dépensé de l'argent pour les types de dépenses suivants au cours du dernier mois ?</v>
      </c>
      <c r="I2450" s="172" t="str">
        <f>IFERROR(__xludf.DUMMYFUNCTION("TRIM(REGEXREPLACE(E2450, ""[0-9]+[a-f]?\."", """"))"),"Shin gidanku ya kashe kuɗi akan irin waɗannan abubuwan a cikin watan da ya gabata?")</f>
        <v>Shin gidanku ya kashe kuɗi akan irin waɗannan abubuwan a cikin watan da ya gabata?</v>
      </c>
      <c r="J2450" s="172" t="str">
        <f t="shared" ref="J2450:L2450" si="711">$F2450 &amp; ". " &amp;G2450</f>
        <v>688. Has your household spent money on the following types of expenses in the past month?</v>
      </c>
      <c r="K2450" s="172" t="str">
        <f t="shared" si="711"/>
        <v>688. Votre ménage a-t-il dépensé de l'argent pour les types de dépenses suivants au cours du dernier mois ?</v>
      </c>
      <c r="L2450" s="172" t="str">
        <f t="shared" si="711"/>
        <v>688. Shin gidanku ya kashe kuɗi akan irin waɗannan abubuwan a cikin watan da ya gabata?</v>
      </c>
    </row>
    <row r="2451" hidden="1">
      <c r="A2451" s="255" t="s">
        <v>1042</v>
      </c>
      <c r="B2451" s="256" t="s">
        <v>7164</v>
      </c>
      <c r="C2451" s="256" t="s">
        <v>7165</v>
      </c>
      <c r="D2451" s="256" t="s">
        <v>7166</v>
      </c>
      <c r="E2451" s="256" t="s">
        <v>7167</v>
      </c>
    </row>
    <row r="2452" hidden="1">
      <c r="A2452" s="188" t="s">
        <v>68</v>
      </c>
      <c r="B2452" s="189" t="s">
        <v>7168</v>
      </c>
      <c r="C2452" s="217" t="s">
        <v>7169</v>
      </c>
      <c r="D2452" s="217" t="s">
        <v>7170</v>
      </c>
      <c r="E2452" s="217" t="s">
        <v>7171</v>
      </c>
    </row>
    <row r="2453">
      <c r="A2453" s="253" t="s">
        <v>246</v>
      </c>
      <c r="B2453" s="254" t="s">
        <v>7172</v>
      </c>
      <c r="C2453" s="254" t="s">
        <v>7173</v>
      </c>
      <c r="D2453" s="254" t="s">
        <v>7174</v>
      </c>
      <c r="E2453" s="254" t="s">
        <v>7175</v>
      </c>
      <c r="F2453" s="182">
        <v>689.0</v>
      </c>
      <c r="G2453" s="172" t="str">
        <f>IFERROR(__xludf.DUMMYFUNCTION("TRIM(REGEXREPLACE(C2453, ""[0-9]+[a-f]?\."", """"))"),"How much did your household spend on ${hoh_item} in the past month (in CFA)?")</f>
        <v>How much did your household spend on ${hoh_item} in the past month (in CFA)?</v>
      </c>
      <c r="H2453" s="172" t="str">
        <f>IFERROR(__xludf.DUMMYFUNCTION("TRIM(REGEXREPLACE(D2453, ""[0-9]+[a-f]?\."", """"))"),"Combien votre ménage a-t-il dépensé pour ${hoh_item} au cours du dernier mois (en CFA) ?")</f>
        <v>Combien votre ménage a-t-il dépensé pour ${hoh_item} au cours du dernier mois (en CFA) ?</v>
      </c>
      <c r="I2453" s="172" t="str">
        <f>IFERROR(__xludf.DUMMYFUNCTION("TRIM(REGEXREPLACE(E2453, ""[0-9]+[a-f]?\."", """"))"),"Nawa ne (a CFA) gidanku ya kashe akan ${hoh_item} cikin watan da ya gabata ?")</f>
        <v>Nawa ne (a CFA) gidanku ya kashe akan ${hoh_item} cikin watan da ya gabata ?</v>
      </c>
      <c r="J2453" s="172" t="str">
        <f t="shared" ref="J2453:L2453" si="712">$F2453 &amp; ". " &amp;G2453</f>
        <v>689. How much did your household spend on ${hoh_item} in the past month (in CFA)?</v>
      </c>
      <c r="K2453" s="172" t="str">
        <f t="shared" si="712"/>
        <v>689. Combien votre ménage a-t-il dépensé pour ${hoh_item} au cours du dernier mois (en CFA) ?</v>
      </c>
      <c r="L2453" s="172" t="str">
        <f t="shared" si="712"/>
        <v>689. Nawa ne (a CFA) gidanku ya kashe akan ${hoh_item} cikin watan da ya gabata ?</v>
      </c>
    </row>
    <row r="2454" hidden="1">
      <c r="A2454" s="255" t="s">
        <v>1064</v>
      </c>
      <c r="B2454" s="261" t="s">
        <v>7164</v>
      </c>
      <c r="C2454" s="261" t="s">
        <v>7165</v>
      </c>
      <c r="D2454" s="261" t="s">
        <v>7166</v>
      </c>
      <c r="E2454" s="261" t="s">
        <v>7167</v>
      </c>
    </row>
    <row r="2455">
      <c r="A2455" s="215" t="s">
        <v>7176</v>
      </c>
      <c r="B2455" s="216" t="s">
        <v>7177</v>
      </c>
      <c r="C2455" s="216" t="s">
        <v>7178</v>
      </c>
      <c r="D2455" s="216" t="s">
        <v>7179</v>
      </c>
      <c r="E2455" s="216" t="s">
        <v>7180</v>
      </c>
      <c r="F2455" s="182">
        <v>690.0</v>
      </c>
      <c r="G2455" s="172" t="str">
        <f>IFERROR(__xludf.DUMMYFUNCTION("TRIM(REGEXREPLACE(C2455, ""[0-9]+[a-f]?\."", """"))"),"Has your household spent money on the following types of expenses in the past week?")</f>
        <v>Has your household spent money on the following types of expenses in the past week?</v>
      </c>
      <c r="H2455" s="172" t="str">
        <f>IFERROR(__xludf.DUMMYFUNCTION("TRIM(REGEXREPLACE(D2455, ""[0-9]+[a-f]?\."", """"))"),"Votre ménage a-t-il dépensé de l'argent pour les types de dépenses suivants au cours de la semaine dernière ?")</f>
        <v>Votre ménage a-t-il dépensé de l'argent pour les types de dépenses suivants au cours de la semaine dernière ?</v>
      </c>
      <c r="I2455" s="172" t="str">
        <f>IFERROR(__xludf.DUMMYFUNCTION("TRIM(REGEXREPLACE(E2455, ""[0-9]+[a-f]?\."", """"))"),"Ko gidanku sun kashe kuɗi akan ire iren waɗannan abubuwan a cikin satin da ya gabata?")</f>
        <v>Ko gidanku sun kashe kuɗi akan ire iren waɗannan abubuwan a cikin satin da ya gabata?</v>
      </c>
      <c r="J2455" s="172" t="str">
        <f t="shared" ref="J2455:L2455" si="713">$F2455 &amp; ". " &amp;G2455</f>
        <v>690. Has your household spent money on the following types of expenses in the past week?</v>
      </c>
      <c r="K2455" s="172" t="str">
        <f t="shared" si="713"/>
        <v>690. Votre ménage a-t-il dépensé de l'argent pour les types de dépenses suivants au cours de la semaine dernière ?</v>
      </c>
      <c r="L2455" s="172" t="str">
        <f t="shared" si="713"/>
        <v>690. Ko gidanku sun kashe kuɗi akan ire iren waɗannan abubuwan a cikin satin da ya gabata?</v>
      </c>
    </row>
    <row r="2456" hidden="1">
      <c r="A2456" s="255" t="s">
        <v>1042</v>
      </c>
      <c r="B2456" s="256" t="s">
        <v>7181</v>
      </c>
      <c r="C2456" s="256" t="s">
        <v>7182</v>
      </c>
      <c r="D2456" s="256" t="s">
        <v>7183</v>
      </c>
      <c r="E2456" s="256" t="s">
        <v>7184</v>
      </c>
    </row>
    <row r="2457" hidden="1">
      <c r="A2457" s="188" t="s">
        <v>68</v>
      </c>
      <c r="B2457" s="189" t="s">
        <v>7185</v>
      </c>
      <c r="C2457" s="217" t="s">
        <v>7186</v>
      </c>
      <c r="D2457" s="217" t="s">
        <v>7187</v>
      </c>
      <c r="E2457" s="217" t="s">
        <v>7188</v>
      </c>
    </row>
    <row r="2458">
      <c r="A2458" s="253" t="s">
        <v>246</v>
      </c>
      <c r="B2458" s="254" t="s">
        <v>7189</v>
      </c>
      <c r="C2458" s="254" t="s">
        <v>7190</v>
      </c>
      <c r="D2458" s="254" t="s">
        <v>7191</v>
      </c>
      <c r="E2458" s="254" t="s">
        <v>7192</v>
      </c>
      <c r="F2458" s="182">
        <v>691.0</v>
      </c>
      <c r="G2458" s="172" t="str">
        <f>IFERROR(__xludf.DUMMYFUNCTION("TRIM(REGEXREPLACE(C2458, ""[0-9]+[a-f]?\."", """"))"),"How much did your household spend on ${hoh_item_week} in the past week (in CFA)?")</f>
        <v>How much did your household spend on ${hoh_item_week} in the past week (in CFA)?</v>
      </c>
      <c r="H2458" s="172" t="str">
        <f>IFERROR(__xludf.DUMMYFUNCTION("TRIM(REGEXREPLACE(D2458, ""[0-9]+[a-f]?\."", """"))"),"Combien votre ménage a-t-il dépensé en ${hoh_item_week} la semaine dernière (en CFA) ?")</f>
        <v>Combien votre ménage a-t-il dépensé en ${hoh_item_week} la semaine dernière (en CFA) ?</v>
      </c>
      <c r="I2458" s="172" t="str">
        <f>IFERROR(__xludf.DUMMYFUNCTION("TRIM(REGEXREPLACE(E2458, ""[0-9]+[a-f]?\."", """"))"),"Nawa ne gidan ku ya kashe (a CFA) a ${hoh_item_week} satin da ya gabata ?")</f>
        <v>Nawa ne gidan ku ya kashe (a CFA) a ${hoh_item_week} satin da ya gabata ?</v>
      </c>
      <c r="J2458" s="172" t="str">
        <f t="shared" ref="J2458:L2458" si="714">$F2458 &amp; ". " &amp;G2458</f>
        <v>691. How much did your household spend on ${hoh_item_week} in the past week (in CFA)?</v>
      </c>
      <c r="K2458" s="172" t="str">
        <f t="shared" si="714"/>
        <v>691. Combien votre ménage a-t-il dépensé en ${hoh_item_week} la semaine dernière (en CFA) ?</v>
      </c>
      <c r="L2458" s="172" t="str">
        <f t="shared" si="714"/>
        <v>691. Nawa ne gidan ku ya kashe (a CFA) a ${hoh_item_week} satin da ya gabata ?</v>
      </c>
    </row>
    <row r="2459" hidden="1">
      <c r="A2459" s="255" t="s">
        <v>1064</v>
      </c>
      <c r="B2459" s="261" t="s">
        <v>7181</v>
      </c>
      <c r="C2459" s="261" t="s">
        <v>7182</v>
      </c>
      <c r="D2459" s="261" t="s">
        <v>7183</v>
      </c>
      <c r="E2459" s="261" t="s">
        <v>7184</v>
      </c>
    </row>
    <row r="2460" hidden="1">
      <c r="A2460" s="211" t="s">
        <v>107</v>
      </c>
      <c r="B2460" s="212" t="s">
        <v>7193</v>
      </c>
      <c r="C2460" s="214"/>
      <c r="D2460" s="214"/>
      <c r="E2460" s="214"/>
    </row>
    <row r="2461">
      <c r="A2461" s="215" t="s">
        <v>3423</v>
      </c>
      <c r="B2461" s="216" t="s">
        <v>7194</v>
      </c>
      <c r="C2461" s="216" t="s">
        <v>7195</v>
      </c>
      <c r="D2461" s="216" t="s">
        <v>7196</v>
      </c>
      <c r="E2461" s="216" t="s">
        <v>7197</v>
      </c>
      <c r="F2461" s="182">
        <v>692.0</v>
      </c>
      <c r="G2461" s="172" t="str">
        <f>IFERROR(__xludf.DUMMYFUNCTION("TRIM(REGEXREPLACE(C2461, ""[0-9]+[a-f]?\."", """"))"),"For Ramadan, did your household purchase any of the following?")</f>
        <v>For Ramadan, did your household purchase any of the following?</v>
      </c>
      <c r="H2461" s="172" t="str">
        <f>IFERROR(__xludf.DUMMYFUNCTION("TRIM(REGEXREPLACE(D2461, ""[0-9]+[a-f]?\."", """"))"),"Pour le Ramadan, votre ménage a-t-il acheté l'un des produits suivants ?")</f>
        <v>Pour le Ramadan, votre ménage a-t-il acheté l'un des produits suivants ?</v>
      </c>
      <c r="I2461" s="172" t="str">
        <f>IFERROR(__xludf.DUMMYFUNCTION("TRIM(REGEXREPLACE(E2461, ""[0-9]+[a-f]?\."", """"))"),"Ga watan azumi, gidanku ya sayi ɗaya daga cikin wadannan?")</f>
        <v>Ga watan azumi, gidanku ya sayi ɗaya daga cikin wadannan?</v>
      </c>
      <c r="J2461" s="172" t="str">
        <f t="shared" ref="J2461:L2461" si="715">$F2461 &amp; ". " &amp;G2461</f>
        <v>692. For Ramadan, did your household purchase any of the following?</v>
      </c>
      <c r="K2461" s="172" t="str">
        <f t="shared" si="715"/>
        <v>692. Pour le Ramadan, votre ménage a-t-il acheté l'un des produits suivants ?</v>
      </c>
      <c r="L2461" s="172" t="str">
        <f t="shared" si="715"/>
        <v>692. Ga watan azumi, gidanku ya sayi ɗaya daga cikin wadannan?</v>
      </c>
    </row>
    <row r="2462">
      <c r="A2462" s="215" t="s">
        <v>3423</v>
      </c>
      <c r="B2462" s="216" t="s">
        <v>7198</v>
      </c>
      <c r="C2462" s="216" t="s">
        <v>7199</v>
      </c>
      <c r="D2462" s="216" t="s">
        <v>7200</v>
      </c>
      <c r="E2462" s="216" t="s">
        <v>7201</v>
      </c>
      <c r="F2462" s="182">
        <v>693.0</v>
      </c>
      <c r="G2462" s="172" t="str">
        <f>IFERROR(__xludf.DUMMYFUNCTION("TRIM(REGEXREPLACE(C2462, ""[0-9]+[a-f]?\."", """"))"),"Clothing")</f>
        <v>Clothing</v>
      </c>
      <c r="H2462" s="172" t="str">
        <f>IFERROR(__xludf.DUMMYFUNCTION("TRIM(REGEXREPLACE(D2462, ""[0-9]+[a-f]?\."", """"))"),"Vêtements")</f>
        <v>Vêtements</v>
      </c>
      <c r="I2462" s="172" t="str">
        <f>IFERROR(__xludf.DUMMYFUNCTION("TRIM(REGEXREPLACE(E2462, ""[0-9]+[a-f]?\."", """"))"),"Tufafi")</f>
        <v>Tufafi</v>
      </c>
      <c r="J2462" s="172" t="str">
        <f t="shared" ref="J2462:L2462" si="716">$F2462 &amp; ". " &amp;G2462</f>
        <v>693. Clothing</v>
      </c>
      <c r="K2462" s="172" t="str">
        <f t="shared" si="716"/>
        <v>693. Vêtements</v>
      </c>
      <c r="L2462" s="172" t="str">
        <f t="shared" si="716"/>
        <v>693. Tufafi</v>
      </c>
    </row>
    <row r="2463">
      <c r="A2463" s="215" t="s">
        <v>3423</v>
      </c>
      <c r="B2463" s="216" t="s">
        <v>7202</v>
      </c>
      <c r="C2463" s="216" t="s">
        <v>7203</v>
      </c>
      <c r="D2463" s="216" t="s">
        <v>7204</v>
      </c>
      <c r="E2463" s="216" t="s">
        <v>7205</v>
      </c>
      <c r="F2463" s="182">
        <v>694.0</v>
      </c>
      <c r="G2463" s="172" t="str">
        <f>IFERROR(__xludf.DUMMYFUNCTION("TRIM(REGEXREPLACE(C2463, ""[0-9]+[a-f]?\."", """"))"),"Sheep")</f>
        <v>Sheep</v>
      </c>
      <c r="H2463" s="172" t="str">
        <f>IFERROR(__xludf.DUMMYFUNCTION("TRIM(REGEXREPLACE(D2463, ""[0-9]+[a-f]?\."", """"))"),"Mouton")</f>
        <v>Mouton</v>
      </c>
      <c r="I2463" s="172" t="str">
        <f>IFERROR(__xludf.DUMMYFUNCTION("TRIM(REGEXREPLACE(E2463, ""[0-9]+[a-f]?\."", """"))"),"Rago")</f>
        <v>Rago</v>
      </c>
      <c r="J2463" s="172" t="str">
        <f t="shared" ref="J2463:L2463" si="717">$F2463 &amp; ". " &amp;G2463</f>
        <v>694. Sheep</v>
      </c>
      <c r="K2463" s="172" t="str">
        <f t="shared" si="717"/>
        <v>694. Mouton</v>
      </c>
      <c r="L2463" s="172" t="str">
        <f t="shared" si="717"/>
        <v>694. Rago</v>
      </c>
    </row>
    <row r="2464">
      <c r="A2464" s="215" t="s">
        <v>3423</v>
      </c>
      <c r="B2464" s="216" t="s">
        <v>7206</v>
      </c>
      <c r="C2464" s="216" t="s">
        <v>5617</v>
      </c>
      <c r="D2464" s="216" t="s">
        <v>5618</v>
      </c>
      <c r="E2464" s="216" t="s">
        <v>5619</v>
      </c>
      <c r="F2464" s="182">
        <v>695.0</v>
      </c>
      <c r="G2464" s="172" t="str">
        <f>IFERROR(__xludf.DUMMYFUNCTION("TRIM(REGEXREPLACE(C2464, ""[0-9]+[a-f]?\."", """"))"),"Goat")</f>
        <v>Goat</v>
      </c>
      <c r="H2464" s="172" t="str">
        <f>IFERROR(__xludf.DUMMYFUNCTION("TRIM(REGEXREPLACE(D2464, ""[0-9]+[a-f]?\."", """"))"),"Chèvre")</f>
        <v>Chèvre</v>
      </c>
      <c r="I2464" s="172" t="str">
        <f>IFERROR(__xludf.DUMMYFUNCTION("TRIM(REGEXREPLACE(E2464, ""[0-9]+[a-f]?\."", """"))"),"Akuya")</f>
        <v>Akuya</v>
      </c>
      <c r="J2464" s="172" t="str">
        <f t="shared" ref="J2464:L2464" si="718">$F2464 &amp; ". " &amp;G2464</f>
        <v>695. Goat</v>
      </c>
      <c r="K2464" s="172" t="str">
        <f t="shared" si="718"/>
        <v>695. Chèvre</v>
      </c>
      <c r="L2464" s="172" t="str">
        <f t="shared" si="718"/>
        <v>695. Akuya</v>
      </c>
    </row>
    <row r="2465">
      <c r="A2465" s="215" t="s">
        <v>3423</v>
      </c>
      <c r="B2465" s="216" t="s">
        <v>7207</v>
      </c>
      <c r="C2465" s="216" t="s">
        <v>5624</v>
      </c>
      <c r="D2465" s="216" t="s">
        <v>5625</v>
      </c>
      <c r="E2465" s="216" t="s">
        <v>5626</v>
      </c>
      <c r="F2465" s="182">
        <v>696.0</v>
      </c>
      <c r="G2465" s="172" t="str">
        <f>IFERROR(__xludf.DUMMYFUNCTION("TRIM(REGEXREPLACE(C2465, ""[0-9]+[a-f]?\."", """"))"),"Poultry")</f>
        <v>Poultry</v>
      </c>
      <c r="H2465" s="172" t="str">
        <f>IFERROR(__xludf.DUMMYFUNCTION("TRIM(REGEXREPLACE(D2465, ""[0-9]+[a-f]?\."", """"))"),"Volaille")</f>
        <v>Volaille</v>
      </c>
      <c r="I2465" s="172" t="str">
        <f>IFERROR(__xludf.DUMMYFUNCTION("TRIM(REGEXREPLACE(E2465, ""[0-9]+[a-f]?\."", """"))"),"Kaji")</f>
        <v>Kaji</v>
      </c>
      <c r="J2465" s="172" t="str">
        <f t="shared" ref="J2465:L2465" si="719">$F2465 &amp; ". " &amp;G2465</f>
        <v>696. Poultry</v>
      </c>
      <c r="K2465" s="172" t="str">
        <f t="shared" si="719"/>
        <v>696. Volaille</v>
      </c>
      <c r="L2465" s="172" t="str">
        <f t="shared" si="719"/>
        <v>696. Kaji</v>
      </c>
    </row>
    <row r="2466" hidden="1">
      <c r="A2466" s="211" t="s">
        <v>238</v>
      </c>
      <c r="B2466" s="224" t="s">
        <v>7193</v>
      </c>
      <c r="C2466" s="225"/>
      <c r="D2466" s="225"/>
      <c r="E2466" s="225"/>
    </row>
    <row r="2467" hidden="1">
      <c r="A2467" s="211" t="s">
        <v>238</v>
      </c>
      <c r="B2467" s="224" t="s">
        <v>7160</v>
      </c>
      <c r="C2467" s="225"/>
      <c r="D2467" s="225"/>
      <c r="E2467" s="225"/>
    </row>
    <row r="2468" hidden="1">
      <c r="A2468" s="188" t="s">
        <v>118</v>
      </c>
      <c r="B2468" s="189" t="s">
        <v>7208</v>
      </c>
      <c r="C2468" s="190"/>
      <c r="D2468" s="190"/>
      <c r="E2468" s="190"/>
    </row>
    <row r="2469" hidden="1">
      <c r="A2469" s="188" t="s">
        <v>68</v>
      </c>
      <c r="B2469" s="189" t="s">
        <v>7209</v>
      </c>
      <c r="C2469" s="190"/>
      <c r="D2469" s="190"/>
      <c r="E2469" s="190"/>
    </row>
    <row r="2470" hidden="1">
      <c r="A2470" s="211" t="s">
        <v>238</v>
      </c>
      <c r="B2470" s="224" t="s">
        <v>6553</v>
      </c>
      <c r="C2470" s="225"/>
      <c r="D2470" s="263"/>
      <c r="E2470" s="263"/>
    </row>
    <row r="2471" hidden="1">
      <c r="A2471" s="211" t="s">
        <v>238</v>
      </c>
      <c r="B2471" s="211" t="s">
        <v>6395</v>
      </c>
      <c r="C2471" s="224" t="s">
        <v>6396</v>
      </c>
      <c r="D2471" s="263"/>
      <c r="E2471" s="263"/>
    </row>
    <row r="2472" hidden="1">
      <c r="A2472" s="188" t="s">
        <v>118</v>
      </c>
      <c r="B2472" s="189" t="s">
        <v>7210</v>
      </c>
      <c r="C2472" s="190"/>
      <c r="D2472" s="190"/>
      <c r="E2472" s="190"/>
    </row>
    <row r="2473" hidden="1">
      <c r="A2473" s="188" t="s">
        <v>68</v>
      </c>
      <c r="B2473" s="189" t="s">
        <v>7211</v>
      </c>
      <c r="C2473" s="190"/>
      <c r="D2473" s="190"/>
      <c r="E2473" s="190"/>
    </row>
    <row r="2474" hidden="1">
      <c r="A2474" s="211" t="s">
        <v>238</v>
      </c>
      <c r="B2474" s="211" t="s">
        <v>440</v>
      </c>
      <c r="C2474" s="225"/>
      <c r="D2474" s="263"/>
      <c r="E2474" s="263"/>
    </row>
    <row r="2475" hidden="1">
      <c r="A2475" s="172"/>
      <c r="B2475" s="172"/>
      <c r="C2475" s="174"/>
      <c r="D2475" s="172"/>
      <c r="E2475" s="172"/>
    </row>
    <row r="2476" hidden="1">
      <c r="A2476" s="211" t="s">
        <v>107</v>
      </c>
      <c r="B2476" s="311" t="s">
        <v>7212</v>
      </c>
      <c r="C2476" s="212" t="s">
        <v>7213</v>
      </c>
      <c r="D2476" s="311" t="s">
        <v>7214</v>
      </c>
      <c r="E2476" s="311" t="s">
        <v>7215</v>
      </c>
    </row>
    <row r="2477">
      <c r="A2477" s="207" t="s">
        <v>41</v>
      </c>
      <c r="B2477" s="316" t="s">
        <v>7216</v>
      </c>
      <c r="C2477" s="208" t="s">
        <v>7217</v>
      </c>
      <c r="D2477" s="208" t="s">
        <v>7218</v>
      </c>
      <c r="E2477" s="208" t="s">
        <v>7219</v>
      </c>
      <c r="F2477" s="182">
        <v>697.0</v>
      </c>
      <c r="G2477" s="172" t="str">
        <f>IFERROR(__xludf.DUMMYFUNCTION("TRIM(REGEXREPLACE(C2477, ""[0-9]+[a-f]?\."", """"))"),"As I mentioned at the beginning of our interview, we would like to stay in touch with you.")</f>
        <v>As I mentioned at the beginning of our interview, we would like to stay in touch with you.</v>
      </c>
      <c r="H2477" s="172" t="str">
        <f>IFERROR(__xludf.DUMMYFUNCTION("TRIM(REGEXREPLACE(D2477, ""[0-9]+[a-f]?\."", """"))"),"Comme je l'ai mentionné au début de notre entretien, nous aimerions rester en contact avec vous.")</f>
        <v>Comme je l'ai mentionné au début de notre entretien, nous aimerions rester en contact avec vous.</v>
      </c>
      <c r="I2477" s="172" t="str">
        <f>IFERROR(__xludf.DUMMYFUNCTION("TRIM(REGEXREPLACE(E2477, ""[0-9]+[a-f]?\."", """"))"),"Kamar yadda na faɗa a farkon hirarmu, muna son mu ci gaba da tuntuɓar ku.")</f>
        <v>Kamar yadda na faɗa a farkon hirarmu, muna son mu ci gaba da tuntuɓar ku.</v>
      </c>
      <c r="J2477" s="172" t="str">
        <f t="shared" ref="J2477:L2477" si="720">$F2477 &amp; ". " &amp;G2477</f>
        <v>697. As I mentioned at the beginning of our interview, we would like to stay in touch with you.</v>
      </c>
      <c r="K2477" s="172" t="str">
        <f t="shared" si="720"/>
        <v>697. Comme je l'ai mentionné au début de notre entretien, nous aimerions rester en contact avec vous.</v>
      </c>
      <c r="L2477" s="172" t="str">
        <f t="shared" si="720"/>
        <v>697. Kamar yadda na faɗa a farkon hirarmu, muna son mu ci gaba da tuntuɓar ku.</v>
      </c>
    </row>
    <row r="2478">
      <c r="A2478" s="246" t="s">
        <v>231</v>
      </c>
      <c r="B2478" s="320" t="s">
        <v>7220</v>
      </c>
      <c r="C2478" s="247" t="s">
        <v>7221</v>
      </c>
      <c r="D2478" s="247" t="s">
        <v>7222</v>
      </c>
      <c r="E2478" s="247" t="s">
        <v>7223</v>
      </c>
      <c r="F2478" s="182">
        <v>698.0</v>
      </c>
      <c r="G2478" s="172" t="str">
        <f>IFERROR(__xludf.DUMMYFUNCTION("TRIM(REGEXREPLACE(C2478, ""[0-9]+[a-f]?\."", """"))"),"What is the phone number where we can reach you?")</f>
        <v>What is the phone number where we can reach you?</v>
      </c>
      <c r="H2478" s="172" t="str">
        <f>IFERROR(__xludf.DUMMYFUNCTION("TRIM(REGEXREPLACE(D2478, ""[0-9]+[a-f]?\."", """"))"),"Quel est le numéro de téléphone auquel nous pouvons vous joindre?")</f>
        <v>Quel est le numéro de téléphone auquel nous pouvons vous joindre?</v>
      </c>
      <c r="I2478" s="172" t="str">
        <f>IFERROR(__xludf.DUMMYFUNCTION("TRIM(REGEXREPLACE(E2478, ""[0-9]+[a-f]?\."", """"))"),"Wace lambar waya ce zamu iya samun ku da ita?")</f>
        <v>Wace lambar waya ce zamu iya samun ku da ita?</v>
      </c>
      <c r="J2478" s="172" t="str">
        <f t="shared" ref="J2478:L2478" si="721">$F2478 &amp; ". " &amp;G2478</f>
        <v>698. What is the phone number where we can reach you?</v>
      </c>
      <c r="K2478" s="172" t="str">
        <f t="shared" si="721"/>
        <v>698. Quel est le numéro de téléphone auquel nous pouvons vous joindre?</v>
      </c>
      <c r="L2478" s="172" t="str">
        <f t="shared" si="721"/>
        <v>698. Wace lambar waya ce zamu iya samun ku da ita?</v>
      </c>
    </row>
    <row r="2479">
      <c r="A2479" s="215" t="s">
        <v>353</v>
      </c>
      <c r="B2479" s="273" t="s">
        <v>7224</v>
      </c>
      <c r="C2479" s="216" t="s">
        <v>7225</v>
      </c>
      <c r="D2479" s="216" t="s">
        <v>7226</v>
      </c>
      <c r="E2479" s="216" t="s">
        <v>7227</v>
      </c>
      <c r="F2479" s="182">
        <v>699.0</v>
      </c>
      <c r="G2479" s="172" t="str">
        <f>IFERROR(__xludf.DUMMYFUNCTION("TRIM(REGEXREPLACE(C2479, ""[0-9]+[a-f]?\."", """"))"),"I am going to read back the phone number you just shared with me. Can you confirm this is your primary phone number? ${primary_phone}")</f>
        <v>I am going to read back the phone number you just shared with me. Can you confirm this is your primary phone number? ${primary_phone}</v>
      </c>
      <c r="H2479" s="172" t="str">
        <f>IFERROR(__xludf.DUMMYFUNCTION("TRIM(REGEXREPLACE(D2479, ""[0-9]+[a-f]?\."", """"))"),"Je vais relire le numéro de téléphone que vous venez de me donner. Pouvez-vous confirmer qu'il s'agit de votre numéro de téléphone principal ? ${primary_phone}")</f>
        <v>Je vais relire le numéro de téléphone que vous venez de me donner. Pouvez-vous confirmer qu'il s'agit de votre numéro de téléphone principal ? ${primary_phone}</v>
      </c>
      <c r="I2479" s="172" t="str">
        <f>IFERROR(__xludf.DUMMYFUNCTION("TRIM(REGEXREPLACE(E2479, ""[0-9]+[a-f]?\."", """"))"),"Zan sake karanta lambar wayar da kuka bani. Zaku iya tabbatar mini da wannan itace lambar wayarku ta farko? ${primary_phone}")</f>
        <v>Zan sake karanta lambar wayar da kuka bani. Zaku iya tabbatar mini da wannan itace lambar wayarku ta farko? ${primary_phone}</v>
      </c>
      <c r="J2479" s="172" t="str">
        <f t="shared" ref="J2479:L2479" si="722">$F2479 &amp; ". " &amp;G2479</f>
        <v>699. I am going to read back the phone number you just shared with me. Can you confirm this is your primary phone number? ${primary_phone}</v>
      </c>
      <c r="K2479" s="172" t="str">
        <f t="shared" si="722"/>
        <v>699. Je vais relire le numéro de téléphone que vous venez de me donner. Pouvez-vous confirmer qu'il s'agit de votre numéro de téléphone principal ? ${primary_phone}</v>
      </c>
      <c r="L2479" s="172" t="str">
        <f t="shared" si="722"/>
        <v>699. Zan sake karanta lambar wayar da kuka bani. Zaku iya tabbatar mini da wannan itace lambar wayarku ta farko? ${primary_phone}</v>
      </c>
    </row>
    <row r="2480">
      <c r="A2480" s="207" t="s">
        <v>41</v>
      </c>
      <c r="B2480" s="316" t="s">
        <v>7228</v>
      </c>
      <c r="C2480" s="208" t="s">
        <v>7229</v>
      </c>
      <c r="D2480" s="208" t="s">
        <v>7230</v>
      </c>
      <c r="E2480" s="208" t="s">
        <v>7231</v>
      </c>
      <c r="F2480" s="182">
        <v>700.0</v>
      </c>
      <c r="G2480" s="172" t="str">
        <f>IFERROR(__xludf.DUMMYFUNCTION("TRIM(REGEXREPLACE(C2480, ""[0-9]+[a-f]?\."", """"))"),"Please go back and correct the number.")</f>
        <v>Please go back and correct the number.</v>
      </c>
      <c r="H2480" s="172" t="str">
        <f>IFERROR(__xludf.DUMMYFUNCTION("TRIM(REGEXREPLACE(D2480, ""[0-9]+[a-f]?\."", """"))"),"Veuillez revenir en arrière pour corriger le numéro.")</f>
        <v>Veuillez revenir en arrière pour corriger le numéro.</v>
      </c>
      <c r="I2480" s="172" t="str">
        <f>IFERROR(__xludf.DUMMYFUNCTION("TRIM(REGEXREPLACE(E2480, ""[0-9]+[a-f]?\."", """"))"),"ko za ka koma baya ka gyara lambar.")</f>
        <v>ko za ka koma baya ka gyara lambar.</v>
      </c>
      <c r="J2480" s="172" t="str">
        <f t="shared" ref="J2480:L2480" si="723">$F2480 &amp; ". " &amp;G2480</f>
        <v>700. Please go back and correct the number.</v>
      </c>
      <c r="K2480" s="172" t="str">
        <f t="shared" si="723"/>
        <v>700. Veuillez revenir en arrière pour corriger le numéro.</v>
      </c>
      <c r="L2480" s="172" t="str">
        <f t="shared" si="723"/>
        <v>700. ko za ka koma baya ka gyara lambar.</v>
      </c>
    </row>
    <row r="2481">
      <c r="A2481" s="215" t="s">
        <v>7232</v>
      </c>
      <c r="B2481" s="273" t="s">
        <v>7233</v>
      </c>
      <c r="C2481" s="216" t="s">
        <v>7234</v>
      </c>
      <c r="D2481" s="216" t="s">
        <v>7235</v>
      </c>
      <c r="E2481" s="216" t="s">
        <v>7236</v>
      </c>
      <c r="F2481" s="182">
        <v>701.0</v>
      </c>
      <c r="G2481" s="172" t="str">
        <f>IFERROR(__xludf.DUMMYFUNCTION("TRIM(REGEXREPLACE(C2481, ""[0-9]+[a-f]?\."", """"))"),"I am going to call this phone number to confirm it is correct.")</f>
        <v>I am going to call this phone number to confirm it is correct.</v>
      </c>
      <c r="H2481" s="172" t="str">
        <f>IFERROR(__xludf.DUMMYFUNCTION("TRIM(REGEXREPLACE(D2481, ""[0-9]+[a-f]?\."", """"))"),"Je vais appeler ce numéro de téléphone pour confirmer qu'il est correct.")</f>
        <v>Je vais appeler ce numéro de téléphone pour confirmer qu'il est correct.</v>
      </c>
      <c r="I2481" s="172" t="str">
        <f>IFERROR(__xludf.DUMMYFUNCTION("TRIM(REGEXREPLACE(E2481, ""[0-9]+[a-f]?\."", """"))"),"Zan kirayi wannan lambar don tabbatar da cewa daidai ce.")</f>
        <v>Zan kirayi wannan lambar don tabbatar da cewa daidai ce.</v>
      </c>
      <c r="J2481" s="172" t="str">
        <f t="shared" ref="J2481:L2481" si="724">$F2481 &amp; ". " &amp;G2481</f>
        <v>701. I am going to call this phone number to confirm it is correct.</v>
      </c>
      <c r="K2481" s="172" t="str">
        <f t="shared" si="724"/>
        <v>701. Je vais appeler ce numéro de téléphone pour confirmer qu'il est correct.</v>
      </c>
      <c r="L2481" s="172" t="str">
        <f t="shared" si="724"/>
        <v>701. Zan kirayi wannan lambar don tabbatar da cewa daidai ce.</v>
      </c>
    </row>
    <row r="2482">
      <c r="A2482" s="207" t="s">
        <v>41</v>
      </c>
      <c r="B2482" s="316" t="s">
        <v>7237</v>
      </c>
      <c r="C2482" s="208" t="s">
        <v>7238</v>
      </c>
      <c r="D2482" s="208" t="s">
        <v>7239</v>
      </c>
      <c r="E2482" s="208" t="s">
        <v>7240</v>
      </c>
      <c r="F2482" s="182">
        <v>702.0</v>
      </c>
      <c r="G2482" s="172" t="str">
        <f>IFERROR(__xludf.DUMMYFUNCTION("TRIM(REGEXREPLACE(C2482, ""[0-9]+[a-f]?\."", """"))"),"Please go back and enter a new phone number.")</f>
        <v>Please go back and enter a new phone number.</v>
      </c>
      <c r="H2482" s="172" t="str">
        <f>IFERROR(__xludf.DUMMYFUNCTION("TRIM(REGEXREPLACE(D2482, ""[0-9]+[a-f]?\."", """"))"),"Veuillez revenir en arrière pour entrer un nouveau numéro de téléphone.")</f>
        <v>Veuillez revenir en arrière pour entrer un nouveau numéro de téléphone.</v>
      </c>
      <c r="I2482" s="172" t="str">
        <f>IFERROR(__xludf.DUMMYFUNCTION("TRIM(REGEXREPLACE(E2482, ""[0-9]+[a-f]?\."", """"))"),"Ko za ka koma baya ka shigar da sabuwar lambar waya.")</f>
        <v>Ko za ka koma baya ka shigar da sabuwar lambar waya.</v>
      </c>
      <c r="J2482" s="172" t="str">
        <f t="shared" ref="J2482:L2482" si="725">$F2482 &amp; ". " &amp;G2482</f>
        <v>702. Please go back and enter a new phone number.</v>
      </c>
      <c r="K2482" s="172" t="str">
        <f t="shared" si="725"/>
        <v>702. Veuillez revenir en arrière pour entrer un nouveau numéro de téléphone.</v>
      </c>
      <c r="L2482" s="172" t="str">
        <f t="shared" si="725"/>
        <v>702. Ko za ka koma baya ka shigar da sabuwar lambar waya.</v>
      </c>
    </row>
    <row r="2483">
      <c r="A2483" s="215" t="s">
        <v>353</v>
      </c>
      <c r="B2483" s="273" t="s">
        <v>7241</v>
      </c>
      <c r="C2483" s="216" t="s">
        <v>7242</v>
      </c>
      <c r="D2483" s="216" t="s">
        <v>7243</v>
      </c>
      <c r="E2483" s="216" t="s">
        <v>7244</v>
      </c>
      <c r="F2483" s="182">
        <v>703.0</v>
      </c>
      <c r="G2483" s="172" t="str">
        <f>IFERROR(__xludf.DUMMYFUNCTION("TRIM(REGEXREPLACE(C2483, ""[0-9]+[a-f]?\."", """"))"),"Do you have a Whatsapp account/ phone number you use for WhatsApp?")</f>
        <v>Do you have a Whatsapp account/ phone number you use for WhatsApp?</v>
      </c>
      <c r="H2483" s="172" t="str">
        <f>IFERROR(__xludf.DUMMYFUNCTION("TRIM(REGEXREPLACE(D2483, ""[0-9]+[a-f]?\."", """"))"),"Avez-vous un compte/numéro de téléphone Whatsapp que vous utilisez pour WhatsApp ?")</f>
        <v>Avez-vous un compte/numéro de téléphone Whatsapp que vous utilisez pour WhatsApp ?</v>
      </c>
      <c r="I2483" s="172" t="str">
        <f>IFERROR(__xludf.DUMMYFUNCTION("TRIM(REGEXREPLACE(E2483, ""[0-9]+[a-f]?\."", """"))"),"Kuna yin WhatsApp / lambar wayar da kuke amfani da ita ta WhatsApp ce?")</f>
        <v>Kuna yin WhatsApp / lambar wayar da kuke amfani da ita ta WhatsApp ce?</v>
      </c>
      <c r="J2483" s="172" t="str">
        <f t="shared" ref="J2483:L2483" si="726">$F2483 &amp; ". " &amp;G2483</f>
        <v>703. Do you have a Whatsapp account/ phone number you use for WhatsApp?</v>
      </c>
      <c r="K2483" s="172" t="str">
        <f t="shared" si="726"/>
        <v>703. Avez-vous un compte/numéro de téléphone Whatsapp que vous utilisez pour WhatsApp ?</v>
      </c>
      <c r="L2483" s="172" t="str">
        <f t="shared" si="726"/>
        <v>703. Kuna yin WhatsApp / lambar wayar da kuke amfani da ita ta WhatsApp ce?</v>
      </c>
    </row>
    <row r="2484">
      <c r="A2484" s="215" t="s">
        <v>353</v>
      </c>
      <c r="B2484" s="273" t="s">
        <v>7245</v>
      </c>
      <c r="C2484" s="216" t="s">
        <v>7246</v>
      </c>
      <c r="D2484" s="216" t="s">
        <v>7247</v>
      </c>
      <c r="E2484" s="216" t="s">
        <v>7248</v>
      </c>
      <c r="F2484" s="182">
        <v>704.0</v>
      </c>
      <c r="G2484" s="172" t="str">
        <f>IFERROR(__xludf.DUMMYFUNCTION("TRIM(REGEXREPLACE(C2484, ""[0-9]+[a-f]?\."", """"))"),"Is this the phone number you use for whatsapp?")</f>
        <v>Is this the phone number you use for whatsapp?</v>
      </c>
      <c r="H2484" s="172" t="str">
        <f>IFERROR(__xludf.DUMMYFUNCTION("TRIM(REGEXREPLACE(D2484, ""[0-9]+[a-f]?\."", """"))"),"Est-ce le numéro de téléphone que vous utilisez pour WhatsApp ?")</f>
        <v>Est-ce le numéro de téléphone que vous utilisez pour WhatsApp ?</v>
      </c>
      <c r="I2484" s="172" t="str">
        <f>IFERROR(__xludf.DUMMYFUNCTION("TRIM(REGEXREPLACE(E2484, ""[0-9]+[a-f]?\."", """"))"),"Wannan ita ce lambar wayar da kuke amfani da ita don yin whatsapp?")</f>
        <v>Wannan ita ce lambar wayar da kuke amfani da ita don yin whatsapp?</v>
      </c>
      <c r="J2484" s="172" t="str">
        <f t="shared" ref="J2484:L2484" si="727">$F2484 &amp; ". " &amp;G2484</f>
        <v>704. Is this the phone number you use for whatsapp?</v>
      </c>
      <c r="K2484" s="172" t="str">
        <f t="shared" si="727"/>
        <v>704. Est-ce le numéro de téléphone que vous utilisez pour WhatsApp ?</v>
      </c>
      <c r="L2484" s="172" t="str">
        <f t="shared" si="727"/>
        <v>704. Wannan ita ce lambar wayar da kuke amfani da ita don yin whatsapp?</v>
      </c>
    </row>
    <row r="2485">
      <c r="A2485" s="246" t="s">
        <v>231</v>
      </c>
      <c r="B2485" s="320" t="s">
        <v>7249</v>
      </c>
      <c r="C2485" s="247" t="s">
        <v>5648</v>
      </c>
      <c r="D2485" s="247" t="s">
        <v>5649</v>
      </c>
      <c r="E2485" s="247" t="s">
        <v>5651</v>
      </c>
      <c r="F2485" s="182">
        <v>705.0</v>
      </c>
      <c r="G2485" s="172" t="str">
        <f>IFERROR(__xludf.DUMMYFUNCTION("TRIM(REGEXREPLACE(C2485, ""[0-9]+[a-f]?\."", """"))"),"Please tell me the phone number you use for Whatsapp")</f>
        <v>Please tell me the phone number you use for Whatsapp</v>
      </c>
      <c r="H2485" s="172" t="str">
        <f>IFERROR(__xludf.DUMMYFUNCTION("TRIM(REGEXREPLACE(D2485, ""[0-9]+[a-f]?\."", """"))"),"Veuillez me dire le numéro de téléphone que vous utilisez pour Whatsapp")</f>
        <v>Veuillez me dire le numéro de téléphone que vous utilisez pour Whatsapp</v>
      </c>
      <c r="I2485" s="172" t="str">
        <f>IFERROR(__xludf.DUMMYFUNCTION("TRIM(REGEXREPLACE(E2485, ""[0-9]+[a-f]?\."", """"))"),"Don Allah ku gaya mini lambar wayar da kuke amfani da ita don yin Whatsapp")</f>
        <v>Don Allah ku gaya mini lambar wayar da kuke amfani da ita don yin Whatsapp</v>
      </c>
      <c r="J2485" s="172" t="str">
        <f t="shared" ref="J2485:L2485" si="728">$F2485 &amp; ". " &amp;G2485</f>
        <v>705. Please tell me the phone number you use for Whatsapp</v>
      </c>
      <c r="K2485" s="172" t="str">
        <f t="shared" si="728"/>
        <v>705. Veuillez me dire le numéro de téléphone que vous utilisez pour Whatsapp</v>
      </c>
      <c r="L2485" s="172" t="str">
        <f t="shared" si="728"/>
        <v>705. Don Allah ku gaya mini lambar wayar da kuke amfani da ita don yin Whatsapp</v>
      </c>
    </row>
    <row r="2486">
      <c r="A2486" s="215" t="s">
        <v>353</v>
      </c>
      <c r="B2486" s="273" t="s">
        <v>7250</v>
      </c>
      <c r="C2486" s="216" t="s">
        <v>5654</v>
      </c>
      <c r="D2486" s="216" t="s">
        <v>5655</v>
      </c>
      <c r="E2486" s="216" t="s">
        <v>5656</v>
      </c>
      <c r="F2486" s="182">
        <v>706.0</v>
      </c>
      <c r="G2486" s="172" t="str">
        <f>IFERROR(__xludf.DUMMYFUNCTION("TRIM(REGEXREPLACE(C2486, ""[0-9]+[a-f]?\."", """"))"),"I am going read back the phone number you just shared with me as your Whatsapp number. Is this the phone number you use for whatsapp? ${phone_whatsapp_number}")</f>
        <v>I am going read back the phone number you just shared with me as your Whatsapp number. Is this the phone number you use for whatsapp? ${phone_whatsapp_number}</v>
      </c>
      <c r="H2486" s="172" t="str">
        <f>IFERROR(__xludf.DUMMYFUNCTION("TRIM(REGEXREPLACE(D2486, ""[0-9]+[a-f]?\."", """"))"),"Je vais relire le numéro de téléphone que vous nous avez donné comme votre numéro Whatsapp. Est-ce le numéro de téléphone que vous utilisez pour WhatsApp ? ${phone_whatsapp_number}")</f>
        <v>Je vais relire le numéro de téléphone que vous nous avez donné comme votre numéro Whatsapp. Est-ce le numéro de téléphone que vous utilisez pour WhatsApp ? ${phone_whatsapp_number}</v>
      </c>
      <c r="I2486" s="172" t="str">
        <f>IFERROR(__xludf.DUMMYFUNCTION("TRIM(REGEXREPLACE(E2486, ""[0-9]+[a-f]?\."", """"))"),"Zan sake karanta lambar wayar da kuka bani a zaman lambar Whatsapp dinku. Wannan shine lambar wayar da kuke amfani da ita don yin whatsapp? ${phone_whatsapp_number}")</f>
        <v>Zan sake karanta lambar wayar da kuka bani a zaman lambar Whatsapp dinku. Wannan shine lambar wayar da kuke amfani da ita don yin whatsapp? ${phone_whatsapp_number}</v>
      </c>
      <c r="J2486" s="172" t="str">
        <f t="shared" ref="J2486:L2486" si="729">$F2486 &amp; ". " &amp;G2486</f>
        <v>706. I am going read back the phone number you just shared with me as your Whatsapp number. Is this the phone number you use for whatsapp? ${phone_whatsapp_number}</v>
      </c>
      <c r="K2486" s="172" t="str">
        <f t="shared" si="729"/>
        <v>706. Je vais relire le numéro de téléphone que vous nous avez donné comme votre numéro Whatsapp. Est-ce le numéro de téléphone que vous utilisez pour WhatsApp ? ${phone_whatsapp_number}</v>
      </c>
      <c r="L2486" s="172" t="str">
        <f t="shared" si="729"/>
        <v>706. Zan sake karanta lambar wayar da kuka bani a zaman lambar Whatsapp dinku. Wannan shine lambar wayar da kuke amfani da ita don yin whatsapp? ${phone_whatsapp_number}</v>
      </c>
    </row>
    <row r="2487">
      <c r="A2487" s="207" t="s">
        <v>41</v>
      </c>
      <c r="B2487" s="316" t="s">
        <v>7251</v>
      </c>
      <c r="C2487" s="208" t="s">
        <v>5659</v>
      </c>
      <c r="D2487" s="208" t="s">
        <v>5661</v>
      </c>
      <c r="E2487" s="208" t="s">
        <v>5663</v>
      </c>
      <c r="F2487" s="182">
        <v>707.0</v>
      </c>
      <c r="G2487" s="172" t="str">
        <f>IFERROR(__xludf.DUMMYFUNCTION("TRIM(REGEXREPLACE(C2487, ""[0-9]+[a-f]?\."", """"))"),"Please go back and correct the number.")</f>
        <v>Please go back and correct the number.</v>
      </c>
      <c r="H2487" s="172" t="str">
        <f>IFERROR(__xludf.DUMMYFUNCTION("TRIM(REGEXREPLACE(D2487, ""[0-9]+[a-f]?\."", """"))"),"Veuillez revenir en arrière pour corriger le numéro.")</f>
        <v>Veuillez revenir en arrière pour corriger le numéro.</v>
      </c>
      <c r="I2487" s="172" t="str">
        <f>IFERROR(__xludf.DUMMYFUNCTION("TRIM(REGEXREPLACE(E2487, ""[0-9]+[a-f]?\."", """"))"),"Da fatan za ka koma baya ka gyara lambar.")</f>
        <v>Da fatan za ka koma baya ka gyara lambar.</v>
      </c>
      <c r="J2487" s="172" t="str">
        <f t="shared" ref="J2487:L2487" si="730">$F2487 &amp; ". " &amp;G2487</f>
        <v>707. Please go back and correct the number.</v>
      </c>
      <c r="K2487" s="172" t="str">
        <f t="shared" si="730"/>
        <v>707. Veuillez revenir en arrière pour corriger le numéro.</v>
      </c>
      <c r="L2487" s="172" t="str">
        <f t="shared" si="730"/>
        <v>707. Da fatan za ka koma baya ka gyara lambar.</v>
      </c>
    </row>
    <row r="2488">
      <c r="A2488" s="215" t="s">
        <v>353</v>
      </c>
      <c r="B2488" s="273" t="s">
        <v>7252</v>
      </c>
      <c r="C2488" s="216" t="s">
        <v>5664</v>
      </c>
      <c r="D2488" s="216" t="s">
        <v>5665</v>
      </c>
      <c r="E2488" s="216" t="s">
        <v>5666</v>
      </c>
      <c r="F2488" s="182">
        <v>708.0</v>
      </c>
      <c r="G2488" s="172" t="str">
        <f>IFERROR(__xludf.DUMMYFUNCTION("TRIM(REGEXREPLACE(C2488, ""[0-9]+[a-f]?\."", """"))"),"Do you have other phone numbers that you use regularly (i.e. other phone carriers)?")</f>
        <v>Do you have other phone numbers that you use regularly (i.e. other phone carriers)?</v>
      </c>
      <c r="H2488" s="172" t="str">
        <f>IFERROR(__xludf.DUMMYFUNCTION("TRIM(REGEXREPLACE(D2488, ""[0-9]+[a-f]?\."", """"))"),"Avez-vous d'autres numéros de téléphone que vous utilisez régulièrement (c'est-à-dire d'autres opérateurs téléphoniques) ?")</f>
        <v>Avez-vous d'autres numéros de téléphone que vous utilisez régulièrement (c'est-à-dire d'autres opérateurs téléphoniques) ?</v>
      </c>
      <c r="I2488" s="172" t="str">
        <f>IFERROR(__xludf.DUMMYFUNCTION("TRIM(REGEXREPLACE(E2488, ""[0-9]+[a-f]?\."", """"))"),"Ko kuna da wasu lambobin waya waɗanda kuke amfani da su kai-akai (layin wasu gidan wayar salula)?")</f>
        <v>Ko kuna da wasu lambobin waya waɗanda kuke amfani da su kai-akai (layin wasu gidan wayar salula)?</v>
      </c>
      <c r="J2488" s="172" t="str">
        <f t="shared" ref="J2488:L2488" si="731">$F2488 &amp; ". " &amp;G2488</f>
        <v>708. Do you have other phone numbers that you use regularly (i.e. other phone carriers)?</v>
      </c>
      <c r="K2488" s="172" t="str">
        <f t="shared" si="731"/>
        <v>708. Avez-vous d'autres numéros de téléphone que vous utilisez régulièrement (c'est-à-dire d'autres opérateurs téléphoniques) ?</v>
      </c>
      <c r="L2488" s="172" t="str">
        <f t="shared" si="731"/>
        <v>708. Ko kuna da wasu lambobin waya waɗanda kuke amfani da su kai-akai (layin wasu gidan wayar salula)?</v>
      </c>
    </row>
    <row r="2489">
      <c r="A2489" s="253" t="s">
        <v>246</v>
      </c>
      <c r="B2489" s="312" t="s">
        <v>7253</v>
      </c>
      <c r="C2489" s="254" t="s">
        <v>5670</v>
      </c>
      <c r="D2489" s="254" t="s">
        <v>5671</v>
      </c>
      <c r="E2489" s="254" t="s">
        <v>5672</v>
      </c>
      <c r="F2489" s="182">
        <v>709.0</v>
      </c>
      <c r="G2489" s="172" t="str">
        <f>IFERROR(__xludf.DUMMYFUNCTION("TRIM(REGEXREPLACE(C2489, ""[0-9]+[a-f]?\."", """"))"),"How many other additional phone numbers?")</f>
        <v>How many other additional phone numbers?</v>
      </c>
      <c r="H2489" s="172" t="str">
        <f>IFERROR(__xludf.DUMMYFUNCTION("TRIM(REGEXREPLACE(D2489, ""[0-9]+[a-f]?\."", """"))"),"Y-a t-il d'autres numéros de téléphone supplémentaires ?")</f>
        <v>Y-a t-il d'autres numéros de téléphone supplémentaires ?</v>
      </c>
      <c r="I2489" s="172" t="str">
        <f>IFERROR(__xludf.DUMMYFUNCTION("TRIM(REGEXREPLACE(E2489, ""[0-9]+[a-f]?\."", """"))"),"220 a. Ko akwai ƙarin wasu lambobin waya?")</f>
        <v>220 a. Ko akwai ƙarin wasu lambobin waya?</v>
      </c>
      <c r="J2489" s="172" t="str">
        <f t="shared" ref="J2489:L2489" si="732">$F2489 &amp; ". " &amp;G2489</f>
        <v>709. How many other additional phone numbers?</v>
      </c>
      <c r="K2489" s="172" t="str">
        <f t="shared" si="732"/>
        <v>709. Y-a t-il d'autres numéros de téléphone supplémentaires ?</v>
      </c>
      <c r="L2489" s="172" t="str">
        <f t="shared" si="732"/>
        <v>709. 220 a. Ko akwai ƙarin wasu lambobin waya?</v>
      </c>
    </row>
    <row r="2490" hidden="1">
      <c r="A2490" s="255" t="s">
        <v>1042</v>
      </c>
      <c r="B2490" s="321" t="s">
        <v>7254</v>
      </c>
      <c r="C2490" s="256" t="s">
        <v>7255</v>
      </c>
      <c r="D2490" s="322"/>
      <c r="E2490" s="322"/>
    </row>
    <row r="2491">
      <c r="A2491" s="246" t="s">
        <v>231</v>
      </c>
      <c r="B2491" s="320" t="s">
        <v>7256</v>
      </c>
      <c r="C2491" s="247" t="s">
        <v>5674</v>
      </c>
      <c r="D2491" s="247" t="s">
        <v>5675</v>
      </c>
      <c r="E2491" s="247" t="s">
        <v>5676</v>
      </c>
      <c r="F2491" s="182">
        <v>710.0</v>
      </c>
      <c r="G2491" s="172" t="str">
        <f>IFERROR(__xludf.DUMMYFUNCTION("TRIM(REGEXREPLACE(C2491, ""[0-9]+[a-f]?\."", """"))"),"What are these additional phone numbers?")</f>
        <v>What are these additional phone numbers?</v>
      </c>
      <c r="H2491" s="172" t="str">
        <f>IFERROR(__xludf.DUMMYFUNCTION("TRIM(REGEXREPLACE(D2491, ""[0-9]+[a-f]?\."", """"))"),"Quels sont les numéros de téléphone supplémentaires ?")</f>
        <v>Quels sont les numéros de téléphone supplémentaires ?</v>
      </c>
      <c r="I2491" s="172" t="str">
        <f>IFERROR(__xludf.DUMMYFUNCTION("TRIM(REGEXREPLACE(E2491, ""[0-9]+[a-f]?\."", """"))"),"Waɗannene ƙarin lambobin wayan?")</f>
        <v>Waɗannene ƙarin lambobin wayan?</v>
      </c>
      <c r="J2491" s="172" t="str">
        <f t="shared" ref="J2491:L2491" si="733">$F2491 &amp; ". " &amp;G2491</f>
        <v>710. What are these additional phone numbers?</v>
      </c>
      <c r="K2491" s="172" t="str">
        <f t="shared" si="733"/>
        <v>710. Quels sont les numéros de téléphone supplémentaires ?</v>
      </c>
      <c r="L2491" s="172" t="str">
        <f t="shared" si="733"/>
        <v>710. Waɗannene ƙarin lambobin wayan?</v>
      </c>
    </row>
    <row r="2492" hidden="1">
      <c r="A2492" s="255" t="s">
        <v>1064</v>
      </c>
      <c r="B2492" s="255" t="s">
        <v>7254</v>
      </c>
      <c r="C2492" s="261" t="s">
        <v>7255</v>
      </c>
      <c r="D2492" s="285"/>
      <c r="E2492" s="285"/>
    </row>
    <row r="2493">
      <c r="A2493" s="215" t="s">
        <v>353</v>
      </c>
      <c r="B2493" s="273" t="s">
        <v>7257</v>
      </c>
      <c r="C2493" s="216" t="s">
        <v>7258</v>
      </c>
      <c r="D2493" s="216" t="s">
        <v>7259</v>
      </c>
      <c r="E2493" s="216" t="s">
        <v>7260</v>
      </c>
      <c r="F2493" s="182">
        <v>711.0</v>
      </c>
      <c r="G2493" s="172" t="str">
        <f>IFERROR(__xludf.DUMMYFUNCTION("TRIM(REGEXREPLACE(C2493, ""[0-9]+[a-f]?\."", """"))"),"In case we cannot reach you, could you please provide us with the name and phone number of someone outside your household that we could call to ask for your number? 
 We would only call that person if we cannot reach you after a few attempts and this wo"&amp;"uld really help us stay in contact with you.")</f>
        <v>In case we cannot reach you, could you please provide us with the name and phone number of someone outside your household that we could call to ask for your number? 
 We would only call that person if we cannot reach you after a few attempts and this would really help us stay in contact with you.</v>
      </c>
      <c r="H2493" s="172" t="str">
        <f>IFERROR(__xludf.DUMMYFUNCTION("TRIM(REGEXREPLACE(D2493, ""[0-9]+[a-f]?\."", """"))"),"Si nous ne pouvons pas vous joindre, pourriez-vous nous fournir le nom et le numéro de téléphone d'une personne extérieure à votre foyer que nous pourrions appeler pour demander votre numéro ?
 Nous n'appellerions cette personne que si nous ne pouvons p"&amp;"as vous joindre après quelques tentatives, cela nous aiderait vraiment à rester en contact avec vous.")</f>
        <v>Si nous ne pouvons pas vous joindre, pourriez-vous nous fournir le nom et le numéro de téléphone d'une personne extérieure à votre foyer que nous pourrions appeler pour demander votre numéro ?
 Nous n'appellerions cette personne que si nous ne pouvons pas vous joindre après quelques tentatives, cela nous aiderait vraiment à rester en contact avec vous.</v>
      </c>
      <c r="I2493" s="172" t="str">
        <f>IFERROR(__xludf.DUMMYFUNCTION("TRIM(REGEXREPLACE(E2493, ""[0-9]+[a-f]?\."", """"))"),"Idan ba za mu iya samun ku ba, ko za ku iya ba mu suna da lambar wayar wani wanda ba na gidanku ba da za mu iya kira don neman lambar ku?
 Za mu kirayi mutumen ne kawai idan bamu sameku ba bayan kira biyu zuwa uku, hakan zai taimaka mana ci gaba da tunt"&amp;"uɓar ku.")</f>
        <v>Idan ba za mu iya samun ku ba, ko za ku iya ba mu suna da lambar wayar wani wanda ba na gidanku ba da za mu iya kira don neman lambar ku?
 Za mu kirayi mutumen ne kawai idan bamu sameku ba bayan kira biyu zuwa uku, hakan zai taimaka mana ci gaba da tuntuɓar ku.</v>
      </c>
      <c r="J2493" s="172" t="str">
        <f t="shared" ref="J2493:L2493" si="734">$F2493 &amp; ". " &amp;G2493</f>
        <v>711. In case we cannot reach you, could you please provide us with the name and phone number of someone outside your household that we could call to ask for your number? 
 We would only call that person if we cannot reach you after a few attempts and this would really help us stay in contact with you.</v>
      </c>
      <c r="K2493" s="172" t="str">
        <f t="shared" si="734"/>
        <v>711. Si nous ne pouvons pas vous joindre, pourriez-vous nous fournir le nom et le numéro de téléphone d'une personne extérieure à votre foyer que nous pourrions appeler pour demander votre numéro ?
 Nous n'appellerions cette personne que si nous ne pouvons pas vous joindre après quelques tentatives, cela nous aiderait vraiment à rester en contact avec vous.</v>
      </c>
      <c r="L2493" s="172" t="str">
        <f t="shared" si="734"/>
        <v>711. Idan ba za mu iya samun ku ba, ko za ku iya ba mu suna da lambar wayar wani wanda ba na gidanku ba da za mu iya kira don neman lambar ku?
 Za mu kirayi mutumen ne kawai idan bamu sameku ba bayan kira biyu zuwa uku, hakan zai taimaka mana ci gaba da tuntuɓar ku.</v>
      </c>
    </row>
    <row r="2494" hidden="1">
      <c r="A2494" s="211" t="s">
        <v>107</v>
      </c>
      <c r="B2494" s="311" t="s">
        <v>7261</v>
      </c>
      <c r="C2494" s="212" t="s">
        <v>7262</v>
      </c>
      <c r="D2494" s="315"/>
      <c r="E2494" s="315"/>
    </row>
    <row r="2495">
      <c r="A2495" s="246" t="s">
        <v>231</v>
      </c>
      <c r="B2495" s="320" t="s">
        <v>7263</v>
      </c>
      <c r="C2495" s="247" t="s">
        <v>7264</v>
      </c>
      <c r="D2495" s="247" t="s">
        <v>7265</v>
      </c>
      <c r="E2495" s="247" t="s">
        <v>7266</v>
      </c>
      <c r="F2495" s="182">
        <v>712.0</v>
      </c>
      <c r="G2495" s="172" t="str">
        <f>IFERROR(__xludf.DUMMYFUNCTION("TRIM(REGEXREPLACE(C2495, ""[0-9]+[a-f]?\."", """"))"),"What is the last name of this person")</f>
        <v>What is the last name of this person</v>
      </c>
      <c r="H2495" s="172" t="str">
        <f>IFERROR(__xludf.DUMMYFUNCTION("TRIM(REGEXREPLACE(D2495, ""[0-9]+[a-f]?\."", """"))"),"Quel est le nom de cette personne")</f>
        <v>Quel est le nom de cette personne</v>
      </c>
      <c r="I2495" s="172" t="str">
        <f>IFERROR(__xludf.DUMMYFUNCTION("TRIM(REGEXREPLACE(E2495, ""[0-9]+[a-f]?\."", """"))"),"Menene sunan uban wannan mutumen?")</f>
        <v>Menene sunan uban wannan mutumen?</v>
      </c>
      <c r="J2495" s="172" t="str">
        <f t="shared" ref="J2495:L2495" si="735">$F2495 &amp; ". " &amp;G2495</f>
        <v>712. What is the last name of this person</v>
      </c>
      <c r="K2495" s="172" t="str">
        <f t="shared" si="735"/>
        <v>712. Quel est le nom de cette personne</v>
      </c>
      <c r="L2495" s="172" t="str">
        <f t="shared" si="735"/>
        <v>712. Menene sunan uban wannan mutumen?</v>
      </c>
    </row>
    <row r="2496">
      <c r="A2496" s="246" t="s">
        <v>231</v>
      </c>
      <c r="B2496" s="320" t="s">
        <v>7267</v>
      </c>
      <c r="C2496" s="247" t="s">
        <v>7268</v>
      </c>
      <c r="D2496" s="247" t="s">
        <v>7269</v>
      </c>
      <c r="E2496" s="247" t="s">
        <v>7270</v>
      </c>
      <c r="F2496" s="182">
        <v>713.0</v>
      </c>
      <c r="G2496" s="172" t="str">
        <f>IFERROR(__xludf.DUMMYFUNCTION("TRIM(REGEXREPLACE(C2496, ""[0-9]+[a-f]?\."", """"))"),"What is the first name of this person")</f>
        <v>What is the first name of this person</v>
      </c>
      <c r="H2496" s="172" t="str">
        <f>IFERROR(__xludf.DUMMYFUNCTION("TRIM(REGEXREPLACE(D2496, ""[0-9]+[a-f]?\."", """"))"),"Quel est le prénom de cette personne")</f>
        <v>Quel est le prénom de cette personne</v>
      </c>
      <c r="I2496" s="172" t="str">
        <f>IFERROR(__xludf.DUMMYFUNCTION("TRIM(REGEXREPLACE(E2496, ""[0-9]+[a-f]?\."", """"))"),"Menene sunan wannan mutumen?")</f>
        <v>Menene sunan wannan mutumen?</v>
      </c>
      <c r="J2496" s="172" t="str">
        <f t="shared" ref="J2496:L2496" si="736">$F2496 &amp; ". " &amp;G2496</f>
        <v>713. What is the first name of this person</v>
      </c>
      <c r="K2496" s="172" t="str">
        <f t="shared" si="736"/>
        <v>713. Quel est le prénom de cette personne</v>
      </c>
      <c r="L2496" s="172" t="str">
        <f t="shared" si="736"/>
        <v>713. Menene sunan wannan mutumen?</v>
      </c>
    </row>
    <row r="2497" hidden="1">
      <c r="A2497" s="211" t="s">
        <v>238</v>
      </c>
      <c r="B2497" s="211" t="s">
        <v>7261</v>
      </c>
      <c r="C2497" s="224" t="s">
        <v>7262</v>
      </c>
      <c r="D2497" s="263"/>
      <c r="E2497" s="263"/>
    </row>
    <row r="2498" hidden="1">
      <c r="A2498" s="188" t="s">
        <v>68</v>
      </c>
      <c r="B2498" s="279" t="s">
        <v>7271</v>
      </c>
      <c r="C2498" s="190"/>
      <c r="D2498" s="290"/>
      <c r="E2498" s="290"/>
    </row>
    <row r="2499">
      <c r="A2499" s="246" t="s">
        <v>231</v>
      </c>
      <c r="B2499" s="320" t="s">
        <v>7272</v>
      </c>
      <c r="C2499" s="247" t="s">
        <v>7273</v>
      </c>
      <c r="D2499" s="323"/>
      <c r="E2499" s="323"/>
      <c r="F2499" s="182">
        <v>714.0</v>
      </c>
      <c r="G2499" s="172" t="str">
        <f>IFERROR(__xludf.DUMMYFUNCTION("TRIM(REGEXREPLACE(C2499, ""[0-9]+[a-f]?\."", """"))"),"What is their phone number?")</f>
        <v>What is their phone number?</v>
      </c>
      <c r="H2499" s="172" t="str">
        <f>IFERROR(__xludf.DUMMYFUNCTION("TRIM(REGEXREPLACE(D2499, ""[0-9]+[a-f]?\."", """"))"),"")</f>
        <v/>
      </c>
      <c r="I2499" s="172" t="str">
        <f>IFERROR(__xludf.DUMMYFUNCTION("TRIM(REGEXREPLACE(E2499, ""[0-9]+[a-f]?\."", """"))"),"")</f>
        <v/>
      </c>
      <c r="J2499" s="172" t="str">
        <f t="shared" ref="J2499:L2499" si="737">$F2499 &amp; ". " &amp;G2499</f>
        <v>714. What is their phone number?</v>
      </c>
      <c r="K2499" s="172" t="str">
        <f t="shared" si="737"/>
        <v>714. </v>
      </c>
      <c r="L2499" s="172" t="str">
        <f t="shared" si="737"/>
        <v>714. </v>
      </c>
    </row>
    <row r="2500">
      <c r="A2500" s="215" t="s">
        <v>5944</v>
      </c>
      <c r="B2500" s="273" t="s">
        <v>7274</v>
      </c>
      <c r="C2500" s="216" t="s">
        <v>7275</v>
      </c>
      <c r="D2500" s="216" t="s">
        <v>7276</v>
      </c>
      <c r="E2500" s="216" t="s">
        <v>7277</v>
      </c>
      <c r="F2500" s="182">
        <v>715.0</v>
      </c>
      <c r="G2500" s="172" t="str">
        <f>IFERROR(__xludf.DUMMYFUNCTION("TRIM(REGEXREPLACE(C2500, ""[0-9]+[a-f]?\."", """"))"),"What is ${secondary_name1}'s relationship to you?")</f>
        <v>What is ${secondary_name1}'s relationship to you?</v>
      </c>
      <c r="H2500" s="172" t="str">
        <f>IFERROR(__xludf.DUMMYFUNCTION("TRIM(REGEXREPLACE(D2500, ""[0-9]+[a-f]?\."", """"))"),"Quelle est la relation entre ${secondary_name1} et vous ?")</f>
        <v>Quelle est la relation entre ${secondary_name1} et vous ?</v>
      </c>
      <c r="I2500" s="172" t="str">
        <f>IFERROR(__xludf.DUMMYFUNCTION("TRIM(REGEXREPLACE(E2500, ""[0-9]+[a-f]?\."", """"))"),"Menene alaƙar ku da ${secondary_name1} ?")</f>
        <v>Menene alaƙar ku da ${secondary_name1} ?</v>
      </c>
      <c r="J2500" s="172" t="str">
        <f t="shared" ref="J2500:L2500" si="738">$F2500 &amp; ". " &amp;G2500</f>
        <v>715. What is ${secondary_name1}'s relationship to you?</v>
      </c>
      <c r="K2500" s="172" t="str">
        <f t="shared" si="738"/>
        <v>715. Quelle est la relation entre ${secondary_name1} et vous ?</v>
      </c>
      <c r="L2500" s="172" t="str">
        <f t="shared" si="738"/>
        <v>715. Menene alaƙar ku da ${secondary_name1} ?</v>
      </c>
    </row>
    <row r="2501">
      <c r="A2501" s="215" t="s">
        <v>353</v>
      </c>
      <c r="B2501" s="273" t="s">
        <v>7278</v>
      </c>
      <c r="C2501" s="216" t="s">
        <v>7279</v>
      </c>
      <c r="D2501" s="216" t="s">
        <v>7280</v>
      </c>
      <c r="E2501" s="216" t="s">
        <v>7281</v>
      </c>
      <c r="F2501" s="182">
        <v>716.0</v>
      </c>
      <c r="G2501" s="172" t="str">
        <f>IFERROR(__xludf.DUMMYFUNCTION("TRIM(REGEXREPLACE(C2501, ""[0-9]+[a-f]?\."", """"))"),"Just to confirm, is this the number? 
 ${secondary_name1}
 ${secondary_phone1}")</f>
        <v>Just to confirm, is this the number? 
 ${secondary_name1}
 ${secondary_phone1}</v>
      </c>
      <c r="H2501" s="172" t="str">
        <f>IFERROR(__xludf.DUMMYFUNCTION("TRIM(REGEXREPLACE(D2501, ""[0-9]+[a-f]?\."", """"))"),"Juste pour confirmer, est-ce bien le numéro ?
 ${secondary_name1}
 ${secondary_phone1}")</f>
        <v>Juste pour confirmer, est-ce bien le numéro ?
 ${secondary_name1}
 ${secondary_phone1}</v>
      </c>
      <c r="I2501" s="172" t="str">
        <f>IFERROR(__xludf.DUMMYFUNCTION("TRIM(REGEXREPLACE(E2501, ""[0-9]+[a-f]?\."", """"))"),"Don tabbatarwa kawai, da wannan itace lambar?
 ${secondary_name1}
 ${secondary_phone1}")</f>
        <v>Don tabbatarwa kawai, da wannan itace lambar?
 ${secondary_name1}
 ${secondary_phone1}</v>
      </c>
      <c r="J2501" s="172" t="str">
        <f t="shared" ref="J2501:L2501" si="739">$F2501 &amp; ". " &amp;G2501</f>
        <v>716. Just to confirm, is this the number? 
 ${secondary_name1}
 ${secondary_phone1}</v>
      </c>
      <c r="K2501" s="172" t="str">
        <f t="shared" si="739"/>
        <v>716. Juste pour confirmer, est-ce bien le numéro ?
 ${secondary_name1}
 ${secondary_phone1}</v>
      </c>
      <c r="L2501" s="172" t="str">
        <f t="shared" si="739"/>
        <v>716. Don tabbatarwa kawai, da wannan itace lambar?
 ${secondary_name1}
 ${secondary_phone1}</v>
      </c>
    </row>
    <row r="2502">
      <c r="A2502" s="207" t="s">
        <v>41</v>
      </c>
      <c r="B2502" s="316" t="s">
        <v>7282</v>
      </c>
      <c r="C2502" s="208" t="s">
        <v>7283</v>
      </c>
      <c r="D2502" s="208" t="s">
        <v>7284</v>
      </c>
      <c r="E2502" s="208" t="s">
        <v>7285</v>
      </c>
      <c r="F2502" s="182">
        <v>717.0</v>
      </c>
      <c r="G2502" s="172" t="str">
        <f>IFERROR(__xludf.DUMMYFUNCTION("TRIM(REGEXREPLACE(C2502, ""[0-9]+[a-f]?\."", """"))"),"Please go back and correct the name and phone number.")</f>
        <v>Please go back and correct the name and phone number.</v>
      </c>
      <c r="H2502" s="172" t="str">
        <f>IFERROR(__xludf.DUMMYFUNCTION("TRIM(REGEXREPLACE(D2502, ""[0-9]+[a-f]?\."", """"))"),"Veuillez revenir en arrière et corriger le nom et le numéro de téléphone.")</f>
        <v>Veuillez revenir en arrière et corriger le nom et le numéro de téléphone.</v>
      </c>
      <c r="I2502" s="172" t="str">
        <f>IFERROR(__xludf.DUMMYFUNCTION("TRIM(REGEXREPLACE(E2502, ""[0-9]+[a-f]?\."", """"))"),"Da fatan za ka koma baya don ka gyara suna da lambar waya.")</f>
        <v>Da fatan za ka koma baya don ka gyara suna da lambar waya.</v>
      </c>
      <c r="J2502" s="172" t="str">
        <f t="shared" ref="J2502:L2502" si="740">$F2502 &amp; ". " &amp;G2502</f>
        <v>717. Please go back and correct the name and phone number.</v>
      </c>
      <c r="K2502" s="172" t="str">
        <f t="shared" si="740"/>
        <v>717. Veuillez revenir en arrière et corriger le nom et le numéro de téléphone.</v>
      </c>
      <c r="L2502" s="172" t="str">
        <f t="shared" si="740"/>
        <v>717. Da fatan za ka koma baya don ka gyara suna da lambar waya.</v>
      </c>
    </row>
    <row r="2503">
      <c r="A2503" s="215" t="s">
        <v>7232</v>
      </c>
      <c r="B2503" s="273" t="s">
        <v>7286</v>
      </c>
      <c r="C2503" s="216" t="s">
        <v>5701</v>
      </c>
      <c r="D2503" s="216" t="s">
        <v>5702</v>
      </c>
      <c r="E2503" s="216" t="s">
        <v>5703</v>
      </c>
      <c r="F2503" s="182">
        <v>718.0</v>
      </c>
      <c r="G2503" s="172" t="str">
        <f>IFERROR(__xludf.DUMMYFUNCTION("TRIM(REGEXREPLACE(C2503, ""[0-9]+[a-f]?\."", """"))"),"I am going to call this phone number to confirm it is correct. [Enumerator: Did the phone ring?]")</f>
        <v>I am going to call this phone number to confirm it is correct. [Enumerator: Did the phone ring?]</v>
      </c>
      <c r="H2503" s="172" t="str">
        <f>IFERROR(__xludf.DUMMYFUNCTION("TRIM(REGEXREPLACE(D2503, ""[0-9]+[a-f]?\."", """"))"),"Je vais appeler ce numéro de téléphone pour confirmer qu'il est correct. [Enquêteur : Le téléphone a-t-il sonné ?]")</f>
        <v>Je vais appeler ce numéro de téléphone pour confirmer qu'il est correct. [Enquêteur : Le téléphone a-t-il sonné ?]</v>
      </c>
      <c r="I2503" s="172" t="str">
        <f>IFERROR(__xludf.DUMMYFUNCTION("TRIM(REGEXREPLACE(E2503, ""[0-9]+[a-f]?\."", """"))"),"Zan kirayi wannan lambar wayar don tabbatar da daidai ce. [Ɗan bincike: Wayar ta yi ƙara?]")</f>
        <v>Zan kirayi wannan lambar wayar don tabbatar da daidai ce. [Ɗan bincike: Wayar ta yi ƙara?]</v>
      </c>
      <c r="J2503" s="172" t="str">
        <f t="shared" ref="J2503:L2503" si="741">$F2503 &amp; ". " &amp;G2503</f>
        <v>718. I am going to call this phone number to confirm it is correct. [Enumerator: Did the phone ring?]</v>
      </c>
      <c r="K2503" s="172" t="str">
        <f t="shared" si="741"/>
        <v>718. Je vais appeler ce numéro de téléphone pour confirmer qu'il est correct. [Enquêteur : Le téléphone a-t-il sonné ?]</v>
      </c>
      <c r="L2503" s="172" t="str">
        <f t="shared" si="741"/>
        <v>718. Zan kirayi wannan lambar wayar don tabbatar da daidai ce. [Ɗan bincike: Wayar ta yi ƙara?]</v>
      </c>
    </row>
    <row r="2504">
      <c r="A2504" s="207" t="s">
        <v>41</v>
      </c>
      <c r="B2504" s="316" t="s">
        <v>7287</v>
      </c>
      <c r="C2504" s="208" t="s">
        <v>5705</v>
      </c>
      <c r="D2504" s="208" t="s">
        <v>5706</v>
      </c>
      <c r="E2504" s="208" t="s">
        <v>5707</v>
      </c>
      <c r="F2504" s="182">
        <v>719.0</v>
      </c>
      <c r="G2504" s="172" t="str">
        <f>IFERROR(__xludf.DUMMYFUNCTION("TRIM(REGEXREPLACE(C2504, ""[0-9]+[a-f]?\."", """"))"),"Please go back and enter a new phone number.")</f>
        <v>Please go back and enter a new phone number.</v>
      </c>
      <c r="H2504" s="172" t="str">
        <f>IFERROR(__xludf.DUMMYFUNCTION("TRIM(REGEXREPLACE(D2504, ""[0-9]+[a-f]?\."", """"))"),"Veuillez ressaisir le numéro")</f>
        <v>Veuillez ressaisir le numéro</v>
      </c>
      <c r="I2504" s="172" t="str">
        <f>IFERROR(__xludf.DUMMYFUNCTION("TRIM(REGEXREPLACE(E2504, ""[0-9]+[a-f]?\."", """"))"),"Da fatan zaku rubuta lambar")</f>
        <v>Da fatan zaku rubuta lambar</v>
      </c>
      <c r="J2504" s="172" t="str">
        <f t="shared" ref="J2504:L2504" si="742">$F2504 &amp; ". " &amp;G2504</f>
        <v>719. Please go back and enter a new phone number.</v>
      </c>
      <c r="K2504" s="172" t="str">
        <f t="shared" si="742"/>
        <v>719. Veuillez ressaisir le numéro</v>
      </c>
      <c r="L2504" s="172" t="str">
        <f t="shared" si="742"/>
        <v>719. Da fatan zaku rubuta lambar</v>
      </c>
    </row>
    <row r="2505">
      <c r="A2505" s="215" t="s">
        <v>353</v>
      </c>
      <c r="B2505" s="273" t="s">
        <v>7288</v>
      </c>
      <c r="C2505" s="216" t="s">
        <v>7289</v>
      </c>
      <c r="D2505" s="216" t="s">
        <v>7290</v>
      </c>
      <c r="E2505" s="216" t="s">
        <v>7291</v>
      </c>
      <c r="F2505" s="182">
        <v>720.0</v>
      </c>
      <c r="G2505" s="172" t="str">
        <f>IFERROR(__xludf.DUMMYFUNCTION("TRIM(REGEXREPLACE(C2505, ""[0-9]+[a-f]?\."", """"))"),"We currently have the number of ${secondary_name1} that you shared with us, could you give us the name of phone number of someone else that you're usually in contact with? We would only call that person if we cannot reach you or ${secondary_name1} after a"&amp;" few attempts and this would really help us stay in contact with you.")</f>
        <v>We currently have the number of ${secondary_name1} that you shared with us, could you give us the name of phone number of someone else that you're usually in contact with? We would only call that person if we cannot reach you or ${secondary_name1} after a few attempts and this would really help us stay in contact with you.</v>
      </c>
      <c r="H2505" s="172" t="str">
        <f>IFERROR(__xludf.DUMMYFUNCTION("TRIM(REGEXREPLACE(D2505, ""[0-9]+[a-f]?\."", """"))"),"Nous avons actuellement le numéro de ${secondary_name1} que vous nous avez donné nous, pourriez-vous nous donner le nom et le numéro de téléphone de quelqu'un d'autre avec qui vous êtes habituellement en contact ? Nous n'appellerions cette personne que si"&amp;" nous ne parvenions pas à vous joindre ou à joindre ${secondary_name1} après quelques tentatives puisque cela nous aiderait vraiment à rester en contact avec vous.")</f>
        <v>Nous avons actuellement le numéro de ${secondary_name1} que vous nous avez donné nous, pourriez-vous nous donner le nom et le numéro de téléphone de quelqu'un d'autre avec qui vous êtes habituellement en contact ? Nous n'appellerions cette personne que si nous ne parvenions pas à vous joindre ou à joindre ${secondary_name1} après quelques tentatives puisque cela nous aiderait vraiment à rester en contact avec vous.</v>
      </c>
      <c r="I2505" s="172" t="str">
        <f>IFERROR(__xludf.DUMMYFUNCTION("TRIM(REGEXREPLACE(E2505, ""[0-9]+[a-f]?\."", """"))"),"A halin yanzu muna da lambar ${secondary_name1} da kuka bamu, za ku iya bamu suna da lambar wayar wani da kuke kiran juna da shi? Za mu kiraye wannan mutumen ne kawai idan bamu sameku ba ko bamu samu ${secondary_name1} bayan kira biyu zuwa uku, wannan zai"&amp;" taimaka mana wajen ci gaba da tuntuɓar ku.")</f>
        <v>A halin yanzu muna da lambar ${secondary_name1} da kuka bamu, za ku iya bamu suna da lambar wayar wani da kuke kiran juna da shi? Za mu kiraye wannan mutumen ne kawai idan bamu sameku ba ko bamu samu ${secondary_name1} bayan kira biyu zuwa uku, wannan zai taimaka mana wajen ci gaba da tuntuɓar ku.</v>
      </c>
      <c r="J2505" s="172" t="str">
        <f t="shared" ref="J2505:L2505" si="743">$F2505 &amp; ". " &amp;G2505</f>
        <v>720. We currently have the number of ${secondary_name1} that you shared with us, could you give us the name of phone number of someone else that you're usually in contact with? We would only call that person if we cannot reach you or ${secondary_name1} after a few attempts and this would really help us stay in contact with you.</v>
      </c>
      <c r="K2505" s="172" t="str">
        <f t="shared" si="743"/>
        <v>720. Nous avons actuellement le numéro de ${secondary_name1} que vous nous avez donné nous, pourriez-vous nous donner le nom et le numéro de téléphone de quelqu'un d'autre avec qui vous êtes habituellement en contact ? Nous n'appellerions cette personne que si nous ne parvenions pas à vous joindre ou à joindre ${secondary_name1} après quelques tentatives puisque cela nous aiderait vraiment à rester en contact avec vous.</v>
      </c>
      <c r="L2505" s="172" t="str">
        <f t="shared" si="743"/>
        <v>720. A halin yanzu muna da lambar ${secondary_name1} da kuka bamu, za ku iya bamu suna da lambar wayar wani da kuke kiran juna da shi? Za mu kiraye wannan mutumen ne kawai idan bamu sameku ba ko bamu samu ${secondary_name1} bayan kira biyu zuwa uku, wannan zai taimaka mana wajen ci gaba da tuntuɓar ku.</v>
      </c>
    </row>
    <row r="2506" hidden="1">
      <c r="A2506" s="211" t="s">
        <v>107</v>
      </c>
      <c r="B2506" s="311" t="s">
        <v>7292</v>
      </c>
      <c r="C2506" s="212" t="s">
        <v>7293</v>
      </c>
      <c r="D2506" s="315"/>
      <c r="E2506" s="315"/>
    </row>
    <row r="2507">
      <c r="A2507" s="246" t="s">
        <v>231</v>
      </c>
      <c r="B2507" s="320" t="s">
        <v>7294</v>
      </c>
      <c r="C2507" s="247" t="s">
        <v>7295</v>
      </c>
      <c r="D2507" s="247" t="s">
        <v>7296</v>
      </c>
      <c r="E2507" s="247" t="s">
        <v>7297</v>
      </c>
      <c r="F2507" s="182">
        <v>721.0</v>
      </c>
      <c r="G2507" s="172" t="str">
        <f>IFERROR(__xludf.DUMMYFUNCTION("TRIM(REGEXREPLACE(C2507, ""[0-9]+[a-f]?\."", """"))"),"What is the last name of this person")</f>
        <v>What is the last name of this person</v>
      </c>
      <c r="H2507" s="172" t="str">
        <f>IFERROR(__xludf.DUMMYFUNCTION("TRIM(REGEXREPLACE(D2507, ""[0-9]+[a-f]?\."", """"))"),"Quel est le nom de cette personne?")</f>
        <v>Quel est le nom de cette personne?</v>
      </c>
      <c r="I2507" s="172" t="str">
        <f>IFERROR(__xludf.DUMMYFUNCTION("TRIM(REGEXREPLACE(E2507, ""[0-9]+[a-f]?\."", """"))"),"Menene sunan uban wannan mutumen?")</f>
        <v>Menene sunan uban wannan mutumen?</v>
      </c>
      <c r="J2507" s="172" t="str">
        <f t="shared" ref="J2507:L2507" si="744">$F2507 &amp; ". " &amp;G2507</f>
        <v>721. What is the last name of this person</v>
      </c>
      <c r="K2507" s="172" t="str">
        <f t="shared" si="744"/>
        <v>721. Quel est le nom de cette personne?</v>
      </c>
      <c r="L2507" s="172" t="str">
        <f t="shared" si="744"/>
        <v>721. Menene sunan uban wannan mutumen?</v>
      </c>
    </row>
    <row r="2508">
      <c r="A2508" s="246" t="s">
        <v>231</v>
      </c>
      <c r="B2508" s="320" t="s">
        <v>7298</v>
      </c>
      <c r="C2508" s="247" t="s">
        <v>7299</v>
      </c>
      <c r="D2508" s="247" t="s">
        <v>7300</v>
      </c>
      <c r="E2508" s="247" t="s">
        <v>7301</v>
      </c>
      <c r="F2508" s="182">
        <v>722.0</v>
      </c>
      <c r="G2508" s="172" t="str">
        <f>IFERROR(__xludf.DUMMYFUNCTION("TRIM(REGEXREPLACE(C2508, ""[0-9]+[a-f]?\."", """"))"),"What is the first name of this person")</f>
        <v>What is the first name of this person</v>
      </c>
      <c r="H2508" s="172" t="str">
        <f>IFERROR(__xludf.DUMMYFUNCTION("TRIM(REGEXREPLACE(D2508, ""[0-9]+[a-f]?\."", """"))"),"Quel est le prénom de cette personne?")</f>
        <v>Quel est le prénom de cette personne?</v>
      </c>
      <c r="I2508" s="172" t="str">
        <f>IFERROR(__xludf.DUMMYFUNCTION("TRIM(REGEXREPLACE(E2508, ""[0-9]+[a-f]?\."", """"))"),"Menene sunan wannan mutumen?")</f>
        <v>Menene sunan wannan mutumen?</v>
      </c>
      <c r="J2508" s="172" t="str">
        <f t="shared" ref="J2508:L2508" si="745">$F2508 &amp; ". " &amp;G2508</f>
        <v>722. What is the first name of this person</v>
      </c>
      <c r="K2508" s="172" t="str">
        <f t="shared" si="745"/>
        <v>722. Quel est le prénom de cette personne?</v>
      </c>
      <c r="L2508" s="172" t="str">
        <f t="shared" si="745"/>
        <v>722. Menene sunan wannan mutumen?</v>
      </c>
    </row>
    <row r="2509" hidden="1">
      <c r="A2509" s="211" t="s">
        <v>238</v>
      </c>
      <c r="B2509" s="211" t="s">
        <v>7292</v>
      </c>
      <c r="C2509" s="224" t="s">
        <v>7293</v>
      </c>
      <c r="D2509" s="263"/>
      <c r="E2509" s="263"/>
    </row>
    <row r="2510" hidden="1">
      <c r="A2510" s="188" t="s">
        <v>68</v>
      </c>
      <c r="B2510" s="279" t="s">
        <v>7302</v>
      </c>
      <c r="C2510" s="190"/>
      <c r="D2510" s="290"/>
      <c r="E2510" s="290"/>
    </row>
    <row r="2511">
      <c r="A2511" s="246" t="s">
        <v>231</v>
      </c>
      <c r="B2511" s="320" t="s">
        <v>7303</v>
      </c>
      <c r="C2511" s="247" t="s">
        <v>7304</v>
      </c>
      <c r="D2511" s="247" t="s">
        <v>7305</v>
      </c>
      <c r="E2511" s="247" t="s">
        <v>7306</v>
      </c>
      <c r="F2511" s="182">
        <v>723.0</v>
      </c>
      <c r="G2511" s="172" t="str">
        <f>IFERROR(__xludf.DUMMYFUNCTION("TRIM(REGEXREPLACE(C2511, ""[0-9]+[a-f]?\."", """"))"),"What is their phone number?")</f>
        <v>What is their phone number?</v>
      </c>
      <c r="H2511" s="172" t="str">
        <f>IFERROR(__xludf.DUMMYFUNCTION("TRIM(REGEXREPLACE(D2511, ""[0-9]+[a-f]?\."", """"))"),"Quel est leur numéro de téléphone?")</f>
        <v>Quel est leur numéro de téléphone?</v>
      </c>
      <c r="I2511" s="172" t="str">
        <f>IFERROR(__xludf.DUMMYFUNCTION("TRIM(REGEXREPLACE(E2511, ""[0-9]+[a-f]?\."", """"))"),"Menene lambar wayarsu?")</f>
        <v>Menene lambar wayarsu?</v>
      </c>
      <c r="J2511" s="172" t="str">
        <f t="shared" ref="J2511:L2511" si="746">$F2511 &amp; ". " &amp;G2511</f>
        <v>723. What is their phone number?</v>
      </c>
      <c r="K2511" s="172" t="str">
        <f t="shared" si="746"/>
        <v>723. Quel est leur numéro de téléphone?</v>
      </c>
      <c r="L2511" s="172" t="str">
        <f t="shared" si="746"/>
        <v>723. Menene lambar wayarsu?</v>
      </c>
    </row>
    <row r="2512">
      <c r="A2512" s="215" t="s">
        <v>5944</v>
      </c>
      <c r="B2512" s="273" t="s">
        <v>7307</v>
      </c>
      <c r="C2512" s="216" t="s">
        <v>7308</v>
      </c>
      <c r="D2512" s="216" t="s">
        <v>7309</v>
      </c>
      <c r="E2512" s="216" t="s">
        <v>7310</v>
      </c>
      <c r="F2512" s="182">
        <v>724.0</v>
      </c>
      <c r="G2512" s="172" t="str">
        <f>IFERROR(__xludf.DUMMYFUNCTION("TRIM(REGEXREPLACE(C2512, ""[0-9]+[a-f]?\."", """"))"),"What is ${secondary_name2}'s relationship to you?")</f>
        <v>What is ${secondary_name2}'s relationship to you?</v>
      </c>
      <c r="H2512" s="172" t="str">
        <f>IFERROR(__xludf.DUMMYFUNCTION("TRIM(REGEXREPLACE(D2512, ""[0-9]+[a-f]?\."", """"))"),"Quelle est la relation entre ${secondary_name2} et vous ?")</f>
        <v>Quelle est la relation entre ${secondary_name2} et vous ?</v>
      </c>
      <c r="I2512" s="172" t="str">
        <f>IFERROR(__xludf.DUMMYFUNCTION("TRIM(REGEXREPLACE(E2512, ""[0-9]+[a-f]?\."", """"))"),"Menene alaƙar ku da ${secondary_name2} ?")</f>
        <v>Menene alaƙar ku da ${secondary_name2} ?</v>
      </c>
      <c r="J2512" s="172" t="str">
        <f t="shared" ref="J2512:L2512" si="747">$F2512 &amp; ". " &amp;G2512</f>
        <v>724. What is ${secondary_name2}'s relationship to you?</v>
      </c>
      <c r="K2512" s="172" t="str">
        <f t="shared" si="747"/>
        <v>724. Quelle est la relation entre ${secondary_name2} et vous ?</v>
      </c>
      <c r="L2512" s="172" t="str">
        <f t="shared" si="747"/>
        <v>724. Menene alaƙar ku da ${secondary_name2} ?</v>
      </c>
    </row>
    <row r="2513">
      <c r="A2513" s="215" t="s">
        <v>353</v>
      </c>
      <c r="B2513" s="273" t="s">
        <v>7311</v>
      </c>
      <c r="C2513" s="216" t="s">
        <v>7312</v>
      </c>
      <c r="D2513" s="216" t="s">
        <v>7313</v>
      </c>
      <c r="E2513" s="216" t="s">
        <v>7314</v>
      </c>
      <c r="F2513" s="182">
        <v>725.0</v>
      </c>
      <c r="G2513" s="172" t="str">
        <f>IFERROR(__xludf.DUMMYFUNCTION("TRIM(REGEXREPLACE(C2513, ""[0-9]+[a-f]?\."", """"))"),"Just to confirm, is this the number? 
 ${secondary_name2}
 ${secondary_phone2}")</f>
        <v>Just to confirm, is this the number? 
 ${secondary_name2}
 ${secondary_phone2}</v>
      </c>
      <c r="H2513" s="172" t="str">
        <f>IFERROR(__xludf.DUMMYFUNCTION("TRIM(REGEXREPLACE(D2513, ""[0-9]+[a-f]?\."", """"))"),"Juste pour confirmer, est-ce bien le numéro ?
 ${secondary_name2}
 ${secondary_phone2}")</f>
        <v>Juste pour confirmer, est-ce bien le numéro ?
 ${secondary_name2}
 ${secondary_phone2}</v>
      </c>
      <c r="I2513" s="172" t="str">
        <f>IFERROR(__xludf.DUMMYFUNCTION("TRIM(REGEXREPLACE(E2513, ""[0-9]+[a-f]?\."", """"))"),"Don tabbatar kawai, da wannan itace lambar?
 ${secondary_name2}
 ${secondary_phone2}")</f>
        <v>Don tabbatar kawai, da wannan itace lambar?
 ${secondary_name2}
 ${secondary_phone2}</v>
      </c>
      <c r="J2513" s="172" t="str">
        <f t="shared" ref="J2513:L2513" si="748">$F2513 &amp; ". " &amp;G2513</f>
        <v>725. Just to confirm, is this the number? 
 ${secondary_name2}
 ${secondary_phone2}</v>
      </c>
      <c r="K2513" s="172" t="str">
        <f t="shared" si="748"/>
        <v>725. Juste pour confirmer, est-ce bien le numéro ?
 ${secondary_name2}
 ${secondary_phone2}</v>
      </c>
      <c r="L2513" s="172" t="str">
        <f t="shared" si="748"/>
        <v>725. Don tabbatar kawai, da wannan itace lambar?
 ${secondary_name2}
 ${secondary_phone2}</v>
      </c>
    </row>
    <row r="2514">
      <c r="A2514" s="207" t="s">
        <v>41</v>
      </c>
      <c r="B2514" s="316" t="s">
        <v>7315</v>
      </c>
      <c r="C2514" s="208" t="s">
        <v>7316</v>
      </c>
      <c r="D2514" s="208" t="s">
        <v>7317</v>
      </c>
      <c r="E2514" s="208" t="s">
        <v>7318</v>
      </c>
      <c r="F2514" s="182">
        <v>726.0</v>
      </c>
      <c r="G2514" s="172" t="str">
        <f>IFERROR(__xludf.DUMMYFUNCTION("TRIM(REGEXREPLACE(C2514, ""[0-9]+[a-f]?\."", """"))"),"Please go back and correct the name and phone number.")</f>
        <v>Please go back and correct the name and phone number.</v>
      </c>
      <c r="H2514" s="172" t="str">
        <f>IFERROR(__xludf.DUMMYFUNCTION("TRIM(REGEXREPLACE(D2514, ""[0-9]+[a-f]?\."", """"))"),"Veuillez revenir en arrière et corriger le nom et le numéro de téléphone.")</f>
        <v>Veuillez revenir en arrière et corriger le nom et le numéro de téléphone.</v>
      </c>
      <c r="I2514" s="172" t="str">
        <f>IFERROR(__xludf.DUMMYFUNCTION("TRIM(REGEXREPLACE(E2514, ""[0-9]+[a-f]?\."", """"))"),"Da fatan za ka koma baya ka gyara suna da lambar waya.")</f>
        <v>Da fatan za ka koma baya ka gyara suna da lambar waya.</v>
      </c>
      <c r="J2514" s="172" t="str">
        <f t="shared" ref="J2514:L2514" si="749">$F2514 &amp; ". " &amp;G2514</f>
        <v>726. Please go back and correct the name and phone number.</v>
      </c>
      <c r="K2514" s="172" t="str">
        <f t="shared" si="749"/>
        <v>726. Veuillez revenir en arrière et corriger le nom et le numéro de téléphone.</v>
      </c>
      <c r="L2514" s="172" t="str">
        <f t="shared" si="749"/>
        <v>726. Da fatan za ka koma baya ka gyara suna da lambar waya.</v>
      </c>
    </row>
    <row r="2515">
      <c r="A2515" s="215" t="s">
        <v>7232</v>
      </c>
      <c r="B2515" s="273" t="s">
        <v>7319</v>
      </c>
      <c r="C2515" s="216" t="s">
        <v>5738</v>
      </c>
      <c r="D2515" s="216" t="s">
        <v>5739</v>
      </c>
      <c r="E2515" s="216" t="s">
        <v>5740</v>
      </c>
      <c r="F2515" s="182">
        <v>727.0</v>
      </c>
      <c r="G2515" s="172" t="str">
        <f>IFERROR(__xludf.DUMMYFUNCTION("TRIM(REGEXREPLACE(C2515, ""[0-9]+[a-f]?\."", """"))"),"I am going to call this phone number to confirm it is correct. [Enumerator: Did the phone ring?]")</f>
        <v>I am going to call this phone number to confirm it is correct. [Enumerator: Did the phone ring?]</v>
      </c>
      <c r="H2515" s="172" t="str">
        <f>IFERROR(__xludf.DUMMYFUNCTION("TRIM(REGEXREPLACE(D2515, ""[0-9]+[a-f]?\."", """"))"),"Je vais appeler ce numéro de téléphone pour confirmer qu'il est correct. [Enquêteur : Le téléphone a-t-il sonné ?]")</f>
        <v>Je vais appeler ce numéro de téléphone pour confirmer qu'il est correct. [Enquêteur : Le téléphone a-t-il sonné ?]</v>
      </c>
      <c r="I2515" s="172" t="str">
        <f>IFERROR(__xludf.DUMMYFUNCTION("TRIM(REGEXREPLACE(E2515, ""[0-9]+[a-f]?\."", """"))"),"Zan kirayi wannan lambar wayar don tabbatar da daidai ce. [Ɗan bincike: Wayar ta yi ƙara?]")</f>
        <v>Zan kirayi wannan lambar wayar don tabbatar da daidai ce. [Ɗan bincike: Wayar ta yi ƙara?]</v>
      </c>
      <c r="J2515" s="172" t="str">
        <f t="shared" ref="J2515:L2515" si="750">$F2515 &amp; ". " &amp;G2515</f>
        <v>727. I am going to call this phone number to confirm it is correct. [Enumerator: Did the phone ring?]</v>
      </c>
      <c r="K2515" s="172" t="str">
        <f t="shared" si="750"/>
        <v>727. Je vais appeler ce numéro de téléphone pour confirmer qu'il est correct. [Enquêteur : Le téléphone a-t-il sonné ?]</v>
      </c>
      <c r="L2515" s="172" t="str">
        <f t="shared" si="750"/>
        <v>727. Zan kirayi wannan lambar wayar don tabbatar da daidai ce. [Ɗan bincike: Wayar ta yi ƙara?]</v>
      </c>
    </row>
    <row r="2516">
      <c r="A2516" s="207" t="s">
        <v>41</v>
      </c>
      <c r="B2516" s="316" t="s">
        <v>7320</v>
      </c>
      <c r="C2516" s="208" t="s">
        <v>5743</v>
      </c>
      <c r="D2516" s="208" t="s">
        <v>5745</v>
      </c>
      <c r="E2516" s="208" t="s">
        <v>7321</v>
      </c>
      <c r="F2516" s="182">
        <v>728.0</v>
      </c>
      <c r="G2516" s="172" t="str">
        <f>IFERROR(__xludf.DUMMYFUNCTION("TRIM(REGEXREPLACE(C2516, ""[0-9]+[a-f]?\."", """"))"),"Please go back and enter a new phone number.")</f>
        <v>Please go back and enter a new phone number.</v>
      </c>
      <c r="H2516" s="172" t="str">
        <f>IFERROR(__xludf.DUMMYFUNCTION("TRIM(REGEXREPLACE(D2516, ""[0-9]+[a-f]?\."", """"))"),"Veuillez ressaisir le numéro")</f>
        <v>Veuillez ressaisir le numéro</v>
      </c>
      <c r="I2516" s="172" t="str">
        <f>IFERROR(__xludf.DUMMYFUNCTION("TRIM(REGEXREPLACE(E2516, ""[0-9]+[a-f]?\."", """"))"),"Da fatan zaku rubuta lambar")</f>
        <v>Da fatan zaku rubuta lambar</v>
      </c>
      <c r="J2516" s="172" t="str">
        <f t="shared" ref="J2516:L2516" si="751">$F2516 &amp; ". " &amp;G2516</f>
        <v>728. Please go back and enter a new phone number.</v>
      </c>
      <c r="K2516" s="172" t="str">
        <f t="shared" si="751"/>
        <v>728. Veuillez ressaisir le numéro</v>
      </c>
      <c r="L2516" s="172" t="str">
        <f t="shared" si="751"/>
        <v>728. Da fatan zaku rubuta lambar</v>
      </c>
    </row>
    <row r="2517" hidden="1">
      <c r="A2517" s="211" t="s">
        <v>238</v>
      </c>
      <c r="B2517" s="211" t="s">
        <v>7212</v>
      </c>
      <c r="C2517" s="224" t="s">
        <v>7213</v>
      </c>
      <c r="D2517" s="211" t="s">
        <v>7214</v>
      </c>
      <c r="E2517" s="211" t="s">
        <v>7215</v>
      </c>
    </row>
    <row r="2518" hidden="1">
      <c r="A2518" s="172"/>
      <c r="B2518" s="172"/>
      <c r="C2518" s="174"/>
      <c r="D2518" s="172"/>
      <c r="E2518" s="172"/>
    </row>
    <row r="2519" hidden="1">
      <c r="A2519" s="211" t="s">
        <v>107</v>
      </c>
      <c r="B2519" s="311" t="s">
        <v>693</v>
      </c>
      <c r="C2519" s="212" t="s">
        <v>694</v>
      </c>
      <c r="D2519" s="311" t="s">
        <v>698</v>
      </c>
      <c r="E2519" s="311" t="s">
        <v>700</v>
      </c>
    </row>
    <row r="2520">
      <c r="A2520" s="215" t="s">
        <v>7322</v>
      </c>
      <c r="B2520" s="273" t="s">
        <v>7323</v>
      </c>
      <c r="C2520" s="216" t="s">
        <v>5749</v>
      </c>
      <c r="D2520" s="216" t="s">
        <v>5750</v>
      </c>
      <c r="E2520" s="216" t="s">
        <v>5751</v>
      </c>
      <c r="F2520" s="182">
        <v>729.0</v>
      </c>
      <c r="G2520" s="172" t="str">
        <f>IFERROR(__xludf.DUMMYFUNCTION("TRIM(REGEXREPLACE(C2520, ""[0-9]+[a-f]?\."", """"))"),"How interested was the resppondent")</f>
        <v>How interested was the resppondent</v>
      </c>
      <c r="H2520" s="172" t="str">
        <f>IFERROR(__xludf.DUMMYFUNCTION("TRIM(REGEXREPLACE(D2520, ""[0-9]+[a-f]?\."", """"))"),"Dans quelle mesure le répondant était-il intéressé")</f>
        <v>Dans quelle mesure le répondant était-il intéressé</v>
      </c>
      <c r="I2520" s="172" t="str">
        <f>IFERROR(__xludf.DUMMYFUNCTION("TRIM(REGEXREPLACE(E2520, ""[0-9]+[a-f]?\."", """"))"),"Yaya kake ganin maida hankalin mai bada amsa yake")</f>
        <v>Yaya kake ganin maida hankalin mai bada amsa yake</v>
      </c>
      <c r="J2520" s="172" t="str">
        <f t="shared" ref="J2520:L2520" si="752">$F2520 &amp; ". " &amp;G2520</f>
        <v>729. How interested was the resppondent</v>
      </c>
      <c r="K2520" s="172" t="str">
        <f t="shared" si="752"/>
        <v>729. Dans quelle mesure le répondant était-il intéressé</v>
      </c>
      <c r="L2520" s="172" t="str">
        <f t="shared" si="752"/>
        <v>729. Yaya kake ganin maida hankalin mai bada amsa yake</v>
      </c>
    </row>
    <row r="2521">
      <c r="A2521" s="215" t="s">
        <v>7324</v>
      </c>
      <c r="B2521" s="273" t="s">
        <v>7325</v>
      </c>
      <c r="C2521" s="216" t="s">
        <v>5755</v>
      </c>
      <c r="D2521" s="216" t="s">
        <v>5757</v>
      </c>
      <c r="E2521" s="216" t="s">
        <v>5758</v>
      </c>
      <c r="F2521" s="182">
        <v>730.0</v>
      </c>
      <c r="G2521" s="172" t="str">
        <f>IFERROR(__xludf.DUMMYFUNCTION("TRIM(REGEXREPLACE(C2521, ""[0-9]+[a-f]?\."", """"))"),"How impatient was the respondent?")</f>
        <v>How impatient was the respondent?</v>
      </c>
      <c r="H2521" s="172" t="str">
        <f>IFERROR(__xludf.DUMMYFUNCTION("TRIM(REGEXREPLACE(D2521, ""[0-9]+[a-f]?\."", """"))"),"À quel point le répondant était-il impatient ?")</f>
        <v>À quel point le répondant était-il impatient ?</v>
      </c>
      <c r="I2521" s="172" t="str">
        <f>IFERROR(__xludf.DUMMYFUNCTION("TRIM(REGEXREPLACE(E2521, ""[0-9]+[a-f]?\."", """"))"),"Yaya kake ganin rashin haƙurin mai bada amsa?")</f>
        <v>Yaya kake ganin rashin haƙurin mai bada amsa?</v>
      </c>
      <c r="J2521" s="172" t="str">
        <f t="shared" ref="J2521:L2521" si="753">$F2521 &amp; ". " &amp;G2521</f>
        <v>730. How impatient was the respondent?</v>
      </c>
      <c r="K2521" s="172" t="str">
        <f t="shared" si="753"/>
        <v>730. À quel point le répondant était-il impatient ?</v>
      </c>
      <c r="L2521" s="172" t="str">
        <f t="shared" si="753"/>
        <v>730. Yaya kake ganin rashin haƙurin mai bada amsa?</v>
      </c>
    </row>
    <row r="2522">
      <c r="A2522" s="215" t="s">
        <v>7326</v>
      </c>
      <c r="B2522" s="273" t="s">
        <v>7327</v>
      </c>
      <c r="C2522" s="216" t="s">
        <v>7328</v>
      </c>
      <c r="D2522" s="216" t="s">
        <v>7329</v>
      </c>
      <c r="E2522" s="216" t="s">
        <v>7330</v>
      </c>
      <c r="F2522" s="182">
        <v>731.0</v>
      </c>
      <c r="G2522" s="172" t="str">
        <f>IFERROR(__xludf.DUMMYFUNCTION("TRIM(REGEXREPLACE(C2522, ""[0-9]+[a-f]?\."", """"))"),"How well did the respondent understand the questions?")</f>
        <v>How well did the respondent understand the questions?</v>
      </c>
      <c r="H2522" s="172" t="str">
        <f>IFERROR(__xludf.DUMMYFUNCTION("TRIM(REGEXREPLACE(D2522, ""[0-9]+[a-f]?\."", """"))"),"Dans quelle mesure le répondant a-t-il compris les questions ?")</f>
        <v>Dans quelle mesure le répondant a-t-il compris les questions ?</v>
      </c>
      <c r="I2522" s="172" t="str">
        <f>IFERROR(__xludf.DUMMYFUNCTION("TRIM(REGEXREPLACE(E2522, ""[0-9]+[a-f]?\."", """"))"),"Yaya kake ganin mai bada amsa ya fahimci tambayoyin?")</f>
        <v>Yaya kake ganin mai bada amsa ya fahimci tambayoyin?</v>
      </c>
      <c r="J2522" s="172" t="str">
        <f t="shared" ref="J2522:L2522" si="754">$F2522 &amp; ". " &amp;G2522</f>
        <v>731. How well did the respondent understand the questions?</v>
      </c>
      <c r="K2522" s="172" t="str">
        <f t="shared" si="754"/>
        <v>731. Dans quelle mesure le répondant a-t-il compris les questions ?</v>
      </c>
      <c r="L2522" s="172" t="str">
        <f t="shared" si="754"/>
        <v>731. Yaya kake ganin mai bada amsa ya fahimci tambayoyin?</v>
      </c>
    </row>
    <row r="2523">
      <c r="A2523" s="215" t="s">
        <v>7331</v>
      </c>
      <c r="B2523" s="273" t="s">
        <v>7332</v>
      </c>
      <c r="C2523" s="216" t="s">
        <v>7333</v>
      </c>
      <c r="D2523" s="216" t="s">
        <v>7334</v>
      </c>
      <c r="E2523" s="216" t="s">
        <v>7335</v>
      </c>
      <c r="F2523" s="182">
        <v>732.0</v>
      </c>
      <c r="G2523" s="172" t="str">
        <f>IFERROR(__xludf.DUMMYFUNCTION("TRIM(REGEXREPLACE(C2523, ""[0-9]+[a-f]?\."", """"))"),"Was the interview conducted in the presence of other people?")</f>
        <v>Was the interview conducted in the presence of other people?</v>
      </c>
      <c r="H2523" s="172" t="str">
        <f>IFERROR(__xludf.DUMMYFUNCTION("TRIM(REGEXREPLACE(D2523, ""[0-9]+[a-f]?\."", """"))"),"L'entretien a-t-il été réalisé en présence d'autres personnes ?")</f>
        <v>L'entretien a-t-il été réalisé en présence d'autres personnes ?</v>
      </c>
      <c r="I2523" s="172" t="str">
        <f>IFERROR(__xludf.DUMMYFUNCTION("TRIM(REGEXREPLACE(E2523, ""[0-9]+[a-f]?\."", """"))"),"Ko an yi hirar ne a gaban wasu mutane?")</f>
        <v>Ko an yi hirar ne a gaban wasu mutane?</v>
      </c>
      <c r="J2523" s="172" t="str">
        <f t="shared" ref="J2523:L2523" si="755">$F2523 &amp; ". " &amp;G2523</f>
        <v>732. Was the interview conducted in the presence of other people?</v>
      </c>
      <c r="K2523" s="172" t="str">
        <f t="shared" si="755"/>
        <v>732. L'entretien a-t-il été réalisé en présence d'autres personnes ?</v>
      </c>
      <c r="L2523" s="172" t="str">
        <f t="shared" si="755"/>
        <v>732. Ko an yi hirar ne a gaban wasu mutane?</v>
      </c>
    </row>
    <row r="2524">
      <c r="A2524" s="246" t="s">
        <v>231</v>
      </c>
      <c r="B2524" s="320" t="s">
        <v>707</v>
      </c>
      <c r="C2524" s="247" t="s">
        <v>7336</v>
      </c>
      <c r="D2524" s="247" t="s">
        <v>7337</v>
      </c>
      <c r="E2524" s="247" t="s">
        <v>7338</v>
      </c>
      <c r="F2524" s="182">
        <v>733.0</v>
      </c>
      <c r="G2524" s="172" t="str">
        <f>IFERROR(__xludf.DUMMYFUNCTION("TRIM(REGEXREPLACE(C2524, ""[0-9]+[a-f]?\."", """"))"),"Enumerator: Record any comments on the survey")</f>
        <v>Enumerator: Record any comments on the survey</v>
      </c>
      <c r="H2524" s="172" t="str">
        <f>IFERROR(__xludf.DUMMYFUNCTION("TRIM(REGEXREPLACE(D2524, ""[0-9]+[a-f]?\."", """"))"),"Enquêteur : Veuillez noter vos commentaires si vous en avez")</f>
        <v>Enquêteur : Veuillez noter vos commentaires si vous en avez</v>
      </c>
      <c r="I2524" s="172" t="str">
        <f>IFERROR(__xludf.DUMMYFUNCTION("TRIM(REGEXREPLACE(E2524, ""[0-9]+[a-f]?\."", """"))"),"Ɗan bincike: Yi rikodin duk wani sharhi akan binciken")</f>
        <v>Ɗan bincike: Yi rikodin duk wani sharhi akan binciken</v>
      </c>
      <c r="J2524" s="172" t="str">
        <f t="shared" ref="J2524:L2524" si="756">$F2524 &amp; ". " &amp;G2524</f>
        <v>733. Enumerator: Record any comments on the survey</v>
      </c>
      <c r="K2524" s="172" t="str">
        <f t="shared" si="756"/>
        <v>733. Enquêteur : Veuillez noter vos commentaires si vous en avez</v>
      </c>
      <c r="L2524" s="172" t="str">
        <f t="shared" si="756"/>
        <v>733. Ɗan bincike: Yi rikodin duk wani sharhi akan binciken</v>
      </c>
    </row>
    <row r="2525" hidden="1">
      <c r="A2525" s="324" t="s">
        <v>672</v>
      </c>
      <c r="B2525" s="325" t="s">
        <v>720</v>
      </c>
      <c r="C2525" s="326" t="s">
        <v>721</v>
      </c>
      <c r="D2525" s="325" t="s">
        <v>722</v>
      </c>
      <c r="E2525" s="325" t="s">
        <v>723</v>
      </c>
    </row>
    <row r="2526" hidden="1">
      <c r="A2526" s="211" t="s">
        <v>238</v>
      </c>
      <c r="B2526" s="211" t="s">
        <v>693</v>
      </c>
      <c r="C2526" s="224" t="s">
        <v>694</v>
      </c>
      <c r="D2526" s="211" t="s">
        <v>698</v>
      </c>
      <c r="E2526" s="211" t="s">
        <v>732</v>
      </c>
    </row>
    <row r="2527" hidden="1">
      <c r="A2527" s="172"/>
      <c r="B2527" s="172"/>
      <c r="C2527" s="174"/>
      <c r="D2527" s="172"/>
      <c r="E2527" s="172"/>
    </row>
    <row r="2528" hidden="1">
      <c r="A2528" s="211" t="s">
        <v>238</v>
      </c>
      <c r="B2528" s="211" t="s">
        <v>435</v>
      </c>
      <c r="C2528" s="224" t="s">
        <v>750</v>
      </c>
      <c r="D2528" s="263"/>
      <c r="E2528" s="263"/>
    </row>
    <row r="2529">
      <c r="A2529" s="207" t="s">
        <v>41</v>
      </c>
      <c r="B2529" s="316" t="s">
        <v>753</v>
      </c>
      <c r="C2529" s="208" t="s">
        <v>5773</v>
      </c>
      <c r="D2529" s="208" t="s">
        <v>5774</v>
      </c>
      <c r="E2529" s="208" t="s">
        <v>5775</v>
      </c>
      <c r="F2529" s="182">
        <v>734.0</v>
      </c>
      <c r="G2529" s="172" t="str">
        <f>IFERROR(__xludf.DUMMYFUNCTION("TRIM(REGEXREPLACE(C2529, ""[0-9]+[a-f]?\."", """"))"),"That is the end of the survey. Thank you for your time.")</f>
        <v>That is the end of the survey. Thank you for your time.</v>
      </c>
      <c r="H2529" s="172" t="str">
        <f>IFERROR(__xludf.DUMMYFUNCTION("TRIM(REGEXREPLACE(D2529, ""[0-9]+[a-f]?\."", """"))"),"C'est la fin de l'enquête. Merci pour votre temps.")</f>
        <v>C'est la fin de l'enquête. Merci pour votre temps.</v>
      </c>
      <c r="I2529" s="172" t="str">
        <f>IFERROR(__xludf.DUMMYFUNCTION("TRIM(REGEXREPLACE(E2529, ""[0-9]+[a-f]?\."", """"))"),"Karshen tambayoyin kenan. Na gode da lokacin da kuka bani.")</f>
        <v>Karshen tambayoyin kenan. Na gode da lokacin da kuka bani.</v>
      </c>
      <c r="J2529" s="172" t="str">
        <f t="shared" ref="J2529:L2529" si="757">$F2529 &amp; ". " &amp;G2529</f>
        <v>734. That is the end of the survey. Thank you for your time.</v>
      </c>
      <c r="K2529" s="172" t="str">
        <f t="shared" si="757"/>
        <v>734. C'est la fin de l'enquête. Merci pour votre temps.</v>
      </c>
      <c r="L2529" s="172" t="str">
        <f t="shared" si="757"/>
        <v>734. Karshen tambayoyin kenan. Na gode da lokacin da kuka bani.</v>
      </c>
    </row>
    <row r="2530" hidden="1">
      <c r="A2530" s="228" t="s">
        <v>238</v>
      </c>
      <c r="B2530" s="228" t="s">
        <v>349</v>
      </c>
      <c r="C2530" s="225"/>
      <c r="D2530" s="225"/>
      <c r="E2530" s="225"/>
    </row>
    <row r="2531" hidden="1">
      <c r="A2531" s="172"/>
      <c r="B2531" s="172"/>
      <c r="C2531" s="172"/>
      <c r="D2531" s="172"/>
      <c r="E2531" s="172"/>
    </row>
    <row r="2532" hidden="1">
      <c r="A2532" s="172"/>
      <c r="B2532" s="172"/>
      <c r="C2532" s="172"/>
      <c r="D2532" s="172"/>
      <c r="E2532" s="172"/>
    </row>
    <row r="2533" hidden="1">
      <c r="A2533" s="172"/>
      <c r="B2533" s="172"/>
      <c r="C2533" s="172"/>
      <c r="D2533" s="172"/>
      <c r="E2533" s="172"/>
    </row>
    <row r="2534" hidden="1">
      <c r="A2534" s="172"/>
      <c r="B2534" s="172"/>
      <c r="C2534" s="172"/>
      <c r="D2534" s="172"/>
      <c r="E2534" s="172"/>
    </row>
    <row r="2535" hidden="1">
      <c r="A2535" s="172"/>
      <c r="B2535" s="172"/>
      <c r="C2535" s="172"/>
      <c r="D2535" s="172"/>
      <c r="E2535" s="172"/>
    </row>
    <row r="2536" hidden="1">
      <c r="A2536" s="172"/>
      <c r="B2536" s="172"/>
      <c r="C2536" s="172"/>
      <c r="D2536" s="172"/>
      <c r="E2536" s="172"/>
    </row>
    <row r="2537" hidden="1">
      <c r="A2537" s="172"/>
      <c r="B2537" s="172"/>
      <c r="C2537" s="172"/>
      <c r="D2537" s="172"/>
      <c r="E2537" s="172"/>
    </row>
    <row r="2538" hidden="1">
      <c r="A2538" s="172"/>
      <c r="B2538" s="172"/>
      <c r="C2538" s="172"/>
      <c r="D2538" s="172"/>
      <c r="E2538" s="172"/>
    </row>
    <row r="2539" hidden="1">
      <c r="A2539" s="172"/>
      <c r="B2539" s="172"/>
      <c r="C2539" s="174"/>
      <c r="D2539" s="172"/>
      <c r="E2539" s="172"/>
    </row>
    <row r="2540" hidden="1">
      <c r="A2540" s="172"/>
      <c r="B2540" s="172"/>
      <c r="C2540" s="174"/>
      <c r="D2540" s="172"/>
      <c r="E2540" s="172"/>
    </row>
    <row r="2541" hidden="1">
      <c r="A2541" s="172"/>
      <c r="B2541" s="172"/>
      <c r="C2541" s="174"/>
      <c r="D2541" s="172"/>
      <c r="E2541" s="172"/>
    </row>
    <row r="2542" hidden="1">
      <c r="A2542" s="172"/>
      <c r="B2542" s="172"/>
      <c r="C2542" s="174"/>
      <c r="D2542" s="172"/>
      <c r="E2542" s="172"/>
    </row>
    <row r="2543" hidden="1">
      <c r="A2543" s="172"/>
      <c r="B2543" s="172"/>
      <c r="C2543" s="174"/>
      <c r="D2543" s="172"/>
      <c r="E2543" s="172"/>
    </row>
    <row r="2544" hidden="1">
      <c r="A2544" s="172"/>
      <c r="B2544" s="172"/>
      <c r="C2544" s="174"/>
      <c r="D2544" s="172"/>
      <c r="E2544" s="172"/>
    </row>
    <row r="2545" hidden="1">
      <c r="A2545" s="172"/>
      <c r="B2545" s="172"/>
      <c r="C2545" s="174"/>
      <c r="D2545" s="172"/>
      <c r="E2545" s="172"/>
    </row>
    <row r="2546" hidden="1">
      <c r="A2546" s="172"/>
      <c r="B2546" s="172"/>
      <c r="C2546" s="174"/>
      <c r="D2546" s="172"/>
      <c r="E2546" s="172"/>
    </row>
    <row r="2547" hidden="1">
      <c r="A2547" s="172"/>
      <c r="B2547" s="172"/>
      <c r="C2547" s="174"/>
      <c r="D2547" s="172"/>
      <c r="E2547" s="172"/>
    </row>
    <row r="2548" hidden="1">
      <c r="A2548" s="172"/>
      <c r="B2548" s="172"/>
      <c r="C2548" s="174"/>
      <c r="D2548" s="172"/>
      <c r="E2548" s="172"/>
    </row>
    <row r="2549" hidden="1">
      <c r="A2549" s="172"/>
      <c r="B2549" s="172"/>
      <c r="C2549" s="174"/>
      <c r="D2549" s="172"/>
      <c r="E2549" s="172"/>
    </row>
    <row r="2550" hidden="1">
      <c r="A2550" s="172"/>
      <c r="B2550" s="172"/>
      <c r="C2550" s="174"/>
      <c r="D2550" s="172"/>
      <c r="E2550" s="172"/>
    </row>
    <row r="2551" hidden="1">
      <c r="A2551" s="172"/>
      <c r="B2551" s="172"/>
      <c r="C2551" s="174"/>
      <c r="D2551" s="172"/>
      <c r="E2551" s="172"/>
    </row>
    <row r="2552" hidden="1">
      <c r="A2552" s="172"/>
      <c r="B2552" s="172"/>
      <c r="C2552" s="174"/>
      <c r="D2552" s="172"/>
      <c r="E2552" s="172"/>
    </row>
    <row r="2553" hidden="1">
      <c r="A2553" s="172"/>
      <c r="B2553" s="172"/>
      <c r="C2553" s="174"/>
      <c r="D2553" s="172"/>
      <c r="E2553" s="172"/>
    </row>
    <row r="2554" hidden="1">
      <c r="A2554" s="172"/>
      <c r="B2554" s="172"/>
      <c r="C2554" s="174"/>
      <c r="D2554" s="172"/>
      <c r="E2554" s="172"/>
    </row>
    <row r="2555" hidden="1">
      <c r="A2555" s="172"/>
      <c r="B2555" s="172"/>
      <c r="C2555" s="174"/>
      <c r="D2555" s="172"/>
      <c r="E2555" s="172"/>
    </row>
    <row r="2556" hidden="1">
      <c r="A2556" s="172"/>
      <c r="B2556" s="172"/>
      <c r="C2556" s="174"/>
      <c r="D2556" s="172"/>
      <c r="E2556" s="172"/>
    </row>
    <row r="2557" hidden="1">
      <c r="A2557" s="172"/>
      <c r="B2557" s="172"/>
      <c r="C2557" s="174"/>
      <c r="D2557" s="172"/>
      <c r="E2557" s="172"/>
    </row>
    <row r="2558" hidden="1">
      <c r="A2558" s="172"/>
      <c r="B2558" s="172"/>
      <c r="C2558" s="174"/>
      <c r="D2558" s="172"/>
      <c r="E2558" s="172"/>
    </row>
    <row r="2559" hidden="1">
      <c r="A2559" s="172"/>
      <c r="B2559" s="172"/>
      <c r="C2559" s="174"/>
      <c r="D2559" s="172"/>
      <c r="E2559" s="172"/>
    </row>
    <row r="2560" hidden="1">
      <c r="A2560" s="172"/>
      <c r="B2560" s="172"/>
      <c r="C2560" s="174"/>
      <c r="D2560" s="172"/>
      <c r="E2560" s="172"/>
    </row>
    <row r="2561" hidden="1">
      <c r="A2561" s="172"/>
      <c r="B2561" s="172"/>
      <c r="C2561" s="174"/>
      <c r="D2561" s="172"/>
      <c r="E2561" s="172"/>
    </row>
    <row r="2562" hidden="1">
      <c r="A2562" s="172"/>
      <c r="B2562" s="172"/>
      <c r="C2562" s="174"/>
      <c r="D2562" s="172"/>
      <c r="E2562" s="172"/>
    </row>
    <row r="2563" hidden="1">
      <c r="A2563" s="172"/>
      <c r="B2563" s="172"/>
      <c r="C2563" s="174"/>
      <c r="D2563" s="172"/>
      <c r="E2563" s="172"/>
    </row>
    <row r="2564" hidden="1">
      <c r="A2564" s="172"/>
      <c r="B2564" s="172"/>
      <c r="C2564" s="174"/>
      <c r="D2564" s="172"/>
      <c r="E2564" s="172"/>
    </row>
    <row r="2565" hidden="1">
      <c r="A2565" s="172"/>
      <c r="B2565" s="172"/>
      <c r="C2565" s="174"/>
      <c r="D2565" s="172"/>
      <c r="E2565" s="172"/>
    </row>
    <row r="2566" hidden="1">
      <c r="A2566" s="172"/>
      <c r="B2566" s="172"/>
      <c r="C2566" s="174"/>
      <c r="D2566" s="172"/>
      <c r="E2566" s="172"/>
    </row>
    <row r="2567" hidden="1">
      <c r="A2567" s="172"/>
      <c r="B2567" s="172"/>
      <c r="C2567" s="174"/>
      <c r="D2567" s="172"/>
      <c r="E2567" s="172"/>
    </row>
    <row r="2568" hidden="1">
      <c r="A2568" s="172"/>
      <c r="B2568" s="172"/>
      <c r="C2568" s="174"/>
      <c r="D2568" s="172"/>
      <c r="E2568" s="172"/>
    </row>
    <row r="2569" hidden="1">
      <c r="A2569" s="172"/>
      <c r="B2569" s="172"/>
      <c r="C2569" s="174"/>
      <c r="D2569" s="172"/>
      <c r="E2569" s="172"/>
    </row>
    <row r="2570" hidden="1">
      <c r="A2570" s="172"/>
      <c r="B2570" s="172"/>
      <c r="C2570" s="174"/>
      <c r="D2570" s="172"/>
      <c r="E2570" s="172"/>
    </row>
    <row r="2571" hidden="1">
      <c r="A2571" s="172"/>
      <c r="B2571" s="172"/>
      <c r="C2571" s="174"/>
      <c r="D2571" s="172"/>
      <c r="E2571" s="172"/>
    </row>
    <row r="2572" hidden="1">
      <c r="A2572" s="172"/>
      <c r="B2572" s="172"/>
      <c r="C2572" s="174"/>
      <c r="D2572" s="172"/>
      <c r="E2572" s="172"/>
    </row>
    <row r="2573" hidden="1">
      <c r="A2573" s="172"/>
      <c r="B2573" s="172"/>
      <c r="C2573" s="174"/>
      <c r="D2573" s="172"/>
      <c r="E2573" s="172"/>
    </row>
    <row r="2574" hidden="1">
      <c r="A2574" s="172"/>
      <c r="B2574" s="172"/>
      <c r="C2574" s="174"/>
      <c r="D2574" s="172"/>
      <c r="E2574" s="172"/>
    </row>
    <row r="2575" hidden="1">
      <c r="A2575" s="172"/>
      <c r="B2575" s="172"/>
      <c r="C2575" s="174"/>
      <c r="D2575" s="172"/>
      <c r="E2575" s="172"/>
    </row>
    <row r="2576" hidden="1">
      <c r="A2576" s="172"/>
      <c r="B2576" s="172"/>
      <c r="C2576" s="174"/>
      <c r="D2576" s="172"/>
      <c r="E2576" s="172"/>
    </row>
    <row r="2577" hidden="1">
      <c r="A2577" s="172"/>
      <c r="B2577" s="172"/>
      <c r="C2577" s="174"/>
      <c r="D2577" s="172"/>
      <c r="E2577" s="172"/>
    </row>
    <row r="2578" hidden="1">
      <c r="A2578" s="172"/>
      <c r="B2578" s="172"/>
      <c r="C2578" s="174"/>
      <c r="D2578" s="172"/>
      <c r="E2578" s="172"/>
    </row>
    <row r="2579" hidden="1">
      <c r="A2579" s="172"/>
      <c r="B2579" s="172"/>
      <c r="C2579" s="174"/>
      <c r="D2579" s="172"/>
      <c r="E2579" s="172"/>
    </row>
    <row r="2580" hidden="1">
      <c r="A2580" s="172"/>
      <c r="B2580" s="172"/>
      <c r="C2580" s="174"/>
      <c r="D2580" s="172"/>
      <c r="E2580" s="172"/>
    </row>
    <row r="2581" hidden="1">
      <c r="A2581" s="172"/>
      <c r="B2581" s="172"/>
      <c r="C2581" s="174"/>
      <c r="D2581" s="172"/>
      <c r="E2581" s="172"/>
    </row>
    <row r="2582" hidden="1">
      <c r="A2582" s="172"/>
      <c r="B2582" s="172"/>
      <c r="C2582" s="174"/>
      <c r="D2582" s="172"/>
      <c r="E2582" s="172"/>
    </row>
    <row r="2583" hidden="1">
      <c r="A2583" s="172"/>
      <c r="B2583" s="172"/>
      <c r="C2583" s="174"/>
      <c r="D2583" s="172"/>
      <c r="E2583" s="172"/>
    </row>
    <row r="2584" hidden="1">
      <c r="A2584" s="172"/>
      <c r="B2584" s="172"/>
      <c r="C2584" s="174"/>
      <c r="D2584" s="172"/>
      <c r="E2584" s="172"/>
    </row>
    <row r="2585" hidden="1">
      <c r="A2585" s="172"/>
      <c r="B2585" s="172"/>
      <c r="C2585" s="174"/>
      <c r="D2585" s="172"/>
      <c r="E2585" s="172"/>
    </row>
    <row r="2586" hidden="1">
      <c r="A2586" s="172"/>
      <c r="B2586" s="172"/>
      <c r="C2586" s="174"/>
      <c r="D2586" s="172"/>
      <c r="E2586" s="172"/>
    </row>
    <row r="2587" hidden="1">
      <c r="A2587" s="172"/>
      <c r="B2587" s="172"/>
      <c r="C2587" s="174"/>
      <c r="D2587" s="172"/>
      <c r="E2587" s="172"/>
    </row>
    <row r="2588" hidden="1">
      <c r="A2588" s="172"/>
      <c r="B2588" s="172"/>
      <c r="C2588" s="174"/>
      <c r="D2588" s="172"/>
      <c r="E2588" s="172"/>
    </row>
    <row r="2589" hidden="1">
      <c r="A2589" s="172"/>
      <c r="B2589" s="172"/>
      <c r="C2589" s="174"/>
      <c r="D2589" s="172"/>
      <c r="E2589" s="172"/>
    </row>
    <row r="2590" hidden="1">
      <c r="A2590" s="172"/>
      <c r="B2590" s="172"/>
      <c r="C2590" s="174"/>
      <c r="D2590" s="172"/>
      <c r="E2590" s="172"/>
    </row>
    <row r="2591" hidden="1">
      <c r="A2591" s="172"/>
      <c r="B2591" s="172"/>
      <c r="C2591" s="174"/>
      <c r="D2591" s="172"/>
      <c r="E2591" s="172"/>
    </row>
    <row r="2592" hidden="1">
      <c r="A2592" s="172"/>
      <c r="B2592" s="172"/>
      <c r="C2592" s="174"/>
      <c r="D2592" s="172"/>
      <c r="E2592" s="172"/>
    </row>
    <row r="2593" hidden="1">
      <c r="A2593" s="172"/>
      <c r="B2593" s="172"/>
      <c r="C2593" s="174"/>
      <c r="D2593" s="172"/>
      <c r="E2593" s="172"/>
    </row>
    <row r="2594" hidden="1">
      <c r="A2594" s="172"/>
      <c r="B2594" s="172"/>
      <c r="C2594" s="174"/>
      <c r="D2594" s="172"/>
      <c r="E2594" s="172"/>
    </row>
    <row r="2595" hidden="1">
      <c r="A2595" s="172"/>
      <c r="B2595" s="172"/>
      <c r="C2595" s="174"/>
      <c r="D2595" s="172"/>
      <c r="E2595" s="172"/>
    </row>
    <row r="2596" hidden="1">
      <c r="A2596" s="172"/>
      <c r="B2596" s="172"/>
      <c r="C2596" s="174"/>
      <c r="D2596" s="172"/>
      <c r="E2596" s="172"/>
    </row>
    <row r="2597" hidden="1">
      <c r="A2597" s="172"/>
      <c r="B2597" s="172"/>
      <c r="C2597" s="174"/>
      <c r="D2597" s="172"/>
      <c r="E2597" s="172"/>
    </row>
    <row r="2598" hidden="1">
      <c r="A2598" s="172"/>
      <c r="B2598" s="172"/>
      <c r="C2598" s="174"/>
      <c r="D2598" s="172"/>
      <c r="E2598" s="172"/>
    </row>
    <row r="2599" hidden="1">
      <c r="A2599" s="172"/>
      <c r="B2599" s="172"/>
      <c r="C2599" s="174"/>
      <c r="D2599" s="172"/>
      <c r="E2599" s="172"/>
    </row>
    <row r="2600" hidden="1">
      <c r="A2600" s="172"/>
      <c r="B2600" s="172"/>
      <c r="C2600" s="174"/>
      <c r="D2600" s="172"/>
      <c r="E2600" s="172"/>
    </row>
    <row r="2601" hidden="1">
      <c r="A2601" s="172"/>
      <c r="B2601" s="172"/>
      <c r="C2601" s="174"/>
      <c r="D2601" s="172"/>
      <c r="E2601" s="172"/>
    </row>
    <row r="2602" hidden="1">
      <c r="A2602" s="172"/>
      <c r="B2602" s="172"/>
      <c r="C2602" s="174"/>
      <c r="D2602" s="172"/>
      <c r="E2602" s="172"/>
    </row>
    <row r="2603" hidden="1">
      <c r="A2603" s="172"/>
      <c r="B2603" s="172"/>
      <c r="C2603" s="174"/>
      <c r="D2603" s="172"/>
      <c r="E2603" s="172"/>
    </row>
    <row r="2604" hidden="1">
      <c r="A2604" s="172"/>
      <c r="B2604" s="172"/>
      <c r="C2604" s="174"/>
      <c r="D2604" s="172"/>
      <c r="E2604" s="172"/>
    </row>
    <row r="2605" hidden="1">
      <c r="A2605" s="172"/>
      <c r="B2605" s="172"/>
      <c r="C2605" s="174"/>
      <c r="D2605" s="172"/>
      <c r="E2605" s="172"/>
    </row>
    <row r="2606" hidden="1">
      <c r="A2606" s="172"/>
      <c r="B2606" s="172"/>
      <c r="C2606" s="174"/>
      <c r="D2606" s="172"/>
      <c r="E2606" s="172"/>
    </row>
    <row r="2607" hidden="1">
      <c r="A2607" s="172"/>
      <c r="B2607" s="172"/>
      <c r="C2607" s="174"/>
      <c r="D2607" s="172"/>
      <c r="E2607" s="172"/>
    </row>
    <row r="2608" hidden="1">
      <c r="A2608" s="172"/>
      <c r="B2608" s="172"/>
      <c r="C2608" s="174"/>
      <c r="D2608" s="172"/>
      <c r="E2608" s="172"/>
    </row>
    <row r="2609" hidden="1">
      <c r="A2609" s="172"/>
      <c r="B2609" s="172"/>
      <c r="C2609" s="174"/>
      <c r="D2609" s="172"/>
      <c r="E2609" s="172"/>
    </row>
    <row r="2610" hidden="1">
      <c r="A2610" s="172"/>
      <c r="B2610" s="172"/>
      <c r="C2610" s="174"/>
      <c r="D2610" s="172"/>
      <c r="E2610" s="172"/>
    </row>
    <row r="2611" hidden="1">
      <c r="A2611" s="172"/>
      <c r="B2611" s="172"/>
      <c r="C2611" s="174"/>
      <c r="D2611" s="172"/>
      <c r="E2611" s="172"/>
    </row>
    <row r="2612" hidden="1">
      <c r="A2612" s="172"/>
      <c r="B2612" s="172"/>
      <c r="C2612" s="174"/>
      <c r="D2612" s="172"/>
      <c r="E2612" s="172"/>
    </row>
    <row r="2613" hidden="1">
      <c r="A2613" s="172"/>
      <c r="B2613" s="172"/>
      <c r="C2613" s="174"/>
      <c r="D2613" s="172"/>
      <c r="E2613" s="172"/>
    </row>
    <row r="2614" hidden="1">
      <c r="A2614" s="172"/>
      <c r="B2614" s="172"/>
      <c r="C2614" s="174"/>
      <c r="D2614" s="172"/>
      <c r="E2614" s="172"/>
    </row>
    <row r="2615" hidden="1">
      <c r="A2615" s="172"/>
      <c r="B2615" s="172"/>
      <c r="C2615" s="174"/>
      <c r="D2615" s="172"/>
      <c r="E2615" s="172"/>
    </row>
    <row r="2616" hidden="1">
      <c r="A2616" s="172"/>
      <c r="B2616" s="172"/>
      <c r="C2616" s="174"/>
      <c r="D2616" s="172"/>
      <c r="E2616" s="172"/>
    </row>
    <row r="2617" hidden="1">
      <c r="A2617" s="172"/>
      <c r="B2617" s="172"/>
      <c r="C2617" s="174"/>
      <c r="D2617" s="172"/>
      <c r="E2617" s="172"/>
    </row>
    <row r="2618" hidden="1">
      <c r="A2618" s="172"/>
      <c r="B2618" s="172"/>
      <c r="C2618" s="174"/>
      <c r="D2618" s="172"/>
      <c r="E2618" s="172"/>
    </row>
    <row r="2619" hidden="1">
      <c r="A2619" s="172"/>
      <c r="B2619" s="172"/>
      <c r="C2619" s="174"/>
      <c r="D2619" s="172"/>
      <c r="E2619" s="172"/>
    </row>
    <row r="2620" hidden="1">
      <c r="A2620" s="172"/>
      <c r="B2620" s="172"/>
      <c r="C2620" s="174"/>
      <c r="D2620" s="172"/>
      <c r="E2620" s="172"/>
    </row>
    <row r="2621" hidden="1">
      <c r="A2621" s="172"/>
      <c r="B2621" s="172"/>
      <c r="C2621" s="174"/>
      <c r="D2621" s="172"/>
      <c r="E2621" s="172"/>
    </row>
    <row r="2622" hidden="1">
      <c r="A2622" s="172"/>
      <c r="B2622" s="172"/>
      <c r="C2622" s="174"/>
      <c r="D2622" s="172"/>
      <c r="E2622" s="172"/>
    </row>
    <row r="2623" hidden="1">
      <c r="A2623" s="172"/>
      <c r="B2623" s="172"/>
      <c r="C2623" s="174"/>
      <c r="D2623" s="172"/>
      <c r="E2623" s="172"/>
    </row>
    <row r="2624" hidden="1">
      <c r="A2624" s="172"/>
      <c r="B2624" s="172"/>
      <c r="C2624" s="174"/>
      <c r="D2624" s="172"/>
      <c r="E2624" s="172"/>
    </row>
    <row r="2625" hidden="1">
      <c r="A2625" s="172"/>
      <c r="B2625" s="172"/>
      <c r="C2625" s="174"/>
      <c r="D2625" s="172"/>
      <c r="E2625" s="172"/>
    </row>
    <row r="2626" hidden="1">
      <c r="A2626" s="172"/>
      <c r="B2626" s="172"/>
      <c r="C2626" s="174"/>
      <c r="D2626" s="172"/>
      <c r="E2626" s="172"/>
    </row>
    <row r="2627" hidden="1">
      <c r="A2627" s="172"/>
      <c r="B2627" s="172"/>
      <c r="C2627" s="174"/>
      <c r="D2627" s="172"/>
      <c r="E2627" s="172"/>
    </row>
    <row r="2628" hidden="1">
      <c r="A2628" s="172"/>
      <c r="B2628" s="172"/>
      <c r="C2628" s="174"/>
      <c r="D2628" s="172"/>
      <c r="E2628" s="172"/>
    </row>
    <row r="2629" hidden="1">
      <c r="A2629" s="172"/>
      <c r="B2629" s="172"/>
      <c r="C2629" s="174"/>
      <c r="D2629" s="172"/>
      <c r="E2629" s="172"/>
    </row>
    <row r="2630" hidden="1">
      <c r="A2630" s="172"/>
      <c r="B2630" s="172"/>
      <c r="C2630" s="174"/>
      <c r="D2630" s="172"/>
      <c r="E2630" s="172"/>
    </row>
    <row r="2631" hidden="1">
      <c r="A2631" s="172"/>
      <c r="B2631" s="172"/>
      <c r="C2631" s="174"/>
      <c r="D2631" s="172"/>
      <c r="E2631" s="172"/>
    </row>
    <row r="2632" hidden="1">
      <c r="A2632" s="172"/>
      <c r="B2632" s="172"/>
      <c r="C2632" s="174"/>
      <c r="D2632" s="172"/>
      <c r="E2632" s="172"/>
    </row>
    <row r="2633" hidden="1">
      <c r="A2633" s="172"/>
      <c r="B2633" s="172"/>
      <c r="C2633" s="174"/>
      <c r="D2633" s="172"/>
      <c r="E2633" s="172"/>
    </row>
    <row r="2634" hidden="1">
      <c r="A2634" s="172"/>
      <c r="B2634" s="172"/>
      <c r="C2634" s="174"/>
      <c r="D2634" s="172"/>
      <c r="E2634" s="172"/>
    </row>
    <row r="2635" hidden="1">
      <c r="A2635" s="172"/>
      <c r="B2635" s="172"/>
      <c r="C2635" s="174"/>
      <c r="D2635" s="172"/>
      <c r="E2635" s="172"/>
    </row>
    <row r="2636" hidden="1">
      <c r="A2636" s="172"/>
      <c r="B2636" s="172"/>
      <c r="C2636" s="174"/>
      <c r="D2636" s="172"/>
      <c r="E2636" s="172"/>
    </row>
    <row r="2637" hidden="1">
      <c r="A2637" s="172"/>
      <c r="B2637" s="172"/>
      <c r="C2637" s="174"/>
      <c r="D2637" s="172"/>
      <c r="E2637" s="172"/>
    </row>
    <row r="2638" hidden="1">
      <c r="A2638" s="172"/>
      <c r="B2638" s="172"/>
      <c r="C2638" s="174"/>
      <c r="D2638" s="172"/>
      <c r="E2638" s="172"/>
    </row>
    <row r="2639" hidden="1">
      <c r="A2639" s="172"/>
      <c r="B2639" s="172"/>
      <c r="C2639" s="174"/>
      <c r="D2639" s="172"/>
      <c r="E2639" s="172"/>
    </row>
    <row r="2640" hidden="1">
      <c r="A2640" s="172"/>
      <c r="B2640" s="172"/>
      <c r="C2640" s="174"/>
      <c r="D2640" s="172"/>
      <c r="E2640" s="172"/>
    </row>
    <row r="2641" hidden="1">
      <c r="A2641" s="172"/>
      <c r="B2641" s="172"/>
      <c r="C2641" s="174"/>
      <c r="D2641" s="172"/>
      <c r="E2641" s="172"/>
    </row>
    <row r="2642" hidden="1">
      <c r="A2642" s="172"/>
      <c r="B2642" s="172"/>
      <c r="C2642" s="174"/>
      <c r="D2642" s="172"/>
      <c r="E2642" s="172"/>
    </row>
    <row r="2643" hidden="1">
      <c r="A2643" s="172"/>
      <c r="B2643" s="172"/>
      <c r="C2643" s="174"/>
      <c r="D2643" s="172"/>
      <c r="E2643" s="172"/>
    </row>
    <row r="2644" hidden="1">
      <c r="A2644" s="172"/>
      <c r="B2644" s="172"/>
      <c r="C2644" s="174"/>
      <c r="D2644" s="172"/>
      <c r="E2644" s="172"/>
    </row>
    <row r="2645" hidden="1">
      <c r="A2645" s="172"/>
      <c r="B2645" s="172"/>
      <c r="C2645" s="174"/>
      <c r="D2645" s="172"/>
      <c r="E2645" s="172"/>
    </row>
    <row r="2646" hidden="1">
      <c r="A2646" s="172"/>
      <c r="B2646" s="172"/>
      <c r="C2646" s="174"/>
      <c r="D2646" s="172"/>
      <c r="E2646" s="172"/>
    </row>
    <row r="2647" hidden="1">
      <c r="A2647" s="172"/>
      <c r="B2647" s="172"/>
      <c r="C2647" s="174"/>
      <c r="D2647" s="172"/>
      <c r="E2647" s="172"/>
    </row>
    <row r="2648" hidden="1">
      <c r="A2648" s="172"/>
      <c r="B2648" s="172"/>
      <c r="C2648" s="174"/>
      <c r="D2648" s="172"/>
      <c r="E2648" s="172"/>
    </row>
    <row r="2649" hidden="1">
      <c r="A2649" s="172"/>
      <c r="B2649" s="172"/>
      <c r="C2649" s="174"/>
      <c r="D2649" s="172"/>
      <c r="E2649" s="172"/>
    </row>
    <row r="2650" hidden="1">
      <c r="A2650" s="172"/>
      <c r="B2650" s="172"/>
      <c r="C2650" s="174"/>
      <c r="D2650" s="172"/>
      <c r="E2650" s="172"/>
    </row>
    <row r="2651" hidden="1">
      <c r="A2651" s="172"/>
      <c r="B2651" s="172"/>
      <c r="C2651" s="174"/>
      <c r="D2651" s="172"/>
      <c r="E2651" s="172"/>
    </row>
    <row r="2652" hidden="1">
      <c r="A2652" s="172"/>
      <c r="B2652" s="172"/>
      <c r="C2652" s="174"/>
      <c r="D2652" s="172"/>
      <c r="E2652" s="172"/>
    </row>
    <row r="2653" hidden="1">
      <c r="A2653" s="172"/>
      <c r="B2653" s="172"/>
      <c r="C2653" s="174"/>
      <c r="D2653" s="172"/>
      <c r="E2653" s="172"/>
    </row>
    <row r="2654" hidden="1">
      <c r="A2654" s="172"/>
      <c r="B2654" s="172"/>
      <c r="C2654" s="174"/>
      <c r="D2654" s="172"/>
      <c r="E2654" s="172"/>
    </row>
    <row r="2655" hidden="1">
      <c r="A2655" s="172"/>
      <c r="B2655" s="172"/>
      <c r="C2655" s="174"/>
      <c r="D2655" s="172"/>
      <c r="E2655" s="172"/>
    </row>
    <row r="2656" hidden="1">
      <c r="A2656" s="172"/>
      <c r="B2656" s="172"/>
      <c r="C2656" s="174"/>
      <c r="D2656" s="172"/>
      <c r="E2656" s="172"/>
    </row>
    <row r="2657" hidden="1">
      <c r="A2657" s="172"/>
      <c r="B2657" s="172"/>
      <c r="C2657" s="174"/>
      <c r="D2657" s="172"/>
      <c r="E2657" s="172"/>
    </row>
    <row r="2658" hidden="1">
      <c r="A2658" s="172"/>
      <c r="B2658" s="172"/>
      <c r="C2658" s="174"/>
      <c r="D2658" s="172"/>
      <c r="E2658" s="172"/>
    </row>
    <row r="2659" hidden="1">
      <c r="A2659" s="172"/>
      <c r="B2659" s="172"/>
      <c r="C2659" s="174"/>
      <c r="D2659" s="172"/>
      <c r="E2659" s="172"/>
    </row>
    <row r="2660" hidden="1">
      <c r="A2660" s="172"/>
      <c r="B2660" s="172"/>
      <c r="C2660" s="174"/>
      <c r="D2660" s="172"/>
      <c r="E2660" s="172"/>
    </row>
    <row r="2661" hidden="1">
      <c r="A2661" s="172"/>
      <c r="B2661" s="172"/>
      <c r="C2661" s="174"/>
      <c r="D2661" s="172"/>
      <c r="E2661" s="172"/>
    </row>
    <row r="2662" hidden="1">
      <c r="A2662" s="172"/>
      <c r="B2662" s="172"/>
      <c r="C2662" s="174"/>
      <c r="D2662" s="172"/>
      <c r="E2662" s="172"/>
    </row>
    <row r="2663" hidden="1">
      <c r="A2663" s="172"/>
      <c r="B2663" s="172"/>
      <c r="C2663" s="174"/>
      <c r="D2663" s="172"/>
      <c r="E2663" s="172"/>
    </row>
    <row r="2664" hidden="1">
      <c r="A2664" s="172"/>
      <c r="B2664" s="172"/>
      <c r="C2664" s="174"/>
      <c r="D2664" s="172"/>
      <c r="E2664" s="172"/>
    </row>
    <row r="2665" hidden="1">
      <c r="A2665" s="172"/>
      <c r="B2665" s="172"/>
      <c r="C2665" s="174"/>
      <c r="D2665" s="172"/>
      <c r="E2665" s="172"/>
    </row>
    <row r="2666" hidden="1">
      <c r="A2666" s="172"/>
      <c r="B2666" s="172"/>
      <c r="C2666" s="174"/>
      <c r="D2666" s="172"/>
      <c r="E2666" s="172"/>
    </row>
    <row r="2667" hidden="1">
      <c r="A2667" s="172"/>
      <c r="B2667" s="172"/>
      <c r="C2667" s="174"/>
      <c r="D2667" s="172"/>
      <c r="E2667" s="172"/>
    </row>
    <row r="2668" hidden="1">
      <c r="A2668" s="172"/>
      <c r="B2668" s="172"/>
      <c r="C2668" s="174"/>
      <c r="D2668" s="172"/>
      <c r="E2668" s="172"/>
    </row>
    <row r="2669" hidden="1">
      <c r="A2669" s="172"/>
      <c r="B2669" s="172"/>
      <c r="C2669" s="174"/>
      <c r="D2669" s="172"/>
      <c r="E2669" s="172"/>
    </row>
    <row r="2670" hidden="1">
      <c r="A2670" s="172"/>
      <c r="B2670" s="172"/>
      <c r="C2670" s="174"/>
      <c r="D2670" s="172"/>
      <c r="E2670" s="172"/>
    </row>
    <row r="2671" hidden="1">
      <c r="A2671" s="172"/>
      <c r="B2671" s="172"/>
      <c r="C2671" s="174"/>
      <c r="D2671" s="172"/>
      <c r="E2671" s="172"/>
    </row>
    <row r="2672" hidden="1">
      <c r="A2672" s="172"/>
      <c r="B2672" s="172"/>
      <c r="C2672" s="174"/>
      <c r="D2672" s="172"/>
      <c r="E2672" s="172"/>
    </row>
    <row r="2673" hidden="1">
      <c r="A2673" s="172"/>
      <c r="B2673" s="172"/>
      <c r="C2673" s="174"/>
      <c r="D2673" s="172"/>
      <c r="E2673" s="172"/>
    </row>
    <row r="2674" hidden="1">
      <c r="A2674" s="172"/>
      <c r="B2674" s="172"/>
      <c r="C2674" s="174"/>
      <c r="D2674" s="172"/>
      <c r="E2674" s="172"/>
    </row>
    <row r="2675" hidden="1">
      <c r="A2675" s="172"/>
      <c r="B2675" s="172"/>
      <c r="C2675" s="174"/>
      <c r="D2675" s="172"/>
      <c r="E2675" s="172"/>
    </row>
    <row r="2676" hidden="1">
      <c r="A2676" s="172"/>
      <c r="B2676" s="172"/>
      <c r="C2676" s="174"/>
      <c r="D2676" s="172"/>
      <c r="E2676" s="172"/>
    </row>
    <row r="2677" hidden="1">
      <c r="A2677" s="172"/>
      <c r="B2677" s="172"/>
      <c r="C2677" s="174"/>
      <c r="D2677" s="172"/>
      <c r="E2677" s="172"/>
    </row>
    <row r="2678" hidden="1">
      <c r="A2678" s="172"/>
      <c r="B2678" s="172"/>
      <c r="C2678" s="174"/>
      <c r="D2678" s="172"/>
      <c r="E2678" s="172"/>
    </row>
    <row r="2679" hidden="1">
      <c r="A2679" s="172"/>
      <c r="B2679" s="172"/>
      <c r="C2679" s="174"/>
      <c r="D2679" s="172"/>
      <c r="E2679" s="172"/>
    </row>
    <row r="2680" hidden="1">
      <c r="A2680" s="172"/>
      <c r="B2680" s="172"/>
      <c r="C2680" s="174"/>
      <c r="D2680" s="172"/>
      <c r="E2680" s="172"/>
    </row>
    <row r="2681" hidden="1">
      <c r="A2681" s="172"/>
      <c r="B2681" s="172"/>
      <c r="C2681" s="174"/>
      <c r="D2681" s="172"/>
      <c r="E2681" s="172"/>
    </row>
    <row r="2682" hidden="1">
      <c r="A2682" s="172"/>
      <c r="B2682" s="172"/>
      <c r="C2682" s="174"/>
      <c r="D2682" s="172"/>
      <c r="E2682" s="172"/>
    </row>
    <row r="2683" hidden="1">
      <c r="A2683" s="172"/>
      <c r="B2683" s="172"/>
      <c r="C2683" s="174"/>
      <c r="D2683" s="172"/>
      <c r="E2683" s="172"/>
    </row>
    <row r="2684" hidden="1">
      <c r="A2684" s="172"/>
      <c r="B2684" s="172"/>
      <c r="C2684" s="174"/>
      <c r="D2684" s="172"/>
      <c r="E2684" s="172"/>
    </row>
    <row r="2685" hidden="1">
      <c r="A2685" s="172"/>
      <c r="B2685" s="172"/>
      <c r="C2685" s="174"/>
      <c r="D2685" s="172"/>
      <c r="E2685" s="172"/>
    </row>
    <row r="2686" hidden="1">
      <c r="A2686" s="172"/>
      <c r="B2686" s="172"/>
      <c r="C2686" s="174"/>
      <c r="D2686" s="172"/>
      <c r="E2686" s="172"/>
    </row>
    <row r="2687" hidden="1">
      <c r="A2687" s="172"/>
      <c r="B2687" s="172"/>
      <c r="C2687" s="174"/>
      <c r="D2687" s="172"/>
      <c r="E2687" s="172"/>
    </row>
    <row r="2688" hidden="1">
      <c r="A2688" s="172"/>
      <c r="B2688" s="172"/>
      <c r="C2688" s="174"/>
      <c r="D2688" s="172"/>
      <c r="E2688" s="172"/>
    </row>
    <row r="2689" hidden="1">
      <c r="A2689" s="172"/>
      <c r="B2689" s="172"/>
      <c r="C2689" s="174"/>
      <c r="D2689" s="172"/>
      <c r="E2689" s="172"/>
    </row>
    <row r="2690" hidden="1">
      <c r="A2690" s="172"/>
      <c r="B2690" s="172"/>
      <c r="C2690" s="174"/>
      <c r="D2690" s="172"/>
      <c r="E2690" s="172"/>
    </row>
    <row r="2691" hidden="1">
      <c r="A2691" s="172"/>
      <c r="B2691" s="172"/>
      <c r="C2691" s="174"/>
      <c r="D2691" s="172"/>
      <c r="E2691" s="172"/>
    </row>
    <row r="2692" hidden="1">
      <c r="A2692" s="172"/>
      <c r="B2692" s="172"/>
      <c r="C2692" s="174"/>
      <c r="D2692" s="172"/>
      <c r="E2692" s="172"/>
    </row>
    <row r="2693" hidden="1">
      <c r="A2693" s="172"/>
      <c r="B2693" s="172"/>
      <c r="C2693" s="174"/>
      <c r="D2693" s="172"/>
      <c r="E2693" s="172"/>
    </row>
    <row r="2694" hidden="1">
      <c r="A2694" s="172"/>
      <c r="B2694" s="172"/>
      <c r="C2694" s="174"/>
      <c r="D2694" s="172"/>
      <c r="E2694" s="172"/>
    </row>
    <row r="2695" hidden="1">
      <c r="A2695" s="172"/>
      <c r="B2695" s="172"/>
      <c r="C2695" s="174"/>
      <c r="D2695" s="172"/>
      <c r="E2695" s="172"/>
    </row>
    <row r="2696" hidden="1">
      <c r="A2696" s="172"/>
      <c r="B2696" s="172"/>
      <c r="C2696" s="174"/>
      <c r="D2696" s="172"/>
      <c r="E2696" s="172"/>
    </row>
    <row r="2697" hidden="1">
      <c r="A2697" s="172"/>
      <c r="B2697" s="172"/>
      <c r="C2697" s="174"/>
      <c r="D2697" s="172"/>
      <c r="E2697" s="172"/>
    </row>
    <row r="2698" hidden="1">
      <c r="A2698" s="172"/>
      <c r="B2698" s="172"/>
      <c r="C2698" s="174"/>
      <c r="D2698" s="172"/>
      <c r="E2698" s="172"/>
    </row>
    <row r="2699" hidden="1">
      <c r="A2699" s="172"/>
      <c r="B2699" s="172"/>
      <c r="C2699" s="174"/>
      <c r="D2699" s="172"/>
      <c r="E2699" s="172"/>
    </row>
    <row r="2700" hidden="1">
      <c r="A2700" s="172"/>
      <c r="B2700" s="172"/>
      <c r="C2700" s="174"/>
      <c r="D2700" s="172"/>
      <c r="E2700" s="172"/>
    </row>
    <row r="2701" hidden="1">
      <c r="A2701" s="172"/>
      <c r="B2701" s="172"/>
      <c r="C2701" s="174"/>
      <c r="D2701" s="172"/>
      <c r="E2701" s="172"/>
    </row>
    <row r="2702" hidden="1">
      <c r="A2702" s="172"/>
      <c r="B2702" s="172"/>
      <c r="C2702" s="174"/>
      <c r="D2702" s="172"/>
      <c r="E2702" s="172"/>
    </row>
    <row r="2703" hidden="1">
      <c r="A2703" s="172"/>
      <c r="B2703" s="172"/>
      <c r="C2703" s="174"/>
      <c r="D2703" s="172"/>
      <c r="E2703" s="172"/>
    </row>
    <row r="2704" hidden="1">
      <c r="A2704" s="172"/>
      <c r="B2704" s="172"/>
      <c r="C2704" s="174"/>
      <c r="D2704" s="172"/>
      <c r="E2704" s="172"/>
    </row>
    <row r="2705" hidden="1">
      <c r="A2705" s="172"/>
      <c r="B2705" s="172"/>
      <c r="C2705" s="174"/>
      <c r="D2705" s="172"/>
      <c r="E2705" s="172"/>
    </row>
    <row r="2706" hidden="1">
      <c r="A2706" s="172"/>
      <c r="B2706" s="172"/>
      <c r="C2706" s="174"/>
      <c r="D2706" s="172"/>
      <c r="E2706" s="172"/>
    </row>
    <row r="2707" hidden="1">
      <c r="A2707" s="172"/>
      <c r="B2707" s="172"/>
      <c r="C2707" s="174"/>
      <c r="D2707" s="172"/>
      <c r="E2707" s="172"/>
    </row>
    <row r="2708" hidden="1">
      <c r="A2708" s="172"/>
      <c r="B2708" s="172"/>
      <c r="C2708" s="174"/>
      <c r="D2708" s="172"/>
      <c r="E2708" s="172"/>
    </row>
    <row r="2709" hidden="1">
      <c r="A2709" s="172"/>
      <c r="B2709" s="172"/>
      <c r="C2709" s="174"/>
      <c r="D2709" s="172"/>
      <c r="E2709" s="172"/>
    </row>
    <row r="2710" hidden="1">
      <c r="A2710" s="172"/>
      <c r="B2710" s="172"/>
      <c r="C2710" s="174"/>
      <c r="D2710" s="172"/>
      <c r="E2710" s="172"/>
    </row>
    <row r="2711" hidden="1">
      <c r="A2711" s="172"/>
      <c r="B2711" s="172"/>
      <c r="C2711" s="174"/>
      <c r="D2711" s="172"/>
      <c r="E2711" s="172"/>
    </row>
    <row r="2712" hidden="1">
      <c r="A2712" s="172"/>
      <c r="B2712" s="172"/>
      <c r="C2712" s="174"/>
      <c r="D2712" s="172"/>
      <c r="E2712" s="172"/>
    </row>
    <row r="2713" hidden="1">
      <c r="A2713" s="172"/>
      <c r="B2713" s="172"/>
      <c r="C2713" s="174"/>
      <c r="D2713" s="172"/>
      <c r="E2713" s="172"/>
    </row>
    <row r="2714" hidden="1">
      <c r="A2714" s="172"/>
      <c r="B2714" s="172"/>
      <c r="C2714" s="174"/>
      <c r="D2714" s="172"/>
      <c r="E2714" s="172"/>
    </row>
    <row r="2715" hidden="1">
      <c r="A2715" s="172"/>
      <c r="B2715" s="172"/>
      <c r="C2715" s="174"/>
      <c r="D2715" s="172"/>
      <c r="E2715" s="172"/>
    </row>
    <row r="2716" hidden="1">
      <c r="A2716" s="172"/>
      <c r="B2716" s="172"/>
      <c r="C2716" s="174"/>
      <c r="D2716" s="172"/>
      <c r="E2716" s="172"/>
    </row>
    <row r="2717" hidden="1">
      <c r="A2717" s="172"/>
      <c r="B2717" s="172"/>
      <c r="C2717" s="174"/>
      <c r="D2717" s="172"/>
      <c r="E2717" s="172"/>
    </row>
    <row r="2718" hidden="1">
      <c r="A2718" s="172"/>
      <c r="B2718" s="172"/>
      <c r="C2718" s="174"/>
      <c r="D2718" s="172"/>
      <c r="E2718" s="172"/>
    </row>
    <row r="2719" hidden="1">
      <c r="A2719" s="172"/>
      <c r="B2719" s="172"/>
      <c r="C2719" s="174"/>
      <c r="D2719" s="172"/>
      <c r="E2719" s="172"/>
    </row>
    <row r="2720" hidden="1">
      <c r="A2720" s="172"/>
      <c r="B2720" s="172"/>
      <c r="C2720" s="174"/>
      <c r="D2720" s="172"/>
      <c r="E2720" s="172"/>
    </row>
    <row r="2721" hidden="1">
      <c r="A2721" s="172"/>
      <c r="B2721" s="172"/>
      <c r="C2721" s="174"/>
      <c r="D2721" s="172"/>
      <c r="E2721" s="172"/>
    </row>
    <row r="2722" hidden="1">
      <c r="A2722" s="172"/>
      <c r="B2722" s="172"/>
      <c r="C2722" s="174"/>
      <c r="D2722" s="172"/>
      <c r="E2722" s="172"/>
    </row>
    <row r="2723" hidden="1">
      <c r="A2723" s="172"/>
      <c r="B2723" s="172"/>
      <c r="C2723" s="174"/>
      <c r="D2723" s="172"/>
      <c r="E2723" s="172"/>
    </row>
    <row r="2724" hidden="1">
      <c r="A2724" s="172"/>
      <c r="B2724" s="172"/>
      <c r="C2724" s="174"/>
      <c r="D2724" s="172"/>
      <c r="E2724" s="172"/>
    </row>
    <row r="2725" hidden="1">
      <c r="A2725" s="172"/>
      <c r="B2725" s="172"/>
      <c r="C2725" s="174"/>
      <c r="D2725" s="172"/>
      <c r="E2725" s="172"/>
    </row>
    <row r="2726" hidden="1">
      <c r="A2726" s="172"/>
      <c r="B2726" s="172"/>
      <c r="C2726" s="174"/>
      <c r="D2726" s="172"/>
      <c r="E2726" s="172"/>
    </row>
    <row r="2727" hidden="1">
      <c r="A2727" s="172"/>
      <c r="B2727" s="172"/>
      <c r="C2727" s="174"/>
      <c r="D2727" s="172"/>
      <c r="E2727" s="172"/>
    </row>
    <row r="2728" hidden="1">
      <c r="A2728" s="172"/>
      <c r="B2728" s="172"/>
      <c r="C2728" s="174"/>
      <c r="D2728" s="172"/>
      <c r="E2728" s="172"/>
    </row>
    <row r="2729" hidden="1">
      <c r="A2729" s="172"/>
      <c r="B2729" s="172"/>
      <c r="C2729" s="174"/>
      <c r="D2729" s="172"/>
      <c r="E2729" s="172"/>
    </row>
    <row r="2730" hidden="1">
      <c r="A2730" s="172"/>
      <c r="B2730" s="172"/>
      <c r="C2730" s="174"/>
      <c r="D2730" s="172"/>
      <c r="E2730" s="172"/>
    </row>
    <row r="2731" hidden="1">
      <c r="A2731" s="172"/>
      <c r="B2731" s="172"/>
      <c r="C2731" s="174"/>
      <c r="D2731" s="172"/>
      <c r="E2731" s="172"/>
    </row>
    <row r="2732" hidden="1">
      <c r="A2732" s="172"/>
      <c r="B2732" s="172"/>
      <c r="C2732" s="174"/>
      <c r="D2732" s="172"/>
      <c r="E2732" s="172"/>
    </row>
    <row r="2733" hidden="1">
      <c r="A2733" s="172"/>
      <c r="B2733" s="172"/>
      <c r="C2733" s="174"/>
      <c r="D2733" s="172"/>
      <c r="E2733" s="172"/>
    </row>
    <row r="2734" hidden="1">
      <c r="A2734" s="172"/>
      <c r="B2734" s="172"/>
      <c r="C2734" s="174"/>
      <c r="D2734" s="172"/>
      <c r="E2734" s="172"/>
    </row>
    <row r="2735" hidden="1">
      <c r="A2735" s="172"/>
      <c r="B2735" s="172"/>
      <c r="C2735" s="174"/>
      <c r="D2735" s="172"/>
      <c r="E2735" s="172"/>
    </row>
    <row r="2736" hidden="1">
      <c r="A2736" s="172"/>
      <c r="B2736" s="172"/>
      <c r="C2736" s="174"/>
      <c r="D2736" s="172"/>
      <c r="E2736" s="172"/>
    </row>
    <row r="2737" hidden="1">
      <c r="A2737" s="172"/>
      <c r="B2737" s="172"/>
      <c r="C2737" s="174"/>
      <c r="D2737" s="172"/>
      <c r="E2737" s="172"/>
    </row>
    <row r="2738" hidden="1">
      <c r="A2738" s="172"/>
      <c r="B2738" s="172"/>
      <c r="C2738" s="174"/>
      <c r="D2738" s="172"/>
      <c r="E2738" s="172"/>
    </row>
    <row r="2739" hidden="1">
      <c r="A2739" s="172"/>
      <c r="B2739" s="172"/>
      <c r="C2739" s="174"/>
      <c r="D2739" s="172"/>
      <c r="E2739" s="172"/>
    </row>
    <row r="2740" hidden="1">
      <c r="A2740" s="172"/>
      <c r="B2740" s="172"/>
      <c r="C2740" s="174"/>
      <c r="D2740" s="172"/>
      <c r="E2740" s="172"/>
    </row>
    <row r="2741" hidden="1">
      <c r="A2741" s="172"/>
      <c r="B2741" s="172"/>
      <c r="C2741" s="174"/>
      <c r="D2741" s="172"/>
      <c r="E2741" s="172"/>
    </row>
    <row r="2742" hidden="1">
      <c r="A2742" s="172"/>
      <c r="B2742" s="172"/>
      <c r="C2742" s="174"/>
      <c r="D2742" s="172"/>
      <c r="E2742" s="172"/>
    </row>
    <row r="2743" hidden="1">
      <c r="A2743" s="172"/>
      <c r="B2743" s="172"/>
      <c r="C2743" s="174"/>
      <c r="D2743" s="172"/>
      <c r="E2743" s="172"/>
    </row>
    <row r="2744" hidden="1">
      <c r="A2744" s="172"/>
      <c r="B2744" s="172"/>
      <c r="C2744" s="174"/>
      <c r="D2744" s="172"/>
      <c r="E2744" s="172"/>
    </row>
    <row r="2745" hidden="1">
      <c r="A2745" s="172"/>
      <c r="B2745" s="172"/>
      <c r="C2745" s="174"/>
      <c r="D2745" s="172"/>
      <c r="E2745" s="172"/>
    </row>
    <row r="2746" hidden="1">
      <c r="A2746" s="172"/>
      <c r="B2746" s="172"/>
      <c r="C2746" s="174"/>
      <c r="D2746" s="172"/>
      <c r="E2746" s="172"/>
    </row>
    <row r="2747" hidden="1">
      <c r="A2747" s="172"/>
      <c r="B2747" s="172"/>
      <c r="C2747" s="174"/>
      <c r="D2747" s="172"/>
      <c r="E2747" s="172"/>
    </row>
    <row r="2748" hidden="1">
      <c r="A2748" s="172"/>
      <c r="B2748" s="172"/>
      <c r="C2748" s="174"/>
      <c r="D2748" s="172"/>
      <c r="E2748" s="172"/>
    </row>
    <row r="2749" hidden="1">
      <c r="A2749" s="172"/>
      <c r="B2749" s="172"/>
      <c r="C2749" s="174"/>
      <c r="D2749" s="172"/>
      <c r="E2749" s="172"/>
    </row>
    <row r="2750" hidden="1">
      <c r="A2750" s="172"/>
      <c r="B2750" s="172"/>
      <c r="C2750" s="174"/>
      <c r="D2750" s="172"/>
      <c r="E2750" s="172"/>
    </row>
    <row r="2751" hidden="1">
      <c r="A2751" s="172"/>
      <c r="B2751" s="172"/>
      <c r="C2751" s="174"/>
      <c r="D2751" s="172"/>
      <c r="E2751" s="172"/>
    </row>
    <row r="2752" hidden="1">
      <c r="A2752" s="172"/>
      <c r="B2752" s="172"/>
      <c r="C2752" s="174"/>
      <c r="D2752" s="172"/>
      <c r="E2752" s="172"/>
    </row>
    <row r="2753" hidden="1">
      <c r="A2753" s="172"/>
      <c r="B2753" s="172"/>
      <c r="C2753" s="174"/>
      <c r="D2753" s="172"/>
      <c r="E2753" s="172"/>
    </row>
    <row r="2754" hidden="1">
      <c r="A2754" s="172"/>
      <c r="B2754" s="172"/>
      <c r="C2754" s="174"/>
      <c r="D2754" s="172"/>
      <c r="E2754" s="172"/>
    </row>
    <row r="2755" hidden="1">
      <c r="A2755" s="172"/>
      <c r="B2755" s="172"/>
      <c r="C2755" s="174"/>
      <c r="D2755" s="172"/>
      <c r="E2755" s="172"/>
    </row>
    <row r="2756" hidden="1">
      <c r="A2756" s="172"/>
      <c r="B2756" s="172"/>
      <c r="C2756" s="174"/>
      <c r="D2756" s="172"/>
      <c r="E2756" s="172"/>
    </row>
    <row r="2757" hidden="1">
      <c r="A2757" s="172"/>
      <c r="B2757" s="172"/>
      <c r="C2757" s="174"/>
      <c r="D2757" s="172"/>
      <c r="E2757" s="172"/>
    </row>
    <row r="2758" hidden="1">
      <c r="A2758" s="172"/>
      <c r="B2758" s="172"/>
      <c r="C2758" s="174"/>
      <c r="D2758" s="172"/>
      <c r="E2758" s="172"/>
    </row>
    <row r="2759" hidden="1">
      <c r="A2759" s="172"/>
      <c r="B2759" s="172"/>
      <c r="C2759" s="174"/>
      <c r="D2759" s="172"/>
      <c r="E2759" s="172"/>
    </row>
    <row r="2760" hidden="1">
      <c r="A2760" s="172"/>
      <c r="B2760" s="172"/>
      <c r="C2760" s="174"/>
      <c r="D2760" s="172"/>
      <c r="E2760" s="172"/>
    </row>
    <row r="2761" hidden="1">
      <c r="A2761" s="172"/>
      <c r="B2761" s="172"/>
      <c r="C2761" s="174"/>
      <c r="D2761" s="172"/>
      <c r="E2761" s="172"/>
    </row>
    <row r="2762" hidden="1">
      <c r="A2762" s="172"/>
      <c r="B2762" s="172"/>
      <c r="C2762" s="174"/>
      <c r="D2762" s="172"/>
      <c r="E2762" s="172"/>
    </row>
    <row r="2763" hidden="1">
      <c r="A2763" s="172"/>
      <c r="B2763" s="172"/>
      <c r="C2763" s="174"/>
      <c r="D2763" s="172"/>
      <c r="E2763" s="172"/>
    </row>
    <row r="2764" hidden="1">
      <c r="A2764" s="172"/>
      <c r="B2764" s="172"/>
      <c r="C2764" s="174"/>
      <c r="D2764" s="172"/>
      <c r="E2764" s="172"/>
    </row>
    <row r="2765" hidden="1">
      <c r="A2765" s="172"/>
      <c r="B2765" s="172"/>
      <c r="C2765" s="174"/>
      <c r="D2765" s="172"/>
      <c r="E2765" s="172"/>
    </row>
    <row r="2766" hidden="1">
      <c r="A2766" s="172"/>
      <c r="B2766" s="172"/>
      <c r="C2766" s="174"/>
      <c r="D2766" s="172"/>
      <c r="E2766" s="172"/>
    </row>
    <row r="2767" hidden="1">
      <c r="A2767" s="172"/>
      <c r="B2767" s="172"/>
      <c r="C2767" s="174"/>
      <c r="D2767" s="172"/>
      <c r="E2767" s="172"/>
    </row>
    <row r="2768" hidden="1">
      <c r="A2768" s="172"/>
      <c r="B2768" s="172"/>
      <c r="C2768" s="174"/>
      <c r="D2768" s="172"/>
      <c r="E2768" s="172"/>
    </row>
    <row r="2769" hidden="1">
      <c r="A2769" s="172"/>
      <c r="B2769" s="172"/>
      <c r="C2769" s="174"/>
      <c r="D2769" s="172"/>
      <c r="E2769" s="172"/>
    </row>
    <row r="2770" hidden="1">
      <c r="A2770" s="172"/>
      <c r="B2770" s="172"/>
      <c r="C2770" s="174"/>
      <c r="D2770" s="172"/>
      <c r="E2770" s="172"/>
    </row>
    <row r="2771" hidden="1">
      <c r="A2771" s="172"/>
      <c r="B2771" s="172"/>
      <c r="C2771" s="174"/>
      <c r="D2771" s="172"/>
      <c r="E2771" s="172"/>
    </row>
    <row r="2772" hidden="1">
      <c r="A2772" s="172"/>
      <c r="B2772" s="172"/>
      <c r="C2772" s="174"/>
      <c r="D2772" s="172"/>
      <c r="E2772" s="172"/>
    </row>
    <row r="2773" hidden="1">
      <c r="A2773" s="172"/>
      <c r="B2773" s="172"/>
      <c r="C2773" s="174"/>
      <c r="D2773" s="172"/>
      <c r="E2773" s="172"/>
    </row>
    <row r="2774" hidden="1">
      <c r="A2774" s="172"/>
      <c r="B2774" s="172"/>
      <c r="C2774" s="174"/>
      <c r="D2774" s="172"/>
      <c r="E2774" s="172"/>
    </row>
    <row r="2775" hidden="1">
      <c r="A2775" s="172"/>
      <c r="B2775" s="172"/>
      <c r="C2775" s="174"/>
      <c r="D2775" s="172"/>
      <c r="E2775" s="172"/>
    </row>
    <row r="2776" hidden="1">
      <c r="A2776" s="172"/>
      <c r="B2776" s="172"/>
      <c r="C2776" s="174"/>
      <c r="D2776" s="172"/>
      <c r="E2776" s="172"/>
    </row>
    <row r="2777" hidden="1">
      <c r="A2777" s="172"/>
      <c r="B2777" s="172"/>
      <c r="C2777" s="174"/>
      <c r="D2777" s="172"/>
      <c r="E2777" s="172"/>
    </row>
    <row r="2778" hidden="1">
      <c r="A2778" s="172"/>
      <c r="B2778" s="172"/>
      <c r="C2778" s="174"/>
      <c r="D2778" s="172"/>
      <c r="E2778" s="172"/>
    </row>
    <row r="2779" hidden="1">
      <c r="A2779" s="172"/>
      <c r="B2779" s="172"/>
      <c r="C2779" s="174"/>
      <c r="D2779" s="172"/>
      <c r="E2779" s="172"/>
    </row>
    <row r="2780" hidden="1">
      <c r="A2780" s="172"/>
      <c r="B2780" s="172"/>
      <c r="C2780" s="174"/>
      <c r="D2780" s="172"/>
      <c r="E2780" s="172"/>
    </row>
    <row r="2781" hidden="1">
      <c r="A2781" s="172"/>
      <c r="B2781" s="172"/>
      <c r="C2781" s="174"/>
      <c r="D2781" s="172"/>
      <c r="E2781" s="172"/>
    </row>
    <row r="2782" hidden="1">
      <c r="A2782" s="172"/>
      <c r="B2782" s="172"/>
      <c r="C2782" s="174"/>
      <c r="D2782" s="172"/>
      <c r="E2782" s="172"/>
    </row>
    <row r="2783" hidden="1">
      <c r="A2783" s="172"/>
      <c r="B2783" s="172"/>
      <c r="C2783" s="174"/>
      <c r="D2783" s="172"/>
      <c r="E2783" s="172"/>
    </row>
    <row r="2784" hidden="1">
      <c r="A2784" s="172"/>
      <c r="B2784" s="172"/>
      <c r="C2784" s="174"/>
      <c r="D2784" s="172"/>
      <c r="E2784" s="172"/>
    </row>
    <row r="2785" hidden="1">
      <c r="A2785" s="172"/>
      <c r="B2785" s="172"/>
      <c r="C2785" s="174"/>
      <c r="D2785" s="172"/>
      <c r="E2785" s="172"/>
    </row>
    <row r="2786" hidden="1">
      <c r="A2786" s="172"/>
      <c r="B2786" s="172"/>
      <c r="C2786" s="174"/>
      <c r="D2786" s="172"/>
      <c r="E2786" s="172"/>
    </row>
    <row r="2787" hidden="1">
      <c r="A2787" s="172"/>
      <c r="B2787" s="172"/>
      <c r="C2787" s="174"/>
      <c r="D2787" s="172"/>
      <c r="E2787" s="172"/>
    </row>
    <row r="2788" hidden="1">
      <c r="A2788" s="172"/>
      <c r="B2788" s="172"/>
      <c r="C2788" s="174"/>
      <c r="D2788" s="172"/>
      <c r="E2788" s="172"/>
    </row>
    <row r="2789" hidden="1">
      <c r="A2789" s="172"/>
      <c r="B2789" s="172"/>
      <c r="C2789" s="174"/>
      <c r="D2789" s="172"/>
      <c r="E2789" s="172"/>
    </row>
    <row r="2790" hidden="1">
      <c r="A2790" s="172"/>
      <c r="B2790" s="172"/>
      <c r="C2790" s="174"/>
      <c r="D2790" s="172"/>
      <c r="E2790" s="172"/>
    </row>
    <row r="2791" hidden="1">
      <c r="A2791" s="172"/>
      <c r="B2791" s="172"/>
      <c r="C2791" s="174"/>
      <c r="D2791" s="172"/>
      <c r="E2791" s="172"/>
    </row>
    <row r="2792" hidden="1">
      <c r="A2792" s="172"/>
      <c r="B2792" s="172"/>
      <c r="C2792" s="174"/>
      <c r="D2792" s="172"/>
      <c r="E2792" s="172"/>
    </row>
    <row r="2793" hidden="1">
      <c r="A2793" s="172"/>
      <c r="B2793" s="172"/>
      <c r="C2793" s="174"/>
      <c r="D2793" s="172"/>
      <c r="E2793" s="172"/>
    </row>
    <row r="2794" hidden="1">
      <c r="A2794" s="172"/>
      <c r="B2794" s="172"/>
      <c r="C2794" s="174"/>
      <c r="D2794" s="172"/>
      <c r="E2794" s="172"/>
    </row>
    <row r="2795" hidden="1">
      <c r="A2795" s="172"/>
      <c r="B2795" s="172"/>
      <c r="C2795" s="174"/>
      <c r="D2795" s="172"/>
      <c r="E2795" s="172"/>
    </row>
    <row r="2796" hidden="1">
      <c r="A2796" s="172"/>
      <c r="B2796" s="172"/>
      <c r="C2796" s="174"/>
      <c r="D2796" s="172"/>
      <c r="E2796" s="172"/>
    </row>
    <row r="2797" hidden="1">
      <c r="A2797" s="172"/>
      <c r="B2797" s="172"/>
      <c r="C2797" s="174"/>
      <c r="D2797" s="172"/>
      <c r="E2797" s="172"/>
    </row>
    <row r="2798" hidden="1">
      <c r="A2798" s="172"/>
      <c r="B2798" s="172"/>
      <c r="C2798" s="174"/>
      <c r="D2798" s="172"/>
      <c r="E2798" s="172"/>
    </row>
    <row r="2799" hidden="1">
      <c r="A2799" s="172"/>
      <c r="B2799" s="172"/>
      <c r="C2799" s="174"/>
      <c r="D2799" s="172"/>
      <c r="E2799" s="172"/>
    </row>
    <row r="2800" hidden="1">
      <c r="A2800" s="172"/>
      <c r="B2800" s="172"/>
      <c r="C2800" s="174"/>
      <c r="D2800" s="172"/>
      <c r="E2800" s="172"/>
    </row>
    <row r="2801" hidden="1">
      <c r="A2801" s="172"/>
      <c r="B2801" s="172"/>
      <c r="C2801" s="174"/>
      <c r="D2801" s="172"/>
      <c r="E2801" s="172"/>
    </row>
    <row r="2802" hidden="1">
      <c r="A2802" s="172"/>
      <c r="B2802" s="172"/>
      <c r="C2802" s="174"/>
      <c r="D2802" s="172"/>
      <c r="E2802" s="172"/>
    </row>
    <row r="2803" hidden="1">
      <c r="A2803" s="172"/>
      <c r="B2803" s="172"/>
      <c r="C2803" s="174"/>
      <c r="D2803" s="172"/>
      <c r="E2803" s="172"/>
    </row>
    <row r="2804" hidden="1">
      <c r="A2804" s="172"/>
      <c r="B2804" s="172"/>
      <c r="C2804" s="174"/>
      <c r="D2804" s="172"/>
      <c r="E2804" s="172"/>
    </row>
    <row r="2805" hidden="1">
      <c r="A2805" s="172"/>
      <c r="B2805" s="172"/>
      <c r="C2805" s="174"/>
      <c r="D2805" s="172"/>
      <c r="E2805" s="172"/>
    </row>
    <row r="2806" hidden="1">
      <c r="A2806" s="172"/>
      <c r="B2806" s="172"/>
      <c r="C2806" s="174"/>
      <c r="D2806" s="172"/>
      <c r="E2806" s="172"/>
    </row>
    <row r="2807" hidden="1">
      <c r="A2807" s="172"/>
      <c r="B2807" s="172"/>
      <c r="C2807" s="174"/>
      <c r="D2807" s="172"/>
      <c r="E2807" s="172"/>
    </row>
    <row r="2808" hidden="1">
      <c r="A2808" s="172"/>
      <c r="B2808" s="172"/>
      <c r="C2808" s="174"/>
      <c r="D2808" s="172"/>
      <c r="E2808" s="172"/>
    </row>
    <row r="2809" hidden="1">
      <c r="A2809" s="172"/>
      <c r="B2809" s="172"/>
      <c r="C2809" s="174"/>
      <c r="D2809" s="172"/>
      <c r="E2809" s="172"/>
    </row>
    <row r="2810" hidden="1">
      <c r="A2810" s="172"/>
      <c r="B2810" s="172"/>
      <c r="C2810" s="174"/>
      <c r="D2810" s="172"/>
      <c r="E2810" s="172"/>
    </row>
    <row r="2811" hidden="1">
      <c r="A2811" s="172"/>
      <c r="B2811" s="172"/>
      <c r="C2811" s="174"/>
      <c r="D2811" s="172"/>
      <c r="E2811" s="172"/>
    </row>
    <row r="2812" hidden="1">
      <c r="A2812" s="172"/>
      <c r="B2812" s="172"/>
      <c r="C2812" s="174"/>
      <c r="D2812" s="172"/>
      <c r="E2812" s="172"/>
    </row>
    <row r="2813" hidden="1">
      <c r="A2813" s="172"/>
      <c r="B2813" s="172"/>
      <c r="C2813" s="174"/>
      <c r="D2813" s="172"/>
      <c r="E2813" s="172"/>
    </row>
    <row r="2814" hidden="1">
      <c r="A2814" s="172"/>
      <c r="B2814" s="172"/>
      <c r="C2814" s="174"/>
      <c r="D2814" s="172"/>
      <c r="E2814" s="172"/>
    </row>
    <row r="2815" hidden="1">
      <c r="A2815" s="172"/>
      <c r="B2815" s="172"/>
      <c r="C2815" s="174"/>
      <c r="D2815" s="172"/>
      <c r="E2815" s="172"/>
    </row>
    <row r="2816" hidden="1">
      <c r="A2816" s="172"/>
      <c r="B2816" s="172"/>
      <c r="C2816" s="174"/>
      <c r="D2816" s="172"/>
      <c r="E2816" s="172"/>
    </row>
    <row r="2817" hidden="1">
      <c r="A2817" s="172"/>
      <c r="B2817" s="172"/>
      <c r="C2817" s="174"/>
      <c r="D2817" s="172"/>
      <c r="E2817" s="172"/>
    </row>
    <row r="2818" hidden="1">
      <c r="A2818" s="172"/>
      <c r="B2818" s="172"/>
      <c r="C2818" s="174"/>
      <c r="D2818" s="172"/>
      <c r="E2818" s="172"/>
    </row>
    <row r="2819" hidden="1">
      <c r="A2819" s="172"/>
      <c r="B2819" s="172"/>
      <c r="C2819" s="174"/>
      <c r="D2819" s="172"/>
      <c r="E2819" s="172"/>
    </row>
    <row r="2820" hidden="1">
      <c r="A2820" s="172"/>
      <c r="B2820" s="172"/>
      <c r="C2820" s="174"/>
      <c r="D2820" s="172"/>
      <c r="E2820" s="172"/>
    </row>
    <row r="2821" hidden="1">
      <c r="A2821" s="172"/>
      <c r="B2821" s="172"/>
      <c r="C2821" s="174"/>
      <c r="D2821" s="172"/>
      <c r="E2821" s="172"/>
    </row>
    <row r="2822" hidden="1">
      <c r="A2822" s="172"/>
      <c r="B2822" s="172"/>
      <c r="C2822" s="174"/>
      <c r="D2822" s="172"/>
      <c r="E2822" s="172"/>
    </row>
    <row r="2823" hidden="1">
      <c r="A2823" s="172"/>
      <c r="B2823" s="172"/>
      <c r="C2823" s="174"/>
      <c r="D2823" s="172"/>
      <c r="E2823" s="172"/>
    </row>
    <row r="2824" hidden="1">
      <c r="A2824" s="172"/>
      <c r="B2824" s="172"/>
      <c r="C2824" s="174"/>
      <c r="D2824" s="172"/>
      <c r="E2824" s="172"/>
    </row>
    <row r="2825" hidden="1">
      <c r="A2825" s="172"/>
      <c r="B2825" s="172"/>
      <c r="C2825" s="174"/>
      <c r="D2825" s="172"/>
      <c r="E2825" s="172"/>
    </row>
    <row r="2826" hidden="1">
      <c r="A2826" s="172"/>
      <c r="B2826" s="172"/>
      <c r="C2826" s="174"/>
      <c r="D2826" s="172"/>
      <c r="E2826" s="172"/>
    </row>
    <row r="2827" hidden="1">
      <c r="A2827" s="172"/>
      <c r="B2827" s="172"/>
      <c r="C2827" s="174"/>
      <c r="D2827" s="172"/>
      <c r="E2827" s="172"/>
    </row>
    <row r="2828" hidden="1">
      <c r="A2828" s="172"/>
      <c r="B2828" s="172"/>
      <c r="C2828" s="174"/>
      <c r="D2828" s="172"/>
      <c r="E2828" s="172"/>
    </row>
    <row r="2829" hidden="1">
      <c r="A2829" s="172"/>
      <c r="B2829" s="172"/>
      <c r="C2829" s="174"/>
      <c r="D2829" s="172"/>
      <c r="E2829" s="172"/>
    </row>
    <row r="2830" hidden="1">
      <c r="A2830" s="172"/>
      <c r="B2830" s="172"/>
      <c r="C2830" s="174"/>
      <c r="D2830" s="172"/>
      <c r="E2830" s="172"/>
    </row>
    <row r="2831" hidden="1">
      <c r="A2831" s="172"/>
      <c r="B2831" s="172"/>
      <c r="C2831" s="174"/>
      <c r="D2831" s="172"/>
      <c r="E2831" s="172"/>
    </row>
    <row r="2832" hidden="1">
      <c r="A2832" s="172"/>
      <c r="B2832" s="172"/>
      <c r="C2832" s="174"/>
      <c r="D2832" s="172"/>
      <c r="E2832" s="172"/>
    </row>
    <row r="2833" hidden="1">
      <c r="A2833" s="172"/>
      <c r="B2833" s="172"/>
      <c r="C2833" s="174"/>
      <c r="D2833" s="172"/>
      <c r="E2833" s="172"/>
    </row>
    <row r="2834" hidden="1">
      <c r="A2834" s="172"/>
      <c r="B2834" s="172"/>
      <c r="C2834" s="174"/>
      <c r="D2834" s="172"/>
      <c r="E2834" s="172"/>
    </row>
    <row r="2835" hidden="1">
      <c r="A2835" s="172"/>
      <c r="B2835" s="172"/>
      <c r="C2835" s="174"/>
      <c r="D2835" s="172"/>
      <c r="E2835" s="172"/>
    </row>
    <row r="2836" hidden="1">
      <c r="A2836" s="172"/>
      <c r="B2836" s="172"/>
      <c r="C2836" s="174"/>
      <c r="D2836" s="172"/>
      <c r="E2836" s="172"/>
    </row>
    <row r="2837" hidden="1">
      <c r="A2837" s="172"/>
      <c r="B2837" s="172"/>
      <c r="C2837" s="174"/>
      <c r="D2837" s="172"/>
      <c r="E2837" s="172"/>
    </row>
    <row r="2838" hidden="1">
      <c r="A2838" s="172"/>
      <c r="B2838" s="172"/>
      <c r="C2838" s="174"/>
      <c r="D2838" s="172"/>
      <c r="E2838" s="172"/>
    </row>
    <row r="2839" hidden="1">
      <c r="A2839" s="172"/>
      <c r="B2839" s="172"/>
      <c r="C2839" s="174"/>
      <c r="D2839" s="172"/>
      <c r="E2839" s="172"/>
    </row>
    <row r="2840" hidden="1">
      <c r="A2840" s="172"/>
      <c r="B2840" s="172"/>
      <c r="C2840" s="174"/>
      <c r="D2840" s="172"/>
      <c r="E2840" s="172"/>
    </row>
    <row r="2841" hidden="1">
      <c r="A2841" s="172"/>
      <c r="B2841" s="172"/>
      <c r="C2841" s="174"/>
      <c r="D2841" s="172"/>
      <c r="E2841" s="172"/>
    </row>
    <row r="2842" hidden="1">
      <c r="A2842" s="172"/>
      <c r="B2842" s="172"/>
      <c r="C2842" s="174"/>
      <c r="D2842" s="172"/>
      <c r="E2842" s="172"/>
    </row>
    <row r="2843" hidden="1">
      <c r="A2843" s="172"/>
      <c r="B2843" s="172"/>
      <c r="C2843" s="174"/>
      <c r="D2843" s="172"/>
      <c r="E2843" s="172"/>
    </row>
    <row r="2844" hidden="1">
      <c r="A2844" s="172"/>
      <c r="B2844" s="172"/>
      <c r="C2844" s="174"/>
      <c r="D2844" s="172"/>
      <c r="E2844" s="172"/>
    </row>
    <row r="2845" hidden="1">
      <c r="A2845" s="172"/>
      <c r="B2845" s="172"/>
      <c r="C2845" s="174"/>
      <c r="D2845" s="172"/>
      <c r="E2845" s="172"/>
    </row>
    <row r="2846" hidden="1">
      <c r="A2846" s="172"/>
      <c r="B2846" s="172"/>
      <c r="C2846" s="174"/>
      <c r="D2846" s="172"/>
      <c r="E2846" s="172"/>
    </row>
    <row r="2847" hidden="1">
      <c r="A2847" s="172"/>
      <c r="B2847" s="172"/>
      <c r="C2847" s="174"/>
      <c r="D2847" s="172"/>
      <c r="E2847" s="172"/>
    </row>
    <row r="2848" hidden="1">
      <c r="A2848" s="172"/>
      <c r="B2848" s="172"/>
      <c r="C2848" s="174"/>
      <c r="D2848" s="172"/>
      <c r="E2848" s="172"/>
    </row>
    <row r="2849" hidden="1">
      <c r="A2849" s="172"/>
      <c r="B2849" s="172"/>
      <c r="C2849" s="174"/>
      <c r="D2849" s="172"/>
      <c r="E2849" s="172"/>
    </row>
    <row r="2850" hidden="1">
      <c r="A2850" s="172"/>
      <c r="B2850" s="172"/>
      <c r="C2850" s="174"/>
      <c r="D2850" s="172"/>
      <c r="E2850" s="172"/>
    </row>
    <row r="2851" hidden="1">
      <c r="A2851" s="172"/>
      <c r="B2851" s="172"/>
      <c r="C2851" s="174"/>
      <c r="D2851" s="172"/>
      <c r="E2851" s="172"/>
    </row>
    <row r="2852" hidden="1">
      <c r="A2852" s="172"/>
      <c r="B2852" s="172"/>
      <c r="C2852" s="174"/>
      <c r="D2852" s="172"/>
      <c r="E2852" s="172"/>
    </row>
    <row r="2853" hidden="1">
      <c r="A2853" s="172"/>
      <c r="B2853" s="172"/>
      <c r="C2853" s="174"/>
      <c r="D2853" s="172"/>
      <c r="E2853" s="172"/>
    </row>
    <row r="2854" hidden="1">
      <c r="A2854" s="172"/>
      <c r="B2854" s="172"/>
      <c r="C2854" s="174"/>
      <c r="D2854" s="172"/>
      <c r="E2854" s="172"/>
    </row>
    <row r="2855" hidden="1">
      <c r="A2855" s="172"/>
      <c r="B2855" s="172"/>
      <c r="C2855" s="174"/>
      <c r="D2855" s="172"/>
      <c r="E2855" s="172"/>
    </row>
    <row r="2856" hidden="1">
      <c r="A2856" s="172"/>
      <c r="B2856" s="172"/>
      <c r="C2856" s="174"/>
      <c r="D2856" s="172"/>
      <c r="E2856" s="172"/>
    </row>
    <row r="2857" hidden="1">
      <c r="A2857" s="172"/>
      <c r="B2857" s="172"/>
      <c r="C2857" s="174"/>
      <c r="D2857" s="172"/>
      <c r="E2857" s="172"/>
    </row>
    <row r="2858" hidden="1">
      <c r="A2858" s="172"/>
      <c r="B2858" s="172"/>
      <c r="C2858" s="174"/>
      <c r="D2858" s="172"/>
      <c r="E2858" s="172"/>
    </row>
    <row r="2859" hidden="1">
      <c r="A2859" s="172"/>
      <c r="B2859" s="172"/>
      <c r="C2859" s="174"/>
      <c r="D2859" s="172"/>
      <c r="E2859" s="172"/>
    </row>
    <row r="2860" hidden="1">
      <c r="A2860" s="172"/>
      <c r="B2860" s="172"/>
      <c r="C2860" s="174"/>
      <c r="D2860" s="172"/>
      <c r="E2860" s="172"/>
    </row>
    <row r="2861" hidden="1">
      <c r="A2861" s="172"/>
      <c r="B2861" s="172"/>
      <c r="C2861" s="174"/>
      <c r="D2861" s="172"/>
      <c r="E2861" s="172"/>
    </row>
    <row r="2862" hidden="1">
      <c r="A2862" s="172"/>
      <c r="B2862" s="172"/>
      <c r="C2862" s="174"/>
      <c r="D2862" s="172"/>
      <c r="E2862" s="172"/>
    </row>
    <row r="2863" hidden="1">
      <c r="A2863" s="172"/>
      <c r="B2863" s="172"/>
      <c r="C2863" s="174"/>
      <c r="D2863" s="172"/>
      <c r="E2863" s="172"/>
    </row>
    <row r="2864" hidden="1">
      <c r="A2864" s="172"/>
      <c r="B2864" s="172"/>
      <c r="C2864" s="174"/>
      <c r="D2864" s="172"/>
      <c r="E2864" s="172"/>
    </row>
    <row r="2865" hidden="1">
      <c r="A2865" s="172"/>
      <c r="B2865" s="172"/>
      <c r="C2865" s="174"/>
      <c r="D2865" s="172"/>
      <c r="E2865" s="172"/>
    </row>
    <row r="2866" hidden="1">
      <c r="A2866" s="172"/>
      <c r="B2866" s="172"/>
      <c r="C2866" s="174"/>
      <c r="D2866" s="172"/>
      <c r="E2866" s="172"/>
    </row>
    <row r="2867" hidden="1">
      <c r="A2867" s="172"/>
      <c r="B2867" s="172"/>
      <c r="C2867" s="174"/>
      <c r="D2867" s="172"/>
      <c r="E2867" s="172"/>
    </row>
    <row r="2868" hidden="1">
      <c r="A2868" s="172"/>
      <c r="B2868" s="172"/>
      <c r="C2868" s="174"/>
      <c r="D2868" s="172"/>
      <c r="E2868" s="172"/>
    </row>
    <row r="2869" hidden="1">
      <c r="A2869" s="172"/>
      <c r="B2869" s="172"/>
      <c r="C2869" s="174"/>
      <c r="D2869" s="172"/>
      <c r="E2869" s="172"/>
    </row>
    <row r="2870" hidden="1">
      <c r="A2870" s="172"/>
      <c r="B2870" s="172"/>
      <c r="C2870" s="174"/>
      <c r="D2870" s="172"/>
      <c r="E2870" s="172"/>
    </row>
    <row r="2871" hidden="1">
      <c r="A2871" s="172"/>
      <c r="B2871" s="172"/>
      <c r="C2871" s="174"/>
      <c r="D2871" s="172"/>
      <c r="E2871" s="172"/>
    </row>
    <row r="2872" hidden="1">
      <c r="A2872" s="172"/>
      <c r="B2872" s="172"/>
      <c r="C2872" s="174"/>
      <c r="D2872" s="172"/>
      <c r="E2872" s="172"/>
    </row>
    <row r="2873" hidden="1">
      <c r="A2873" s="172"/>
      <c r="B2873" s="172"/>
      <c r="C2873" s="174"/>
      <c r="D2873" s="172"/>
      <c r="E2873" s="172"/>
    </row>
    <row r="2874" hidden="1">
      <c r="A2874" s="172"/>
      <c r="B2874" s="172"/>
      <c r="C2874" s="174"/>
      <c r="D2874" s="172"/>
      <c r="E2874" s="172"/>
    </row>
    <row r="2875" hidden="1">
      <c r="A2875" s="172"/>
      <c r="B2875" s="172"/>
      <c r="C2875" s="174"/>
      <c r="D2875" s="172"/>
      <c r="E2875" s="172"/>
    </row>
    <row r="2876" hidden="1">
      <c r="A2876" s="172"/>
      <c r="B2876" s="172"/>
      <c r="C2876" s="174"/>
      <c r="D2876" s="172"/>
      <c r="E2876" s="172"/>
    </row>
    <row r="2877" hidden="1">
      <c r="A2877" s="172"/>
      <c r="B2877" s="172"/>
      <c r="C2877" s="174"/>
      <c r="D2877" s="172"/>
      <c r="E2877" s="172"/>
    </row>
    <row r="2878" hidden="1">
      <c r="A2878" s="172"/>
      <c r="B2878" s="172"/>
      <c r="C2878" s="174"/>
      <c r="D2878" s="172"/>
      <c r="E2878" s="172"/>
    </row>
    <row r="2879" hidden="1">
      <c r="A2879" s="172"/>
      <c r="B2879" s="172"/>
      <c r="C2879" s="174"/>
      <c r="D2879" s="172"/>
      <c r="E2879" s="172"/>
    </row>
    <row r="2880" hidden="1">
      <c r="A2880" s="172"/>
      <c r="B2880" s="172"/>
      <c r="C2880" s="174"/>
      <c r="D2880" s="172"/>
      <c r="E2880" s="172"/>
    </row>
    <row r="2881" hidden="1">
      <c r="A2881" s="172"/>
      <c r="B2881" s="172"/>
      <c r="C2881" s="174"/>
      <c r="D2881" s="172"/>
      <c r="E2881" s="172"/>
    </row>
    <row r="2882" hidden="1">
      <c r="A2882" s="172"/>
      <c r="B2882" s="172"/>
      <c r="C2882" s="174"/>
      <c r="D2882" s="172"/>
      <c r="E2882" s="172"/>
    </row>
    <row r="2883" hidden="1">
      <c r="A2883" s="172"/>
      <c r="B2883" s="172"/>
      <c r="C2883" s="174"/>
      <c r="D2883" s="172"/>
      <c r="E2883" s="172"/>
    </row>
    <row r="2884" hidden="1">
      <c r="A2884" s="172"/>
      <c r="B2884" s="172"/>
      <c r="C2884" s="174"/>
      <c r="D2884" s="172"/>
      <c r="E2884" s="172"/>
    </row>
    <row r="2885" hidden="1">
      <c r="A2885" s="172"/>
      <c r="B2885" s="172"/>
      <c r="C2885" s="174"/>
      <c r="D2885" s="172"/>
      <c r="E2885" s="172"/>
    </row>
    <row r="2886" hidden="1">
      <c r="A2886" s="172"/>
      <c r="B2886" s="172"/>
      <c r="C2886" s="174"/>
      <c r="D2886" s="172"/>
      <c r="E2886" s="172"/>
    </row>
    <row r="2887" hidden="1">
      <c r="A2887" s="172"/>
      <c r="B2887" s="172"/>
      <c r="C2887" s="174"/>
      <c r="D2887" s="172"/>
      <c r="E2887" s="172"/>
    </row>
    <row r="2888" hidden="1">
      <c r="A2888" s="172"/>
      <c r="B2888" s="172"/>
      <c r="C2888" s="174"/>
      <c r="D2888" s="172"/>
      <c r="E2888" s="172"/>
    </row>
    <row r="2889" hidden="1">
      <c r="A2889" s="172"/>
      <c r="B2889" s="172"/>
      <c r="C2889" s="174"/>
      <c r="D2889" s="172"/>
      <c r="E2889" s="172"/>
    </row>
    <row r="2890" hidden="1">
      <c r="A2890" s="172"/>
      <c r="B2890" s="172"/>
      <c r="C2890" s="174"/>
      <c r="D2890" s="172"/>
      <c r="E2890" s="172"/>
    </row>
    <row r="2891" hidden="1">
      <c r="A2891" s="172"/>
      <c r="B2891" s="172"/>
      <c r="C2891" s="174"/>
      <c r="D2891" s="172"/>
      <c r="E2891" s="172"/>
    </row>
    <row r="2892" hidden="1">
      <c r="A2892" s="172"/>
      <c r="B2892" s="172"/>
      <c r="C2892" s="174"/>
      <c r="D2892" s="172"/>
      <c r="E2892" s="172"/>
    </row>
    <row r="2893" hidden="1">
      <c r="A2893" s="172"/>
      <c r="B2893" s="172"/>
      <c r="C2893" s="174"/>
      <c r="D2893" s="172"/>
      <c r="E2893" s="172"/>
    </row>
    <row r="2894" hidden="1">
      <c r="A2894" s="172"/>
      <c r="B2894" s="172"/>
      <c r="C2894" s="174"/>
      <c r="D2894" s="172"/>
      <c r="E2894" s="172"/>
    </row>
    <row r="2895" hidden="1">
      <c r="A2895" s="172"/>
      <c r="B2895" s="172"/>
      <c r="C2895" s="174"/>
      <c r="D2895" s="172"/>
      <c r="E2895" s="172"/>
    </row>
    <row r="2896" hidden="1">
      <c r="A2896" s="172"/>
      <c r="B2896" s="172"/>
      <c r="C2896" s="174"/>
      <c r="D2896" s="172"/>
      <c r="E2896" s="172"/>
    </row>
    <row r="2897" hidden="1">
      <c r="A2897" s="172"/>
      <c r="B2897" s="172"/>
      <c r="C2897" s="174"/>
      <c r="D2897" s="172"/>
      <c r="E2897" s="172"/>
    </row>
    <row r="2898" hidden="1">
      <c r="A2898" s="172"/>
      <c r="B2898" s="172"/>
      <c r="C2898" s="174"/>
      <c r="D2898" s="172"/>
      <c r="E2898" s="172"/>
    </row>
    <row r="2899" hidden="1">
      <c r="A2899" s="172"/>
      <c r="B2899" s="172"/>
      <c r="C2899" s="174"/>
      <c r="D2899" s="172"/>
      <c r="E2899" s="172"/>
    </row>
    <row r="2900" hidden="1">
      <c r="A2900" s="172"/>
      <c r="B2900" s="172"/>
      <c r="C2900" s="174"/>
      <c r="D2900" s="172"/>
      <c r="E2900" s="172"/>
    </row>
    <row r="2901" hidden="1">
      <c r="A2901" s="172"/>
      <c r="B2901" s="172"/>
      <c r="C2901" s="174"/>
      <c r="D2901" s="172"/>
      <c r="E2901" s="172"/>
    </row>
    <row r="2902" hidden="1">
      <c r="A2902" s="172"/>
      <c r="B2902" s="172"/>
      <c r="C2902" s="174"/>
      <c r="D2902" s="172"/>
      <c r="E2902" s="172"/>
    </row>
    <row r="2903" hidden="1">
      <c r="A2903" s="172"/>
      <c r="B2903" s="172"/>
      <c r="C2903" s="174"/>
      <c r="D2903" s="172"/>
      <c r="E2903" s="172"/>
    </row>
    <row r="2904" hidden="1">
      <c r="A2904" s="172"/>
      <c r="B2904" s="172"/>
      <c r="C2904" s="174"/>
      <c r="D2904" s="172"/>
      <c r="E2904" s="172"/>
    </row>
    <row r="2905" hidden="1">
      <c r="A2905" s="172"/>
      <c r="B2905" s="172"/>
      <c r="C2905" s="174"/>
      <c r="D2905" s="172"/>
      <c r="E2905" s="172"/>
    </row>
    <row r="2906" hidden="1">
      <c r="A2906" s="172"/>
      <c r="B2906" s="172"/>
      <c r="C2906" s="174"/>
      <c r="D2906" s="172"/>
      <c r="E2906" s="172"/>
    </row>
    <row r="2907" hidden="1">
      <c r="A2907" s="172"/>
      <c r="B2907" s="172"/>
      <c r="C2907" s="174"/>
      <c r="D2907" s="172"/>
      <c r="E2907" s="172"/>
    </row>
    <row r="2908" hidden="1">
      <c r="A2908" s="172"/>
      <c r="B2908" s="172"/>
      <c r="C2908" s="174"/>
      <c r="D2908" s="172"/>
      <c r="E2908" s="172"/>
    </row>
    <row r="2909" hidden="1">
      <c r="A2909" s="172"/>
      <c r="B2909" s="172"/>
      <c r="C2909" s="174"/>
      <c r="D2909" s="172"/>
      <c r="E2909" s="172"/>
    </row>
    <row r="2910" hidden="1">
      <c r="A2910" s="172"/>
      <c r="B2910" s="172"/>
      <c r="C2910" s="174"/>
      <c r="D2910" s="172"/>
      <c r="E2910" s="172"/>
    </row>
    <row r="2911" hidden="1">
      <c r="A2911" s="172"/>
      <c r="B2911" s="172"/>
      <c r="C2911" s="174"/>
      <c r="D2911" s="172"/>
      <c r="E2911" s="172"/>
    </row>
    <row r="2912" hidden="1">
      <c r="A2912" s="172"/>
      <c r="B2912" s="172"/>
      <c r="C2912" s="174"/>
      <c r="D2912" s="172"/>
      <c r="E2912" s="172"/>
    </row>
    <row r="2913" hidden="1">
      <c r="A2913" s="172"/>
      <c r="B2913" s="172"/>
      <c r="C2913" s="174"/>
      <c r="D2913" s="172"/>
      <c r="E2913" s="172"/>
    </row>
    <row r="2914" hidden="1">
      <c r="A2914" s="172"/>
      <c r="B2914" s="172"/>
      <c r="C2914" s="174"/>
      <c r="D2914" s="172"/>
      <c r="E2914" s="172"/>
    </row>
    <row r="2915" hidden="1">
      <c r="A2915" s="172"/>
      <c r="B2915" s="172"/>
      <c r="C2915" s="174"/>
      <c r="D2915" s="172"/>
      <c r="E2915" s="172"/>
    </row>
    <row r="2916" hidden="1">
      <c r="A2916" s="172"/>
      <c r="B2916" s="172"/>
      <c r="C2916" s="174"/>
      <c r="D2916" s="172"/>
      <c r="E2916" s="172"/>
    </row>
    <row r="2917" hidden="1">
      <c r="A2917" s="172"/>
      <c r="B2917" s="172"/>
      <c r="C2917" s="174"/>
      <c r="D2917" s="172"/>
      <c r="E2917" s="172"/>
    </row>
    <row r="2918" hidden="1">
      <c r="A2918" s="172"/>
      <c r="B2918" s="172"/>
      <c r="C2918" s="174"/>
      <c r="D2918" s="172"/>
      <c r="E2918" s="172"/>
    </row>
    <row r="2919" hidden="1">
      <c r="A2919" s="172"/>
      <c r="B2919" s="172"/>
      <c r="C2919" s="174"/>
      <c r="D2919" s="172"/>
      <c r="E2919" s="172"/>
    </row>
    <row r="2920" hidden="1">
      <c r="A2920" s="172"/>
      <c r="B2920" s="172"/>
      <c r="C2920" s="174"/>
      <c r="D2920" s="172"/>
      <c r="E2920" s="172"/>
    </row>
    <row r="2921" hidden="1">
      <c r="A2921" s="172"/>
      <c r="B2921" s="172"/>
      <c r="C2921" s="174"/>
      <c r="D2921" s="172"/>
      <c r="E2921" s="172"/>
    </row>
    <row r="2922" hidden="1">
      <c r="A2922" s="172"/>
      <c r="B2922" s="172"/>
      <c r="C2922" s="174"/>
      <c r="D2922" s="172"/>
      <c r="E2922" s="172"/>
    </row>
    <row r="2923" hidden="1">
      <c r="A2923" s="172"/>
      <c r="B2923" s="172"/>
      <c r="C2923" s="174"/>
      <c r="D2923" s="172"/>
      <c r="E2923" s="172"/>
    </row>
    <row r="2924" hidden="1">
      <c r="A2924" s="172"/>
      <c r="B2924" s="172"/>
      <c r="C2924" s="174"/>
      <c r="D2924" s="172"/>
      <c r="E2924" s="172"/>
    </row>
    <row r="2925" hidden="1">
      <c r="A2925" s="172"/>
      <c r="B2925" s="172"/>
      <c r="C2925" s="174"/>
      <c r="D2925" s="172"/>
      <c r="E2925" s="172"/>
    </row>
    <row r="2926" hidden="1">
      <c r="A2926" s="172"/>
      <c r="B2926" s="172"/>
      <c r="C2926" s="174"/>
      <c r="D2926" s="172"/>
      <c r="E2926" s="172"/>
    </row>
    <row r="2927" hidden="1">
      <c r="A2927" s="172"/>
      <c r="B2927" s="172"/>
      <c r="C2927" s="174"/>
      <c r="D2927" s="172"/>
      <c r="E2927" s="172"/>
    </row>
    <row r="2928" hidden="1">
      <c r="A2928" s="172"/>
      <c r="B2928" s="172"/>
      <c r="C2928" s="174"/>
      <c r="D2928" s="172"/>
      <c r="E2928" s="172"/>
    </row>
    <row r="2929" hidden="1">
      <c r="A2929" s="172"/>
      <c r="B2929" s="172"/>
      <c r="C2929" s="174"/>
      <c r="D2929" s="172"/>
      <c r="E2929" s="172"/>
    </row>
    <row r="2930" hidden="1">
      <c r="A2930" s="172"/>
      <c r="B2930" s="172"/>
      <c r="C2930" s="174"/>
      <c r="D2930" s="172"/>
      <c r="E2930" s="172"/>
    </row>
    <row r="2931" hidden="1">
      <c r="A2931" s="172"/>
      <c r="B2931" s="172"/>
      <c r="C2931" s="174"/>
      <c r="D2931" s="172"/>
      <c r="E2931" s="172"/>
    </row>
    <row r="2932" hidden="1">
      <c r="A2932" s="172"/>
      <c r="B2932" s="172"/>
      <c r="C2932" s="174"/>
      <c r="D2932" s="172"/>
      <c r="E2932" s="172"/>
    </row>
    <row r="2933" hidden="1">
      <c r="A2933" s="172"/>
      <c r="B2933" s="172"/>
      <c r="C2933" s="174"/>
      <c r="D2933" s="172"/>
      <c r="E2933" s="172"/>
    </row>
    <row r="2934" hidden="1">
      <c r="A2934" s="172"/>
      <c r="B2934" s="172"/>
      <c r="C2934" s="174"/>
      <c r="D2934" s="172"/>
      <c r="E2934" s="172"/>
    </row>
    <row r="2935" hidden="1">
      <c r="A2935" s="172"/>
      <c r="B2935" s="172"/>
      <c r="C2935" s="174"/>
      <c r="D2935" s="172"/>
      <c r="E2935" s="172"/>
    </row>
    <row r="2936" hidden="1">
      <c r="A2936" s="172"/>
      <c r="B2936" s="172"/>
      <c r="C2936" s="174"/>
      <c r="D2936" s="172"/>
      <c r="E2936" s="172"/>
    </row>
    <row r="2937" hidden="1">
      <c r="A2937" s="172"/>
      <c r="B2937" s="172"/>
      <c r="C2937" s="174"/>
      <c r="D2937" s="172"/>
      <c r="E2937" s="172"/>
    </row>
    <row r="2938" hidden="1">
      <c r="A2938" s="172"/>
      <c r="B2938" s="172"/>
      <c r="C2938" s="174"/>
      <c r="D2938" s="172"/>
      <c r="E2938" s="172"/>
    </row>
    <row r="2939" hidden="1">
      <c r="A2939" s="172"/>
      <c r="B2939" s="172"/>
      <c r="C2939" s="174"/>
      <c r="D2939" s="172"/>
      <c r="E2939" s="172"/>
    </row>
    <row r="2940" hidden="1">
      <c r="A2940" s="172"/>
      <c r="B2940" s="172"/>
      <c r="C2940" s="174"/>
      <c r="D2940" s="172"/>
      <c r="E2940" s="172"/>
    </row>
    <row r="2941" hidden="1">
      <c r="A2941" s="172"/>
      <c r="B2941" s="172"/>
      <c r="C2941" s="174"/>
      <c r="D2941" s="172"/>
      <c r="E2941" s="172"/>
    </row>
    <row r="2942" hidden="1">
      <c r="A2942" s="172"/>
      <c r="B2942" s="172"/>
      <c r="C2942" s="174"/>
      <c r="D2942" s="172"/>
      <c r="E2942" s="172"/>
    </row>
    <row r="2943" hidden="1">
      <c r="A2943" s="172"/>
      <c r="B2943" s="172"/>
      <c r="C2943" s="174"/>
      <c r="D2943" s="172"/>
      <c r="E2943" s="172"/>
    </row>
    <row r="2944" hidden="1">
      <c r="A2944" s="172"/>
      <c r="B2944" s="172"/>
      <c r="C2944" s="174"/>
      <c r="D2944" s="172"/>
      <c r="E2944" s="172"/>
    </row>
    <row r="2945" hidden="1">
      <c r="A2945" s="172"/>
      <c r="B2945" s="172"/>
      <c r="C2945" s="174"/>
      <c r="D2945" s="172"/>
      <c r="E2945" s="172"/>
    </row>
    <row r="2946" hidden="1">
      <c r="A2946" s="172"/>
      <c r="B2946" s="172"/>
      <c r="C2946" s="174"/>
      <c r="D2946" s="172"/>
      <c r="E2946" s="172"/>
    </row>
    <row r="2947" hidden="1">
      <c r="A2947" s="172"/>
      <c r="B2947" s="172"/>
      <c r="C2947" s="174"/>
      <c r="D2947" s="172"/>
      <c r="E2947" s="172"/>
    </row>
    <row r="2948" hidden="1">
      <c r="A2948" s="172"/>
      <c r="B2948" s="172"/>
      <c r="C2948" s="174"/>
      <c r="D2948" s="172"/>
      <c r="E2948" s="172"/>
    </row>
    <row r="2949" hidden="1">
      <c r="A2949" s="172"/>
      <c r="B2949" s="172"/>
      <c r="C2949" s="174"/>
      <c r="D2949" s="172"/>
      <c r="E2949" s="172"/>
    </row>
    <row r="2950" hidden="1">
      <c r="A2950" s="172"/>
      <c r="B2950" s="172"/>
      <c r="C2950" s="174"/>
      <c r="D2950" s="172"/>
      <c r="E2950" s="172"/>
    </row>
    <row r="2951" hidden="1">
      <c r="A2951" s="172"/>
      <c r="B2951" s="172"/>
      <c r="C2951" s="174"/>
      <c r="D2951" s="172"/>
      <c r="E2951" s="172"/>
    </row>
    <row r="2952" hidden="1">
      <c r="A2952" s="172"/>
      <c r="B2952" s="172"/>
      <c r="C2952" s="174"/>
      <c r="D2952" s="172"/>
      <c r="E2952" s="172"/>
    </row>
    <row r="2953" hidden="1">
      <c r="A2953" s="172"/>
      <c r="B2953" s="172"/>
      <c r="C2953" s="174"/>
      <c r="D2953" s="172"/>
      <c r="E2953" s="172"/>
    </row>
    <row r="2954" hidden="1">
      <c r="A2954" s="172"/>
      <c r="B2954" s="172"/>
      <c r="C2954" s="174"/>
      <c r="D2954" s="172"/>
      <c r="E2954" s="172"/>
    </row>
    <row r="2955" hidden="1">
      <c r="A2955" s="172"/>
      <c r="B2955" s="172"/>
      <c r="C2955" s="174"/>
      <c r="D2955" s="172"/>
      <c r="E2955" s="172"/>
    </row>
    <row r="2956" hidden="1">
      <c r="A2956" s="172"/>
      <c r="B2956" s="172"/>
      <c r="C2956" s="174"/>
      <c r="D2956" s="172"/>
      <c r="E2956" s="172"/>
    </row>
    <row r="2957" hidden="1">
      <c r="A2957" s="172"/>
      <c r="B2957" s="172"/>
      <c r="C2957" s="174"/>
      <c r="D2957" s="172"/>
      <c r="E2957" s="172"/>
    </row>
    <row r="2958" hidden="1">
      <c r="A2958" s="172"/>
      <c r="B2958" s="172"/>
      <c r="C2958" s="174"/>
      <c r="D2958" s="172"/>
      <c r="E2958" s="172"/>
    </row>
    <row r="2959" hidden="1">
      <c r="A2959" s="172"/>
      <c r="B2959" s="172"/>
      <c r="C2959" s="174"/>
      <c r="D2959" s="172"/>
      <c r="E2959" s="172"/>
    </row>
    <row r="2960" hidden="1">
      <c r="A2960" s="172"/>
      <c r="B2960" s="172"/>
      <c r="C2960" s="174"/>
      <c r="D2960" s="172"/>
      <c r="E2960" s="172"/>
    </row>
    <row r="2961" hidden="1">
      <c r="A2961" s="172"/>
      <c r="B2961" s="172"/>
      <c r="C2961" s="174"/>
      <c r="D2961" s="172"/>
      <c r="E2961" s="172"/>
    </row>
    <row r="2962" hidden="1">
      <c r="A2962" s="172"/>
      <c r="B2962" s="172"/>
      <c r="C2962" s="174"/>
      <c r="D2962" s="172"/>
      <c r="E2962" s="172"/>
    </row>
    <row r="2963" hidden="1">
      <c r="A2963" s="172"/>
      <c r="B2963" s="172"/>
      <c r="C2963" s="174"/>
      <c r="D2963" s="172"/>
      <c r="E2963" s="172"/>
    </row>
    <row r="2964" hidden="1">
      <c r="A2964" s="172"/>
      <c r="B2964" s="172"/>
      <c r="C2964" s="174"/>
      <c r="D2964" s="172"/>
      <c r="E2964" s="172"/>
    </row>
    <row r="2965" hidden="1">
      <c r="A2965" s="172"/>
      <c r="B2965" s="172"/>
      <c r="C2965" s="174"/>
      <c r="D2965" s="172"/>
      <c r="E2965" s="172"/>
    </row>
    <row r="2966" hidden="1">
      <c r="A2966" s="172"/>
      <c r="B2966" s="172"/>
      <c r="C2966" s="174"/>
      <c r="D2966" s="172"/>
      <c r="E2966" s="172"/>
    </row>
    <row r="2967" hidden="1">
      <c r="A2967" s="172"/>
      <c r="B2967" s="172"/>
      <c r="C2967" s="174"/>
      <c r="D2967" s="172"/>
      <c r="E2967" s="172"/>
    </row>
    <row r="2968" hidden="1">
      <c r="A2968" s="172"/>
      <c r="B2968" s="172"/>
      <c r="C2968" s="174"/>
      <c r="D2968" s="172"/>
      <c r="E2968" s="172"/>
    </row>
    <row r="2969" hidden="1">
      <c r="A2969" s="172"/>
      <c r="B2969" s="172"/>
      <c r="C2969" s="174"/>
      <c r="D2969" s="172"/>
      <c r="E2969" s="172"/>
    </row>
    <row r="2970" hidden="1">
      <c r="A2970" s="172"/>
      <c r="B2970" s="172"/>
      <c r="C2970" s="174"/>
      <c r="D2970" s="172"/>
      <c r="E2970" s="172"/>
    </row>
    <row r="2971" hidden="1">
      <c r="A2971" s="172"/>
      <c r="B2971" s="172"/>
      <c r="C2971" s="174"/>
      <c r="D2971" s="172"/>
      <c r="E2971" s="172"/>
    </row>
    <row r="2972" hidden="1">
      <c r="A2972" s="172"/>
      <c r="B2972" s="172"/>
      <c r="C2972" s="174"/>
      <c r="D2972" s="172"/>
      <c r="E2972" s="172"/>
    </row>
    <row r="2973" hidden="1">
      <c r="A2973" s="172"/>
      <c r="B2973" s="172"/>
      <c r="C2973" s="174"/>
      <c r="D2973" s="172"/>
      <c r="E2973" s="172"/>
    </row>
    <row r="2974" hidden="1">
      <c r="A2974" s="172"/>
      <c r="B2974" s="172"/>
      <c r="C2974" s="174"/>
      <c r="D2974" s="172"/>
      <c r="E2974" s="172"/>
    </row>
    <row r="2975" hidden="1">
      <c r="A2975" s="172"/>
      <c r="B2975" s="172"/>
      <c r="C2975" s="174"/>
      <c r="D2975" s="172"/>
      <c r="E2975" s="172"/>
    </row>
    <row r="2976" hidden="1">
      <c r="A2976" s="172"/>
      <c r="B2976" s="172"/>
      <c r="C2976" s="174"/>
      <c r="D2976" s="172"/>
      <c r="E2976" s="172"/>
    </row>
    <row r="2977" hidden="1">
      <c r="A2977" s="172"/>
      <c r="B2977" s="172"/>
      <c r="C2977" s="174"/>
      <c r="D2977" s="172"/>
      <c r="E2977" s="172"/>
    </row>
    <row r="2978" hidden="1">
      <c r="A2978" s="172"/>
      <c r="B2978" s="172"/>
      <c r="C2978" s="174"/>
      <c r="D2978" s="172"/>
      <c r="E2978" s="172"/>
    </row>
    <row r="2979" hidden="1">
      <c r="A2979" s="172"/>
      <c r="B2979" s="172"/>
      <c r="C2979" s="174"/>
      <c r="D2979" s="172"/>
      <c r="E2979" s="172"/>
    </row>
    <row r="2980" hidden="1">
      <c r="A2980" s="172"/>
      <c r="B2980" s="172"/>
      <c r="C2980" s="174"/>
      <c r="D2980" s="172"/>
      <c r="E2980" s="172"/>
    </row>
    <row r="2981" hidden="1">
      <c r="A2981" s="172"/>
      <c r="B2981" s="172"/>
      <c r="C2981" s="174"/>
      <c r="D2981" s="172"/>
      <c r="E2981" s="172"/>
    </row>
    <row r="2982" hidden="1">
      <c r="A2982" s="172"/>
      <c r="B2982" s="172"/>
      <c r="C2982" s="174"/>
      <c r="D2982" s="172"/>
      <c r="E2982" s="172"/>
    </row>
    <row r="2983" hidden="1">
      <c r="A2983" s="172"/>
      <c r="B2983" s="172"/>
      <c r="C2983" s="174"/>
      <c r="D2983" s="172"/>
      <c r="E2983" s="172"/>
    </row>
    <row r="2984" hidden="1">
      <c r="A2984" s="172"/>
      <c r="B2984" s="172"/>
      <c r="C2984" s="174"/>
      <c r="D2984" s="172"/>
      <c r="E2984" s="172"/>
    </row>
    <row r="2985" hidden="1">
      <c r="A2985" s="172"/>
      <c r="B2985" s="172"/>
      <c r="C2985" s="174"/>
      <c r="D2985" s="172"/>
      <c r="E2985" s="172"/>
    </row>
    <row r="2986" hidden="1">
      <c r="A2986" s="172"/>
      <c r="B2986" s="172"/>
      <c r="C2986" s="174"/>
      <c r="D2986" s="172"/>
      <c r="E2986" s="172"/>
    </row>
    <row r="2987" hidden="1">
      <c r="A2987" s="172"/>
      <c r="B2987" s="172"/>
      <c r="C2987" s="174"/>
      <c r="D2987" s="172"/>
      <c r="E2987" s="172"/>
    </row>
    <row r="2988" hidden="1">
      <c r="A2988" s="172"/>
      <c r="B2988" s="172"/>
      <c r="C2988" s="174"/>
      <c r="D2988" s="172"/>
      <c r="E2988" s="172"/>
    </row>
    <row r="2989" hidden="1">
      <c r="A2989" s="172"/>
      <c r="B2989" s="172"/>
      <c r="C2989" s="174"/>
      <c r="D2989" s="172"/>
      <c r="E2989" s="172"/>
    </row>
    <row r="2990" hidden="1">
      <c r="A2990" s="172"/>
      <c r="B2990" s="172"/>
      <c r="C2990" s="174"/>
      <c r="D2990" s="172"/>
      <c r="E2990" s="172"/>
    </row>
    <row r="2991" hidden="1">
      <c r="A2991" s="172"/>
      <c r="B2991" s="172"/>
      <c r="C2991" s="174"/>
      <c r="D2991" s="172"/>
      <c r="E2991" s="172"/>
    </row>
    <row r="2992" hidden="1">
      <c r="A2992" s="172"/>
      <c r="B2992" s="172"/>
      <c r="C2992" s="174"/>
      <c r="D2992" s="172"/>
      <c r="E2992" s="172"/>
    </row>
    <row r="2993" hidden="1">
      <c r="A2993" s="172"/>
      <c r="B2993" s="172"/>
      <c r="C2993" s="174"/>
      <c r="D2993" s="172"/>
      <c r="E2993" s="172"/>
    </row>
    <row r="2994" hidden="1">
      <c r="A2994" s="172"/>
      <c r="B2994" s="172"/>
      <c r="C2994" s="174"/>
      <c r="D2994" s="172"/>
      <c r="E2994" s="172"/>
    </row>
    <row r="2995" hidden="1">
      <c r="A2995" s="172"/>
      <c r="B2995" s="172"/>
      <c r="C2995" s="174"/>
      <c r="D2995" s="172"/>
      <c r="E2995" s="172"/>
    </row>
    <row r="2996" hidden="1">
      <c r="A2996" s="172"/>
      <c r="B2996" s="172"/>
      <c r="C2996" s="174"/>
      <c r="D2996" s="172"/>
      <c r="E2996" s="172"/>
    </row>
    <row r="2997" hidden="1">
      <c r="A2997" s="172"/>
      <c r="B2997" s="172"/>
      <c r="C2997" s="174"/>
      <c r="D2997" s="172"/>
      <c r="E2997" s="172"/>
    </row>
    <row r="2998" hidden="1">
      <c r="A2998" s="172"/>
      <c r="B2998" s="172"/>
      <c r="C2998" s="174"/>
      <c r="D2998" s="172"/>
      <c r="E2998" s="172"/>
    </row>
    <row r="2999" hidden="1">
      <c r="A2999" s="172"/>
      <c r="B2999" s="172"/>
      <c r="C2999" s="174"/>
      <c r="D2999" s="172"/>
      <c r="E2999" s="172"/>
    </row>
    <row r="3000" hidden="1">
      <c r="A3000" s="172"/>
      <c r="B3000" s="172"/>
      <c r="C3000" s="174"/>
      <c r="D3000" s="172"/>
      <c r="E3000" s="172"/>
    </row>
    <row r="3001" hidden="1">
      <c r="A3001" s="172"/>
      <c r="B3001" s="172"/>
      <c r="C3001" s="174"/>
      <c r="D3001" s="172"/>
      <c r="E3001" s="172"/>
    </row>
    <row r="3002" hidden="1">
      <c r="A3002" s="172"/>
      <c r="B3002" s="172"/>
      <c r="C3002" s="174"/>
      <c r="D3002" s="172"/>
      <c r="E3002" s="172"/>
    </row>
    <row r="3003" hidden="1">
      <c r="A3003" s="172"/>
      <c r="B3003" s="172"/>
      <c r="C3003" s="174"/>
      <c r="D3003" s="172"/>
      <c r="E3003" s="172"/>
    </row>
    <row r="3004" hidden="1">
      <c r="A3004" s="172"/>
      <c r="B3004" s="172"/>
      <c r="C3004" s="174"/>
      <c r="D3004" s="172"/>
      <c r="E3004" s="172"/>
    </row>
    <row r="3005" hidden="1">
      <c r="A3005" s="172"/>
      <c r="B3005" s="172"/>
      <c r="C3005" s="174"/>
      <c r="D3005" s="172"/>
      <c r="E3005" s="172"/>
    </row>
    <row r="3006" hidden="1">
      <c r="A3006" s="172"/>
      <c r="B3006" s="172"/>
      <c r="C3006" s="174"/>
      <c r="D3006" s="172"/>
      <c r="E3006" s="172"/>
    </row>
    <row r="3007" hidden="1">
      <c r="A3007" s="172"/>
      <c r="B3007" s="172"/>
      <c r="C3007" s="174"/>
      <c r="D3007" s="172"/>
      <c r="E3007" s="172"/>
    </row>
    <row r="3008" hidden="1">
      <c r="A3008" s="172"/>
      <c r="B3008" s="172"/>
      <c r="C3008" s="174"/>
      <c r="D3008" s="172"/>
      <c r="E3008" s="172"/>
    </row>
  </sheetData>
  <autoFilter ref="$A$1:$A$3008">
    <filterColumn colId="0">
      <filters>
        <filter val="select_multiple discuss_mig_info"/>
        <filter val="select_one agree_likert"/>
        <filter val="select_one towns"/>
        <filter val="select_one region"/>
        <filter val="select_multiple who_concerned_fam"/>
        <filter val="select_multiple docs"/>
        <filter val="select_one husbandwife"/>
        <filter val="select_one unavail_why"/>
        <filter val="select_multiple risks"/>
        <filter val="text"/>
        <filter val="select_one mig_countries"/>
        <filter val="select_one interest"/>
        <filter val="select_multiple money_transfer"/>
        <filter val="select_multiple exp_categories_share"/>
        <filter val="select_multiple fail_reason"/>
        <filter val="select_one locality"/>
        <filter val="select_multiple assets"/>
        <filter val="select_multiple encouragereason"/>
        <filter val="select_multiple potential_spouse"/>
        <filter val="select_multiple crops"/>
        <filter val="select_multiple travel"/>
        <filter val="select_one experience"/>
        <filter val="select_one enum"/>
        <filter val="select_one resp"/>
        <filter val="select_multiple discuss_mig_who"/>
        <filter val="select_one id"/>
        <filter val="select_multiple paytype"/>
        <filter val="select_multiple changes"/>
        <filter val="select_one state_likert"/>
        <filter val="select_multiple contactshare"/>
        <filter val="select_multiple potential_child"/>
        <filter val="select_multiple ppm_know_who"/>
        <filter val="select_multiple mitigate"/>
        <filter val="select_one live_home"/>
        <filter val="select_one live_away"/>
        <filter val="select_one pm_primary_activity"/>
        <filter val="select_multiple countries"/>
        <filter val="select_one contact_relation"/>
        <filter val="select_one health"/>
        <filter val="select_one languages"/>
        <filter val="select_one whyno_in"/>
        <filter val="select_multiple region"/>
        <filter val="select_one illness"/>
        <filter val="select_one cash_decision_mem"/>
        <filter val="select_multiple who_concerned_comm"/>
        <filter val="select_one reason_nowork"/>
        <filter val="select_one nopay"/>
        <filter val="select_one encouragescale"/>
        <filter val="integer"/>
        <filter val="select_multiple emergency"/>
        <filter val="select_one yesno"/>
        <filter val="select_one unit"/>
        <filter val="select_multiple cons_week"/>
        <filter val="select_one round"/>
        <filter val="select_multiple towns"/>
        <filter val="select_multiple discouragereason"/>
        <filter val="select_one present"/>
        <filter val="select_one employer"/>
        <filter val="select_multiple benefits"/>
        <filter val="select_multiple exp_categories"/>
        <filter val="select_one members"/>
        <filter val="select_one yesnodk"/>
        <filter val="select_multiple mig_countries"/>
        <filter val="select_one countries"/>
        <filter val="select_one education"/>
        <filter val="decimal"/>
        <filter val="select_multiple cons_month"/>
        <filter val="select_one freq"/>
        <filter val="note"/>
        <filter val="select_one worries"/>
        <filter val="select_multiple locations"/>
        <filter val="select_one sex"/>
        <filter val="select_one season"/>
        <filter val="select_one purpose"/>
        <filter val="select_one statement"/>
        <filter val="select_multiple who_cash_share"/>
        <filter val="select_one team"/>
        <filter val="select_one relation"/>
        <filter val="select_one commune"/>
        <filter val="select_one stay"/>
        <filter val="select_multiple goods_transfer"/>
        <filter val="select_one lesseqmore"/>
        <filter val="select_multiple concerns"/>
        <filter val="select_one schools"/>
        <filter val="select_one call"/>
        <filter val="select_multiple countryinterest"/>
        <filter val="select_one patient"/>
        <filter val="select_multiple illness"/>
        <filter val="select_multiple support"/>
        <filter val="select_multiple ppm_info"/>
        <filter val="select_multiple vax"/>
        <filter val="select_multiple livestock"/>
        <filter val="select_one countryinterest"/>
        <filter val="select_multiple savings"/>
        <filter val="select_multiple pm_prev_locations_opt"/>
        <filter val="select_one comprehension"/>
        <filter val="select_one activities"/>
      </filters>
    </filterColumn>
  </autoFilter>
  <drawing r:id="rId1"/>
</worksheet>
</file>